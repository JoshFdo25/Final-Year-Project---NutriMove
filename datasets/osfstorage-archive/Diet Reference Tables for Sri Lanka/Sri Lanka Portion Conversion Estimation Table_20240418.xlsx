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bess.caswell\Box\IFPRI Sri Lanka Shared Folder\OSF Posted Diet Ref Tables\"/>
    </mc:Choice>
  </mc:AlternateContent>
  <xr:revisionPtr revIDLastSave="0" documentId="13_ncr:1_{E0E2A4F7-49C6-432F-BFE3-8FBA62AF3A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etails" sheetId="4" r:id="rId1"/>
    <sheet name="Portion size conversions" sheetId="2" r:id="rId2"/>
  </sheets>
  <definedNames>
    <definedName name="_xlnm._FilterDatabase" localSheetId="1" hidden="1">'Portion size conversions'!$A$1:$AT$2723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255" i="2" l="1"/>
  <c r="D726" i="2"/>
  <c r="D1350" i="2"/>
  <c r="D1391" i="2"/>
  <c r="D1400" i="2"/>
  <c r="D1422" i="2"/>
  <c r="D1428" i="2"/>
  <c r="D1442" i="2"/>
  <c r="D1456" i="2"/>
  <c r="D1487" i="2"/>
  <c r="D1506" i="2"/>
  <c r="D1514" i="2"/>
  <c r="D1796" i="2"/>
  <c r="E1803" i="2"/>
  <c r="E1807" i="2"/>
  <c r="D2455" i="2"/>
  <c r="D2456" i="2"/>
  <c r="D2239" i="2"/>
  <c r="D2240" i="2"/>
  <c r="D2328" i="2"/>
  <c r="D2626" i="2"/>
  <c r="D2645" i="2"/>
  <c r="D2647" i="2"/>
  <c r="D2641" i="2"/>
  <c r="D2632" i="2"/>
  <c r="D2625" i="2"/>
  <c r="D2371" i="2"/>
  <c r="D1976" i="2"/>
  <c r="D1973" i="2"/>
  <c r="D1995" i="2"/>
  <c r="D2577" i="2"/>
  <c r="D2349" i="2"/>
  <c r="D2104" i="2"/>
  <c r="D2042" i="2"/>
  <c r="D2036" i="2"/>
  <c r="D2035" i="2"/>
  <c r="D2017" i="2"/>
  <c r="D2019" i="2"/>
  <c r="D2012" i="2"/>
  <c r="D2010" i="2"/>
  <c r="D1962" i="2"/>
  <c r="D1926" i="2"/>
  <c r="D1944" i="2"/>
  <c r="D1946" i="2"/>
  <c r="D2346" i="2"/>
  <c r="D2348" i="2"/>
  <c r="D2347" i="2"/>
  <c r="D2407" i="2"/>
  <c r="D2404" i="2"/>
  <c r="D2420" i="2"/>
  <c r="D2427" i="2"/>
  <c r="D2426" i="2"/>
  <c r="D2506" i="2"/>
  <c r="D2512" i="2"/>
  <c r="D2659" i="2"/>
  <c r="D2658" i="2"/>
  <c r="D2583" i="2"/>
  <c r="D2581" i="2"/>
  <c r="D2563" i="2"/>
  <c r="D2546" i="2"/>
  <c r="D2515" i="2"/>
  <c r="G2660" i="2"/>
  <c r="D2660" i="2" s="1"/>
  <c r="G2128" i="2"/>
  <c r="D2128" i="2" s="1"/>
  <c r="D433" i="2"/>
  <c r="D450" i="2"/>
  <c r="D461" i="2"/>
  <c r="D486" i="2"/>
  <c r="D491" i="2"/>
  <c r="D501" i="2"/>
  <c r="D521" i="2"/>
  <c r="D531" i="2"/>
  <c r="D547" i="2"/>
  <c r="D554" i="2"/>
  <c r="D565" i="2"/>
  <c r="D571" i="2"/>
  <c r="D590" i="2"/>
  <c r="D605" i="2"/>
  <c r="D612" i="2"/>
  <c r="D623" i="2"/>
  <c r="D626" i="2"/>
  <c r="D633" i="2"/>
  <c r="D645" i="2"/>
  <c r="D661" i="2"/>
  <c r="D671" i="2"/>
  <c r="D709" i="2"/>
  <c r="D737" i="2"/>
  <c r="D747" i="2"/>
  <c r="D759" i="2"/>
  <c r="D788" i="2"/>
  <c r="D814" i="2"/>
  <c r="D820" i="2"/>
  <c r="D825" i="2"/>
  <c r="D1191" i="2"/>
  <c r="D1193" i="2"/>
  <c r="D1197" i="2"/>
  <c r="D1208" i="2"/>
  <c r="D1210" i="2"/>
  <c r="D1216" i="2"/>
  <c r="D1219" i="2"/>
  <c r="D1233" i="2"/>
  <c r="D1234" i="2"/>
  <c r="D1242" i="2"/>
  <c r="D1243" i="2"/>
  <c r="D1259" i="2"/>
  <c r="D1263" i="2"/>
  <c r="D1264" i="2"/>
  <c r="D1269" i="2"/>
  <c r="D1270" i="2"/>
  <c r="D1275" i="2"/>
  <c r="D1283" i="2"/>
  <c r="D1286" i="2"/>
  <c r="D1290" i="2"/>
  <c r="D1295" i="2"/>
  <c r="D1296" i="2"/>
  <c r="D1307" i="2"/>
  <c r="D1312" i="2"/>
  <c r="D1313" i="2"/>
  <c r="D1322" i="2"/>
  <c r="D1327" i="2"/>
  <c r="D1330" i="2"/>
  <c r="D1332" i="2"/>
  <c r="D1338" i="2"/>
  <c r="D2206" i="2"/>
  <c r="D2189" i="2"/>
  <c r="G2127" i="2"/>
  <c r="D2127" i="2"/>
  <c r="E2084" i="2"/>
  <c r="D2084" i="2" s="1"/>
  <c r="D2663" i="2"/>
  <c r="D2664" i="2"/>
  <c r="D2665" i="2"/>
  <c r="D2653" i="2"/>
  <c r="D2649" i="2"/>
  <c r="D2652" i="2"/>
  <c r="D2650" i="2"/>
  <c r="D2644" i="2"/>
  <c r="D2628" i="2"/>
  <c r="D2631" i="2"/>
  <c r="D2654" i="2"/>
  <c r="D2667" i="2"/>
  <c r="D2630" i="2"/>
  <c r="D2666" i="2"/>
  <c r="D2668" i="2"/>
  <c r="D2655" i="2"/>
  <c r="D2651" i="2"/>
  <c r="D2643" i="2"/>
  <c r="D2629" i="2"/>
  <c r="D2592" i="2"/>
  <c r="D2591" i="2"/>
  <c r="D2588" i="2"/>
  <c r="D2589" i="2"/>
  <c r="D2590" i="2"/>
  <c r="D2586" i="2"/>
  <c r="D2585" i="2"/>
  <c r="D2572" i="2"/>
  <c r="D2569" i="2"/>
  <c r="D2571" i="2"/>
  <c r="D2548" i="2"/>
  <c r="D2547" i="2"/>
  <c r="D2550" i="2"/>
  <c r="D2552" i="2"/>
  <c r="D2551" i="2"/>
  <c r="D2539" i="2"/>
  <c r="D2532" i="2"/>
  <c r="D2541" i="2"/>
  <c r="D2538" i="2"/>
  <c r="D2531" i="2"/>
  <c r="D2537" i="2"/>
  <c r="D2543" i="2"/>
  <c r="D2530" i="2"/>
  <c r="D2542" i="2"/>
  <c r="D2517" i="2"/>
  <c r="D2587" i="2"/>
  <c r="D2461" i="2"/>
  <c r="D2460" i="2"/>
  <c r="D2438" i="2"/>
  <c r="D2437" i="2"/>
  <c r="D2435" i="2"/>
  <c r="D2434" i="2"/>
  <c r="D2433" i="2"/>
  <c r="D2424" i="2"/>
  <c r="D2421" i="2"/>
  <c r="D2416" i="2"/>
  <c r="D2414" i="2"/>
  <c r="D2379" i="2"/>
  <c r="D2378" i="2"/>
  <c r="D2376" i="2"/>
  <c r="D2351" i="2"/>
  <c r="D2344" i="2"/>
  <c r="D2330" i="2"/>
  <c r="D2314" i="2"/>
  <c r="D2318" i="2"/>
  <c r="D2315" i="2"/>
  <c r="D2301" i="2"/>
  <c r="D2291" i="2"/>
  <c r="D2268" i="2"/>
  <c r="D2236" i="2"/>
  <c r="D2232" i="2"/>
  <c r="D2216" i="2"/>
  <c r="E2190" i="2"/>
  <c r="D2190" i="2" s="1"/>
  <c r="E2185" i="2"/>
  <c r="D2185" i="2" s="1"/>
  <c r="E2170" i="2"/>
  <c r="D2170" i="2" s="1"/>
  <c r="D2147" i="2"/>
  <c r="D2143" i="2"/>
  <c r="D2141" i="2"/>
  <c r="D2142" i="2"/>
  <c r="D2138" i="2"/>
  <c r="D2132" i="2"/>
  <c r="D2133" i="2"/>
  <c r="D2120" i="2"/>
  <c r="D2121" i="2"/>
  <c r="D2098" i="2"/>
  <c r="D2099" i="2"/>
  <c r="D2096" i="2"/>
  <c r="D2087" i="2"/>
  <c r="D2077" i="2"/>
  <c r="D2062" i="2"/>
  <c r="D2064" i="2"/>
  <c r="D2063" i="2"/>
  <c r="D2059" i="2"/>
  <c r="D2057" i="2"/>
  <c r="D2053" i="2"/>
  <c r="D2459" i="2"/>
  <c r="D2439" i="2"/>
  <c r="D2316" i="2"/>
  <c r="D2233" i="2"/>
  <c r="D2462" i="2"/>
  <c r="D2458" i="2"/>
  <c r="D2440" i="2"/>
  <c r="D2380" i="2"/>
  <c r="D2377" i="2"/>
  <c r="D2364" i="2"/>
  <c r="D2359" i="2"/>
  <c r="D2353" i="2"/>
  <c r="D2343" i="2"/>
  <c r="D2331" i="2"/>
  <c r="D2317" i="2"/>
  <c r="D2300" i="2"/>
  <c r="D2290" i="2"/>
  <c r="D2269" i="2"/>
  <c r="D2242" i="2"/>
  <c r="D2234" i="2"/>
  <c r="D2218" i="2"/>
  <c r="D2217" i="2"/>
  <c r="D2168" i="2"/>
  <c r="D2167" i="2"/>
  <c r="D2164" i="2"/>
  <c r="D2161" i="2"/>
  <c r="D2148" i="2"/>
  <c r="D2144" i="2"/>
  <c r="D2088" i="2"/>
  <c r="D2100" i="2"/>
  <c r="D2097" i="2"/>
  <c r="D2089" i="2"/>
  <c r="D2086" i="2"/>
  <c r="D2060" i="2"/>
  <c r="D1932" i="2"/>
  <c r="D1938" i="2"/>
  <c r="D1934" i="2"/>
  <c r="D1943" i="2"/>
  <c r="D1941" i="2"/>
  <c r="D1956" i="2"/>
  <c r="D1957" i="2"/>
  <c r="D1959" i="2"/>
  <c r="D1965" i="2"/>
  <c r="D2047" i="2"/>
  <c r="D2040" i="2"/>
  <c r="D2039" i="2"/>
  <c r="D2032" i="2"/>
  <c r="D2031" i="2"/>
  <c r="D2028" i="2"/>
  <c r="D2016" i="2"/>
  <c r="D2006" i="2"/>
  <c r="D2005" i="2"/>
  <c r="D2003" i="2"/>
  <c r="D1999" i="2"/>
  <c r="D1993" i="2"/>
  <c r="D1988" i="2"/>
  <c r="D2446" i="2"/>
  <c r="D2237" i="2"/>
  <c r="D2066" i="2"/>
  <c r="D2065" i="2"/>
  <c r="D2140" i="2"/>
  <c r="D2139" i="2"/>
  <c r="D2137" i="2"/>
  <c r="D2136" i="2"/>
  <c r="D2135" i="2"/>
  <c r="D2134" i="2"/>
  <c r="D2122" i="2"/>
  <c r="D2110" i="2"/>
  <c r="D2076" i="2"/>
  <c r="D2080" i="2"/>
  <c r="D2055" i="2"/>
  <c r="D2468" i="2"/>
  <c r="D2483" i="2"/>
  <c r="D2520" i="2"/>
  <c r="D2549" i="2"/>
  <c r="D2534" i="2"/>
  <c r="D2570" i="2"/>
  <c r="D2573" i="2"/>
  <c r="D2523" i="2"/>
  <c r="D2491" i="2"/>
  <c r="D2540" i="2"/>
  <c r="D2486" i="2"/>
  <c r="D2472" i="2"/>
  <c r="D2415" i="2"/>
  <c r="D2125" i="2"/>
  <c r="D2113" i="2"/>
  <c r="D2107" i="2"/>
  <c r="D2081" i="2"/>
  <c r="D2079" i="2"/>
  <c r="D2058" i="2"/>
  <c r="D2054" i="2"/>
  <c r="D2352" i="2"/>
  <c r="D2335" i="2"/>
  <c r="D2208" i="2"/>
  <c r="E2198" i="2"/>
  <c r="D2198" i="2" s="1"/>
  <c r="E2172" i="2"/>
  <c r="D2172" i="2" s="1"/>
  <c r="E2176" i="2"/>
  <c r="D2176" i="2" s="1"/>
  <c r="E2171" i="2"/>
  <c r="D2171" i="2" s="1"/>
  <c r="E2175" i="2"/>
  <c r="D2175" i="2" s="1"/>
  <c r="E2179" i="2"/>
  <c r="D2179" i="2" s="1"/>
  <c r="E2182" i="2"/>
  <c r="D2182" i="2" s="1"/>
  <c r="E2186" i="2"/>
  <c r="D2186" i="2"/>
  <c r="D2441" i="2"/>
  <c r="D2363" i="2"/>
  <c r="D2235" i="2"/>
  <c r="D2219" i="2"/>
  <c r="D2181" i="2"/>
  <c r="D2180" i="2"/>
  <c r="D2149" i="2"/>
  <c r="D2082" i="2"/>
  <c r="D2073" i="2"/>
  <c r="D2267" i="2"/>
  <c r="D2322" i="2"/>
  <c r="D2287" i="2"/>
  <c r="D2326" i="2"/>
  <c r="D2325" i="2"/>
  <c r="D2320" i="2"/>
  <c r="D2319" i="2"/>
  <c r="D2312" i="2"/>
  <c r="D2311" i="2"/>
  <c r="D2309" i="2"/>
  <c r="D2308" i="2"/>
  <c r="D2304" i="2"/>
  <c r="D2302" i="2"/>
  <c r="D2296" i="2"/>
  <c r="D2294" i="2"/>
  <c r="D2285" i="2"/>
  <c r="D2284" i="2"/>
  <c r="D2279" i="2"/>
  <c r="D2278" i="2"/>
  <c r="D2273" i="2"/>
  <c r="D2271" i="2"/>
  <c r="D2265" i="2"/>
  <c r="D2264" i="2"/>
  <c r="D2262" i="2"/>
  <c r="D2258" i="2"/>
  <c r="D2256" i="2"/>
  <c r="D2255" i="2"/>
  <c r="D2249" i="2"/>
  <c r="D2246" i="2"/>
  <c r="D2244" i="2"/>
  <c r="D2228" i="2"/>
  <c r="D2225" i="2"/>
  <c r="D2221" i="2"/>
  <c r="D2212" i="2"/>
  <c r="D2210" i="2"/>
  <c r="D2094" i="2"/>
  <c r="D2093" i="2"/>
  <c r="D2656" i="2"/>
  <c r="D2323" i="2"/>
  <c r="D2306" i="2"/>
  <c r="D2297" i="2"/>
  <c r="D2288" i="2"/>
  <c r="D2281" i="2"/>
  <c r="D2261" i="2"/>
  <c r="D2253" i="2"/>
  <c r="D2230" i="2"/>
  <c r="D2224" i="2"/>
  <c r="D2223" i="2"/>
  <c r="D2214" i="2"/>
  <c r="D2091" i="2"/>
  <c r="D1871" i="2"/>
  <c r="D1872" i="2"/>
  <c r="E2526" i="2"/>
  <c r="D2526" i="2" s="1"/>
  <c r="E2398" i="2"/>
  <c r="D2398" i="2" s="1"/>
  <c r="E2393" i="2"/>
  <c r="D2393" i="2" s="1"/>
  <c r="E2158" i="2"/>
  <c r="D2158" i="2" s="1"/>
  <c r="D2157" i="2"/>
  <c r="D1809" i="2"/>
  <c r="D1810" i="2"/>
  <c r="D1808" i="2"/>
  <c r="D1829" i="2"/>
  <c r="D1850" i="2"/>
  <c r="D1919" i="2"/>
  <c r="D1920" i="2"/>
  <c r="D1840" i="2"/>
  <c r="D1839" i="2"/>
  <c r="D1842" i="2"/>
  <c r="D1841" i="2"/>
  <c r="D1837" i="2"/>
  <c r="D1835" i="2"/>
  <c r="D1836" i="2"/>
  <c r="D1822" i="2"/>
  <c r="D1824" i="2"/>
  <c r="D1823" i="2"/>
  <c r="D2391" i="2"/>
  <c r="D2388" i="2"/>
  <c r="D2389" i="2"/>
  <c r="D2390" i="2"/>
  <c r="D2387" i="2"/>
  <c r="D2382" i="2"/>
  <c r="D2384" i="2"/>
  <c r="D2383" i="2"/>
  <c r="D2373" i="2"/>
  <c r="D2374" i="2"/>
  <c r="D2372" i="2"/>
  <c r="D2370" i="2"/>
  <c r="D2369" i="2"/>
  <c r="D2367" i="2"/>
  <c r="D2366" i="2"/>
  <c r="D2385" i="2"/>
  <c r="D2360" i="2"/>
  <c r="D1838" i="2"/>
  <c r="D1382" i="2"/>
  <c r="D1462" i="2"/>
  <c r="D1500" i="2"/>
  <c r="D1494" i="2"/>
  <c r="D1470" i="2"/>
  <c r="D1474" i="2"/>
  <c r="D1464" i="2"/>
  <c r="D1468" i="2"/>
  <c r="D1405" i="2"/>
  <c r="D1387" i="2"/>
  <c r="D1379" i="2"/>
  <c r="D1385" i="2"/>
  <c r="D1473" i="2"/>
  <c r="D1465" i="2"/>
  <c r="D1378" i="2"/>
  <c r="D1373" i="2"/>
  <c r="D1499" i="2"/>
  <c r="D1498" i="2"/>
  <c r="D1493" i="2"/>
  <c r="D1495" i="2"/>
  <c r="D1475" i="2"/>
  <c r="D1476" i="2"/>
  <c r="D1467" i="2"/>
  <c r="D1469" i="2"/>
  <c r="D1438" i="2"/>
  <c r="D1434" i="2"/>
  <c r="D1432" i="2"/>
  <c r="D1411" i="2"/>
  <c r="D1412" i="2"/>
  <c r="D1407" i="2"/>
  <c r="D1406" i="2"/>
  <c r="D1388" i="2"/>
  <c r="D1384" i="2"/>
  <c r="D1386" i="2"/>
  <c r="D1374" i="2"/>
  <c r="D1376" i="2"/>
  <c r="D1371" i="2"/>
  <c r="D1375" i="2"/>
  <c r="D1361" i="2"/>
  <c r="D1362" i="2"/>
  <c r="D1436" i="2"/>
  <c r="D1433" i="2"/>
  <c r="D1409" i="2"/>
  <c r="D1383" i="2"/>
  <c r="D1372" i="2"/>
  <c r="D1380" i="2"/>
  <c r="D1377" i="2"/>
  <c r="D1463" i="2"/>
  <c r="D1408" i="2"/>
  <c r="D1381" i="2"/>
  <c r="D1404" i="2"/>
  <c r="D1410" i="2"/>
  <c r="D1519" i="2"/>
  <c r="D1515" i="2"/>
  <c r="D1513" i="2"/>
  <c r="D1501" i="2"/>
  <c r="D1508" i="2"/>
  <c r="D1486" i="2"/>
  <c r="D1488" i="2"/>
  <c r="D1480" i="2"/>
  <c r="D1481" i="2"/>
  <c r="D1482" i="2"/>
  <c r="D1477" i="2"/>
  <c r="D1454" i="2"/>
  <c r="D1441" i="2"/>
  <c r="D1429" i="2"/>
  <c r="D1418" i="2"/>
  <c r="D1413" i="2"/>
  <c r="D1398" i="2"/>
  <c r="D1401" i="2"/>
  <c r="D1392" i="2"/>
  <c r="F1444" i="2"/>
  <c r="D1444" i="2" s="1"/>
  <c r="F1511" i="2"/>
  <c r="D1511" i="2"/>
  <c r="F1502" i="2"/>
  <c r="D1502" i="2" s="1"/>
  <c r="F1452" i="2"/>
  <c r="D1452" i="2" s="1"/>
  <c r="F1505" i="2"/>
  <c r="D1505" i="2" s="1"/>
  <c r="F1425" i="2"/>
  <c r="D1425" i="2" s="1"/>
  <c r="F1518" i="2"/>
  <c r="D1518" i="2" s="1"/>
  <c r="F1507" i="2"/>
  <c r="D1507" i="2"/>
  <c r="F1490" i="2"/>
  <c r="D1490" i="2" s="1"/>
  <c r="F1484" i="2"/>
  <c r="D1484" i="2" s="1"/>
  <c r="F1478" i="2"/>
  <c r="D1478" i="2" s="1"/>
  <c r="F1458" i="2"/>
  <c r="D1458" i="2" s="1"/>
  <c r="F1447" i="2"/>
  <c r="D1447" i="2" s="1"/>
  <c r="F1431" i="2"/>
  <c r="D1431" i="2" s="1"/>
  <c r="F1423" i="2"/>
  <c r="D1423" i="2" s="1"/>
  <c r="F1417" i="2"/>
  <c r="D1417" i="2" s="1"/>
  <c r="F1517" i="2"/>
  <c r="D1517" i="2" s="1"/>
  <c r="F1509" i="2"/>
  <c r="D1509" i="2" s="1"/>
  <c r="F1491" i="2"/>
  <c r="D1491" i="2" s="1"/>
  <c r="F1485" i="2"/>
  <c r="D1485" i="2" s="1"/>
  <c r="F1479" i="2"/>
  <c r="D1479" i="2" s="1"/>
  <c r="F1459" i="2"/>
  <c r="D1459" i="2" s="1"/>
  <c r="F1455" i="2"/>
  <c r="D1455" i="2" s="1"/>
  <c r="F1448" i="2"/>
  <c r="D1448" i="2" s="1"/>
  <c r="F1516" i="2"/>
  <c r="D1516" i="2"/>
  <c r="F1504" i="2"/>
  <c r="D1504" i="2" s="1"/>
  <c r="F1489" i="2"/>
  <c r="D1489" i="2"/>
  <c r="F1483" i="2"/>
  <c r="D1483" i="2" s="1"/>
  <c r="F1457" i="2"/>
  <c r="D1457" i="2" s="1"/>
  <c r="F1446" i="2"/>
  <c r="D1446" i="2" s="1"/>
  <c r="F1891" i="2"/>
  <c r="D1891" i="2" s="1"/>
  <c r="F1510" i="2"/>
  <c r="D1510" i="2" s="1"/>
  <c r="F1503" i="2"/>
  <c r="D1503" i="2" s="1"/>
  <c r="F1450" i="2"/>
  <c r="D1450" i="2" s="1"/>
  <c r="F1443" i="2"/>
  <c r="D1443" i="2" s="1"/>
  <c r="F1414" i="2"/>
  <c r="D1414" i="2" s="1"/>
  <c r="F1368" i="2"/>
  <c r="D1368" i="2" s="1"/>
  <c r="F1367" i="2"/>
  <c r="D1367" i="2" s="1"/>
  <c r="F1430" i="2"/>
  <c r="D1430" i="2" s="1"/>
  <c r="F1427" i="2"/>
  <c r="D1427" i="2" s="1"/>
  <c r="F1420" i="2"/>
  <c r="D1420" i="2" s="1"/>
  <c r="F1421" i="2"/>
  <c r="D1421" i="2" s="1"/>
  <c r="F1415" i="2"/>
  <c r="D1415" i="2" s="1"/>
  <c r="F1416" i="2"/>
  <c r="D1416" i="2" s="1"/>
  <c r="F1396" i="2"/>
  <c r="D1396" i="2" s="1"/>
  <c r="F1402" i="2"/>
  <c r="D1402" i="2" s="1"/>
  <c r="F1399" i="2"/>
  <c r="D1399" i="2" s="1"/>
  <c r="F1397" i="2"/>
  <c r="D1397" i="2" s="1"/>
  <c r="F1395" i="2"/>
  <c r="D1395" i="2" s="1"/>
  <c r="F1394" i="2"/>
  <c r="D1394" i="2" s="1"/>
  <c r="F1393" i="2"/>
  <c r="D1393" i="2" s="1"/>
  <c r="F1360" i="2"/>
  <c r="D1360" i="2" s="1"/>
  <c r="F1363" i="2"/>
  <c r="D1363" i="2" s="1"/>
  <c r="F1365" i="2"/>
  <c r="D1365" i="2" s="1"/>
  <c r="F1364" i="2"/>
  <c r="D1364" i="2" s="1"/>
  <c r="F1357" i="2"/>
  <c r="F1359" i="2"/>
  <c r="F1358" i="2"/>
  <c r="F1354" i="2"/>
  <c r="D1354" i="2" s="1"/>
  <c r="F1355" i="2"/>
  <c r="D1355" i="2" s="1"/>
  <c r="F1349" i="2"/>
  <c r="D1349" i="2" s="1"/>
  <c r="F1353" i="2"/>
  <c r="D1353" i="2" s="1"/>
  <c r="F1352" i="2"/>
  <c r="D1352" i="2" s="1"/>
  <c r="F1351" i="2"/>
  <c r="D1351" i="2" s="1"/>
  <c r="D1683" i="2"/>
  <c r="D1684" i="2"/>
  <c r="D1685" i="2"/>
  <c r="D1820" i="2"/>
  <c r="E1649" i="2"/>
  <c r="D1649" i="2" s="1"/>
  <c r="E1647" i="2"/>
  <c r="D1647" i="2" s="1"/>
  <c r="E1643" i="2"/>
  <c r="D1643" i="2" s="1"/>
  <c r="D1663" i="2"/>
  <c r="D1662" i="2"/>
  <c r="E1668" i="2"/>
  <c r="D1668" i="2" s="1"/>
  <c r="E1670" i="2"/>
  <c r="D1670" i="2" s="1"/>
  <c r="E1667" i="2"/>
  <c r="D1667" i="2" s="1"/>
  <c r="E1669" i="2"/>
  <c r="D1669" i="2" s="1"/>
  <c r="E1666" i="2"/>
  <c r="D1666" i="2" s="1"/>
  <c r="E1674" i="2"/>
  <c r="D1674" i="2" s="1"/>
  <c r="E1675" i="2"/>
  <c r="D1675" i="2" s="1"/>
  <c r="E1671" i="2"/>
  <c r="D1671" i="2" s="1"/>
  <c r="E1672" i="2"/>
  <c r="D1672" i="2" s="1"/>
  <c r="E1679" i="2"/>
  <c r="D1679" i="2" s="1"/>
  <c r="E1680" i="2"/>
  <c r="D1680" i="2" s="1"/>
  <c r="E1678" i="2"/>
  <c r="D1678" i="2" s="1"/>
  <c r="E1677" i="2"/>
  <c r="D1677" i="2" s="1"/>
  <c r="E1682" i="2"/>
  <c r="D1682" i="2"/>
  <c r="E1681" i="2"/>
  <c r="D1681" i="2" s="1"/>
  <c r="E1687" i="2"/>
  <c r="E1688" i="2"/>
  <c r="E1690" i="2"/>
  <c r="D1690" i="2"/>
  <c r="D1686" i="2"/>
  <c r="D1661" i="2"/>
  <c r="D1664" i="2"/>
  <c r="D1656" i="2"/>
  <c r="D1660" i="2"/>
  <c r="D1658" i="2"/>
  <c r="D1637" i="2"/>
  <c r="D1638" i="2"/>
  <c r="D1634" i="2"/>
  <c r="D1635" i="2"/>
  <c r="D1633" i="2"/>
  <c r="D1598" i="2"/>
  <c r="D1599" i="2"/>
  <c r="D1597" i="2"/>
  <c r="D1600" i="2"/>
  <c r="D1601" i="2"/>
  <c r="D1603" i="2"/>
  <c r="D1602" i="2"/>
  <c r="D1606" i="2"/>
  <c r="D1605" i="2"/>
  <c r="D1604" i="2"/>
  <c r="D1607" i="2"/>
  <c r="D1632" i="2"/>
  <c r="D1631" i="2"/>
  <c r="E1591" i="2"/>
  <c r="D1591" i="2" s="1"/>
  <c r="E1590" i="2"/>
  <c r="D1590" i="2" s="1"/>
  <c r="E1583" i="2"/>
  <c r="D1583" i="2" s="1"/>
  <c r="E1584" i="2"/>
  <c r="D1584" i="2" s="1"/>
  <c r="E1581" i="2"/>
  <c r="D1581" i="2" s="1"/>
  <c r="E1579" i="2"/>
  <c r="D1579" i="2" s="1"/>
  <c r="F1786" i="2"/>
  <c r="D1786" i="2" s="1"/>
  <c r="F1782" i="2"/>
  <c r="D1782" i="2" s="1"/>
  <c r="F1781" i="2"/>
  <c r="D1781" i="2" s="1"/>
  <c r="D2637" i="2"/>
  <c r="D2449" i="2"/>
  <c r="D2447" i="2"/>
  <c r="D2192" i="2"/>
  <c r="D2154" i="2"/>
  <c r="D2117" i="2"/>
  <c r="D2116" i="2"/>
  <c r="D2114" i="2"/>
  <c r="D2067" i="2"/>
  <c r="D2068" i="2"/>
  <c r="D2636" i="2"/>
  <c r="D2634" i="2"/>
  <c r="D2635" i="2"/>
  <c r="D1522" i="2"/>
  <c r="D1525" i="2"/>
  <c r="D1524" i="2"/>
  <c r="E1526" i="2"/>
  <c r="D1526" i="2" s="1"/>
  <c r="E1558" i="2"/>
  <c r="D1558" i="2" s="1"/>
  <c r="E1562" i="2"/>
  <c r="D1562" i="2" s="1"/>
  <c r="E1567" i="2"/>
  <c r="D1567" i="2" s="1"/>
  <c r="E1560" i="2"/>
  <c r="D1560" i="2" s="1"/>
  <c r="E1566" i="2"/>
  <c r="D1566" i="2" s="1"/>
  <c r="E1565" i="2"/>
  <c r="D1565" i="2" s="1"/>
  <c r="E1570" i="2"/>
  <c r="D1570" i="2" s="1"/>
  <c r="E1571" i="2"/>
  <c r="D1571" i="2" s="1"/>
  <c r="E1587" i="2"/>
  <c r="D1587" i="2"/>
  <c r="D1542" i="2"/>
  <c r="D1541" i="2"/>
  <c r="D1302" i="2"/>
  <c r="D1254" i="2"/>
  <c r="D1306" i="2"/>
  <c r="D1252" i="2"/>
  <c r="D1248" i="2"/>
  <c r="D1326" i="2"/>
  <c r="D1320" i="2"/>
  <c r="D1317" i="2"/>
  <c r="D1309" i="2"/>
  <c r="D1303" i="2"/>
  <c r="D1291" i="2"/>
  <c r="D1285" i="2"/>
  <c r="D1281" i="2"/>
  <c r="D1268" i="2"/>
  <c r="D1265" i="2"/>
  <c r="D1260" i="2"/>
  <c r="D1257" i="2"/>
  <c r="D1253" i="2"/>
  <c r="D1204" i="2"/>
  <c r="D1188" i="2"/>
  <c r="D1183" i="2"/>
  <c r="D1324" i="2"/>
  <c r="D1319" i="2"/>
  <c r="D1316" i="2"/>
  <c r="D1304" i="2"/>
  <c r="D1293" i="2"/>
  <c r="D1288" i="2"/>
  <c r="D1280" i="2"/>
  <c r="D1249" i="2"/>
  <c r="D1250" i="2"/>
  <c r="D1246" i="2"/>
  <c r="D1238" i="2"/>
  <c r="D1237" i="2"/>
  <c r="D1231" i="2"/>
  <c r="D1229" i="2"/>
  <c r="D1228" i="2"/>
  <c r="D1221" i="2"/>
  <c r="D1214" i="2"/>
  <c r="D1206" i="2"/>
  <c r="D1202" i="2"/>
  <c r="D1199" i="2"/>
  <c r="D1190" i="2"/>
  <c r="D1185" i="2"/>
  <c r="D1337" i="2"/>
  <c r="D1336" i="2"/>
  <c r="D1331" i="2"/>
  <c r="D1329" i="2"/>
  <c r="D1328" i="2"/>
  <c r="D1321" i="2"/>
  <c r="D1318" i="2"/>
  <c r="D1315" i="2"/>
  <c r="D1314" i="2"/>
  <c r="D1311" i="2"/>
  <c r="D1310" i="2"/>
  <c r="D1308" i="2"/>
  <c r="D1305" i="2"/>
  <c r="D1294" i="2"/>
  <c r="D1292" i="2"/>
  <c r="D1289" i="2"/>
  <c r="D1284" i="2"/>
  <c r="D1282" i="2"/>
  <c r="D1274" i="2"/>
  <c r="D1273" i="2"/>
  <c r="D1271" i="2"/>
  <c r="D1267" i="2"/>
  <c r="D1262" i="2"/>
  <c r="D1258" i="2"/>
  <c r="D1256" i="2"/>
  <c r="D1251" i="2"/>
  <c r="D1245" i="2"/>
  <c r="D1244" i="2"/>
  <c r="D1241" i="2"/>
  <c r="D1239" i="2"/>
  <c r="D1236" i="2"/>
  <c r="D1235" i="2"/>
  <c r="D1232" i="2"/>
  <c r="D1230" i="2"/>
  <c r="D1227" i="2"/>
  <c r="D1226" i="2"/>
  <c r="D1225" i="2"/>
  <c r="D1223" i="2"/>
  <c r="D1222" i="2"/>
  <c r="D1220" i="2"/>
  <c r="D1218" i="2"/>
  <c r="D1217" i="2"/>
  <c r="D1215" i="2"/>
  <c r="D1211" i="2"/>
  <c r="D1209" i="2"/>
  <c r="D1207" i="2"/>
  <c r="D1205" i="2"/>
  <c r="D1201" i="2"/>
  <c r="D1198" i="2"/>
  <c r="D1196" i="2"/>
  <c r="D1195" i="2"/>
  <c r="D1194" i="2"/>
  <c r="D1192" i="2"/>
  <c r="D1189" i="2"/>
  <c r="D1184" i="2"/>
  <c r="E1299" i="2"/>
  <c r="D1299" i="2" s="1"/>
  <c r="E1298" i="2"/>
  <c r="D1298" i="2" s="1"/>
  <c r="E1300" i="2"/>
  <c r="D1300" i="2" s="1"/>
  <c r="E1301" i="2"/>
  <c r="D1301" i="2"/>
  <c r="E1297" i="2"/>
  <c r="D1297" i="2" s="1"/>
  <c r="E1323" i="2"/>
  <c r="D1323" i="2" s="1"/>
  <c r="E1325" i="2"/>
  <c r="D1325" i="2" s="1"/>
  <c r="E1333" i="2"/>
  <c r="D1333" i="2" s="1"/>
  <c r="E1335" i="2"/>
  <c r="D1335" i="2" s="1"/>
  <c r="E1334" i="2"/>
  <c r="D1334" i="2" s="1"/>
  <c r="E1287" i="2"/>
  <c r="D1287" i="2" s="1"/>
  <c r="E1279" i="2"/>
  <c r="D1279" i="2" s="1"/>
  <c r="E1278" i="2"/>
  <c r="D1278" i="2" s="1"/>
  <c r="E1276" i="2"/>
  <c r="D1276" i="2" s="1"/>
  <c r="E1277" i="2"/>
  <c r="D1277" i="2" s="1"/>
  <c r="D1142" i="2"/>
  <c r="D1180" i="2"/>
  <c r="D1179" i="2"/>
  <c r="E1056" i="2"/>
  <c r="D1056" i="2" s="1"/>
  <c r="E1059" i="2"/>
  <c r="D1059" i="2" s="1"/>
  <c r="D898" i="2"/>
  <c r="D895" i="2"/>
  <c r="D897" i="2"/>
  <c r="D896" i="2"/>
  <c r="D899" i="2"/>
  <c r="D945" i="2"/>
  <c r="D944" i="2"/>
  <c r="D943" i="2"/>
  <c r="D942" i="2"/>
  <c r="D966" i="2"/>
  <c r="D967" i="2"/>
  <c r="D1013" i="2"/>
  <c r="D987" i="2"/>
  <c r="D978" i="2"/>
  <c r="D939" i="2"/>
  <c r="D933" i="2"/>
  <c r="D903" i="2"/>
  <c r="D884" i="2"/>
  <c r="D870" i="2"/>
  <c r="D867" i="2"/>
  <c r="D860" i="2"/>
  <c r="D849" i="2"/>
  <c r="D844" i="2"/>
  <c r="D838" i="2"/>
  <c r="D835" i="2"/>
  <c r="D829" i="2"/>
  <c r="D827" i="2"/>
  <c r="D819" i="2"/>
  <c r="D813" i="2"/>
  <c r="D808" i="2"/>
  <c r="D792" i="2"/>
  <c r="D790" i="2"/>
  <c r="D745" i="2"/>
  <c r="D735" i="2"/>
  <c r="D711" i="2"/>
  <c r="D705" i="2"/>
  <c r="D703" i="2"/>
  <c r="D689" i="2"/>
  <c r="D681" i="2"/>
  <c r="D667" i="2"/>
  <c r="D664" i="2"/>
  <c r="D632" i="2"/>
  <c r="D625" i="2"/>
  <c r="D618" i="2"/>
  <c r="D600" i="2"/>
  <c r="D586" i="2"/>
  <c r="D567" i="2"/>
  <c r="D535" i="2"/>
  <c r="D533" i="2"/>
  <c r="D520" i="2"/>
  <c r="D503" i="2"/>
  <c r="D492" i="2"/>
  <c r="D482" i="2"/>
  <c r="D448" i="2"/>
  <c r="D445" i="2"/>
  <c r="D981" i="2"/>
  <c r="D965" i="2"/>
  <c r="D941" i="2"/>
  <c r="D935" i="2"/>
  <c r="D885" i="2"/>
  <c r="D872" i="2"/>
  <c r="D869" i="2"/>
  <c r="D859" i="2"/>
  <c r="D850" i="2"/>
  <c r="D845" i="2"/>
  <c r="D840" i="2"/>
  <c r="D836" i="2"/>
  <c r="D831" i="2"/>
  <c r="D824" i="2"/>
  <c r="D821" i="2"/>
  <c r="D816" i="2"/>
  <c r="D810" i="2"/>
  <c r="D794" i="2"/>
  <c r="D791" i="2"/>
  <c r="D752" i="2"/>
  <c r="D756" i="2"/>
  <c r="D744" i="2"/>
  <c r="D734" i="2"/>
  <c r="D736" i="2"/>
  <c r="D712" i="2"/>
  <c r="D702" i="2"/>
  <c r="D691" i="2"/>
  <c r="D683" i="2"/>
  <c r="D665" i="2"/>
  <c r="D669" i="2"/>
  <c r="D659" i="2"/>
  <c r="D657" i="2"/>
  <c r="D652" i="2"/>
  <c r="D630" i="2"/>
  <c r="D636" i="2"/>
  <c r="D628" i="2"/>
  <c r="D622" i="2"/>
  <c r="D603" i="2"/>
  <c r="D602" i="2"/>
  <c r="D588" i="2"/>
  <c r="D566" i="2"/>
  <c r="D569" i="2"/>
  <c r="D560" i="2"/>
  <c r="D543" i="2"/>
  <c r="D530" i="2"/>
  <c r="D537" i="2"/>
  <c r="D522" i="2"/>
  <c r="D504" i="2"/>
  <c r="D488" i="2"/>
  <c r="D494" i="2"/>
  <c r="D481" i="2"/>
  <c r="D485" i="2"/>
  <c r="D460" i="2"/>
  <c r="D449" i="2"/>
  <c r="D444" i="2"/>
  <c r="D1016" i="2"/>
  <c r="D1010" i="2"/>
  <c r="D1012" i="2"/>
  <c r="D1008" i="2"/>
  <c r="D1005" i="2"/>
  <c r="D1007" i="2"/>
  <c r="D993" i="2"/>
  <c r="D991" i="2"/>
  <c r="D990" i="2"/>
  <c r="D989" i="2"/>
  <c r="D983" i="2"/>
  <c r="D982" i="2"/>
  <c r="D977" i="2"/>
  <c r="D980" i="2"/>
  <c r="D970" i="2"/>
  <c r="D960" i="2"/>
  <c r="D963" i="2"/>
  <c r="D940" i="2"/>
  <c r="D932" i="2"/>
  <c r="D936" i="2"/>
  <c r="D908" i="2"/>
  <c r="D907" i="2"/>
  <c r="D881" i="2"/>
  <c r="D883" i="2"/>
  <c r="D874" i="2"/>
  <c r="D868" i="2"/>
  <c r="D858" i="2"/>
  <c r="D847" i="2"/>
  <c r="D848" i="2"/>
  <c r="D846" i="2"/>
  <c r="D839" i="2"/>
  <c r="D834" i="2"/>
  <c r="D830" i="2"/>
  <c r="D822" i="2"/>
  <c r="D826" i="2"/>
  <c r="D817" i="2"/>
  <c r="D818" i="2"/>
  <c r="D812" i="2"/>
  <c r="D815" i="2"/>
  <c r="D805" i="2"/>
  <c r="D809" i="2"/>
  <c r="D793" i="2"/>
  <c r="D787" i="2"/>
  <c r="D789" i="2"/>
  <c r="D758" i="2"/>
  <c r="D755" i="2"/>
  <c r="D746" i="2"/>
  <c r="D743" i="2"/>
  <c r="D733" i="2"/>
  <c r="D708" i="2"/>
  <c r="D710" i="2"/>
  <c r="D701" i="2"/>
  <c r="D690" i="2"/>
  <c r="D679" i="2"/>
  <c r="D682" i="2"/>
  <c r="D670" i="2"/>
  <c r="D666" i="2"/>
  <c r="D668" i="2"/>
  <c r="D660" i="2"/>
  <c r="D658" i="2"/>
  <c r="D656" i="2"/>
  <c r="D649" i="2"/>
  <c r="D651" i="2"/>
  <c r="D646" i="2"/>
  <c r="D635" i="2"/>
  <c r="D634" i="2"/>
  <c r="D627" i="2"/>
  <c r="D629" i="2"/>
  <c r="D621" i="2"/>
  <c r="D620" i="2"/>
  <c r="D608" i="2"/>
  <c r="D607" i="2"/>
  <c r="D606" i="2"/>
  <c r="D604" i="2"/>
  <c r="D599" i="2"/>
  <c r="D601" i="2"/>
  <c r="D589" i="2"/>
  <c r="D585" i="2"/>
  <c r="D568" i="2"/>
  <c r="D570" i="2"/>
  <c r="D564" i="2"/>
  <c r="D563" i="2"/>
  <c r="D553" i="2"/>
  <c r="D552" i="2"/>
  <c r="D546" i="2"/>
  <c r="D545" i="2"/>
  <c r="D532" i="2"/>
  <c r="D536" i="2"/>
  <c r="D529" i="2"/>
  <c r="D518" i="2"/>
  <c r="D519" i="2"/>
  <c r="D500" i="2"/>
  <c r="D502" i="2"/>
  <c r="D490" i="2"/>
  <c r="D487" i="2"/>
  <c r="D493" i="2"/>
  <c r="D484" i="2"/>
  <c r="D483" i="2"/>
  <c r="D462" i="2"/>
  <c r="D459" i="2"/>
  <c r="D451" i="2"/>
  <c r="D447" i="2"/>
  <c r="D434" i="2"/>
  <c r="D886" i="2"/>
  <c r="D854" i="2"/>
  <c r="D880" i="2"/>
  <c r="D431" i="2"/>
  <c r="D439" i="2"/>
  <c r="D591" i="2"/>
  <c r="D637" i="2"/>
  <c r="D440" i="2"/>
  <c r="D638" i="2"/>
  <c r="D1000" i="2"/>
  <c r="D998" i="2"/>
  <c r="D986" i="2"/>
  <c r="D957" i="2"/>
  <c r="D851" i="2"/>
  <c r="D696" i="2"/>
  <c r="D640" i="2"/>
  <c r="D616" i="2"/>
  <c r="D595" i="2"/>
  <c r="D582" i="2"/>
  <c r="D578" i="2"/>
  <c r="D574" i="2"/>
  <c r="D556" i="2"/>
  <c r="D507" i="2"/>
  <c r="D479" i="2"/>
  <c r="D442" i="2"/>
  <c r="D999" i="2"/>
  <c r="D926" i="2"/>
  <c r="D852" i="2"/>
  <c r="D641" i="2"/>
  <c r="D596" i="2"/>
  <c r="D579" i="2"/>
  <c r="D437" i="2"/>
  <c r="D976" i="2"/>
  <c r="D928" i="2"/>
  <c r="D887" i="2"/>
  <c r="D853" i="2"/>
  <c r="D722" i="2"/>
  <c r="D695" i="2"/>
  <c r="D684" i="2"/>
  <c r="D639" i="2"/>
  <c r="D615" i="2"/>
  <c r="D593" i="2"/>
  <c r="D577" i="2"/>
  <c r="D555" i="2"/>
  <c r="D513" i="2"/>
  <c r="D975" i="2"/>
  <c r="D929" i="2"/>
  <c r="D890" i="2"/>
  <c r="D855" i="2"/>
  <c r="D795" i="2"/>
  <c r="D783" i="2"/>
  <c r="D724" i="2"/>
  <c r="D697" i="2"/>
  <c r="D687" i="2"/>
  <c r="D643" i="2"/>
  <c r="D592" i="2"/>
  <c r="D597" i="2"/>
  <c r="D580" i="2"/>
  <c r="D583" i="2"/>
  <c r="D558" i="2"/>
  <c r="D516" i="2"/>
  <c r="D505" i="2"/>
  <c r="D478" i="2"/>
  <c r="D438" i="2"/>
  <c r="D441" i="2"/>
  <c r="D1001" i="2"/>
  <c r="D997" i="2"/>
  <c r="D995" i="2"/>
  <c r="D992" i="2"/>
  <c r="D985" i="2"/>
  <c r="D959" i="2"/>
  <c r="D927" i="2"/>
  <c r="D930" i="2"/>
  <c r="D888" i="2"/>
  <c r="D889" i="2"/>
  <c r="D857" i="2"/>
  <c r="D856" i="2"/>
  <c r="D798" i="2"/>
  <c r="D799" i="2"/>
  <c r="D786" i="2"/>
  <c r="D785" i="2"/>
  <c r="D720" i="2"/>
  <c r="D723" i="2"/>
  <c r="D694" i="2"/>
  <c r="D693" i="2"/>
  <c r="D698" i="2"/>
  <c r="D686" i="2"/>
  <c r="D644" i="2"/>
  <c r="D642" i="2"/>
  <c r="D617" i="2"/>
  <c r="D613" i="2"/>
  <c r="D598" i="2"/>
  <c r="D594" i="2"/>
  <c r="D584" i="2"/>
  <c r="D581" i="2"/>
  <c r="D576" i="2"/>
  <c r="D575" i="2"/>
  <c r="D559" i="2"/>
  <c r="D557" i="2"/>
  <c r="D517" i="2"/>
  <c r="D515" i="2"/>
  <c r="D511" i="2"/>
  <c r="D510" i="2"/>
  <c r="D480" i="2"/>
  <c r="D476" i="2"/>
  <c r="D443" i="2"/>
  <c r="D436" i="2"/>
  <c r="D430" i="2"/>
  <c r="D428" i="2"/>
  <c r="D911" i="2"/>
  <c r="D909" i="2"/>
  <c r="D913" i="2"/>
  <c r="D912" i="2"/>
  <c r="D782" i="2"/>
  <c r="D572" i="2"/>
  <c r="D512" i="2"/>
  <c r="E2556" i="2"/>
  <c r="D2556" i="2" s="1"/>
  <c r="E2564" i="2"/>
  <c r="D2564" i="2" s="1"/>
  <c r="D2575" i="2"/>
  <c r="G2129" i="2"/>
  <c r="D2129" i="2" s="1"/>
  <c r="G2131" i="2"/>
  <c r="D2131" i="2" s="1"/>
  <c r="E1705" i="2"/>
  <c r="D1705" i="2" s="1"/>
  <c r="E1614" i="2"/>
  <c r="D1614" i="2" s="1"/>
  <c r="E1616" i="2"/>
  <c r="D1616" i="2" s="1"/>
  <c r="E1612" i="2"/>
  <c r="D1612" i="2" s="1"/>
  <c r="E1610" i="2"/>
  <c r="D1610" i="2" s="1"/>
  <c r="D1695" i="2"/>
  <c r="D949" i="2"/>
  <c r="D947" i="2"/>
  <c r="D948" i="2"/>
  <c r="D950" i="2"/>
  <c r="D946" i="2"/>
  <c r="D951" i="2"/>
  <c r="D917" i="2"/>
  <c r="D919" i="2"/>
  <c r="D918" i="2"/>
  <c r="D862" i="2"/>
  <c r="D861" i="2"/>
  <c r="D863" i="2"/>
  <c r="D864" i="2"/>
  <c r="D2603" i="2"/>
  <c r="D2689" i="2"/>
  <c r="E2706" i="2"/>
  <c r="D2706" i="2" s="1"/>
  <c r="D14" i="2"/>
  <c r="E2701" i="2"/>
  <c r="D2701" i="2"/>
  <c r="E2708" i="2"/>
  <c r="D2708" i="2" s="1"/>
  <c r="G921" i="2"/>
  <c r="D921" i="2" s="1"/>
  <c r="G472" i="2"/>
  <c r="D472" i="2" s="1"/>
  <c r="G877" i="2"/>
  <c r="D877" i="2" s="1"/>
  <c r="G777" i="2"/>
  <c r="D777" i="2" s="1"/>
  <c r="G465" i="2"/>
  <c r="D465" i="2" s="1"/>
  <c r="G456" i="2"/>
  <c r="D456" i="2" s="1"/>
  <c r="D953" i="2"/>
  <c r="D922" i="2"/>
  <c r="D892" i="2"/>
  <c r="D778" i="2"/>
  <c r="D762" i="2"/>
  <c r="D748" i="2"/>
  <c r="D741" i="2"/>
  <c r="D740" i="2"/>
  <c r="D676" i="2"/>
  <c r="D549" i="2"/>
  <c r="D548" i="2"/>
  <c r="D541" i="2"/>
  <c r="D474" i="2"/>
  <c r="D471" i="2"/>
  <c r="D468" i="2"/>
  <c r="D452" i="2"/>
  <c r="D418" i="2"/>
  <c r="E376" i="2"/>
  <c r="D376" i="2" s="1"/>
  <c r="D180" i="2"/>
  <c r="D167" i="2"/>
  <c r="D168" i="2"/>
  <c r="D166" i="2"/>
  <c r="D82" i="2"/>
  <c r="E48" i="2"/>
  <c r="D48" i="2" s="1"/>
  <c r="E56" i="2"/>
  <c r="D56" i="2" s="1"/>
  <c r="E55" i="2"/>
  <c r="D55" i="2" s="1"/>
  <c r="E57" i="2"/>
  <c r="D57" i="2" s="1"/>
  <c r="E59" i="2"/>
  <c r="D59" i="2" s="1"/>
  <c r="E58" i="2"/>
  <c r="D58" i="2" s="1"/>
  <c r="E61" i="2"/>
  <c r="D61" i="2" s="1"/>
  <c r="E60" i="2"/>
  <c r="D60" i="2" s="1"/>
  <c r="D15" i="2"/>
  <c r="D2443" i="2"/>
  <c r="G2616" i="2"/>
  <c r="E2697" i="2"/>
  <c r="D2697" i="2" s="1"/>
  <c r="G367" i="2"/>
  <c r="E362" i="2"/>
  <c r="D362" i="2" s="1"/>
  <c r="E363" i="2"/>
  <c r="D363" i="2" s="1"/>
  <c r="E352" i="2"/>
  <c r="D352" i="2" s="1"/>
  <c r="E355" i="2"/>
  <c r="D355" i="2" s="1"/>
  <c r="E359" i="2"/>
  <c r="D359" i="2" s="1"/>
  <c r="E353" i="2"/>
  <c r="D353" i="2" s="1"/>
  <c r="G336" i="2"/>
  <c r="E334" i="2"/>
  <c r="D334" i="2" s="1"/>
  <c r="E333" i="2"/>
  <c r="D333" i="2" s="1"/>
  <c r="E340" i="2"/>
  <c r="D340" i="2" s="1"/>
  <c r="E341" i="2"/>
  <c r="D341" i="2" s="1"/>
  <c r="E342" i="2"/>
  <c r="D342" i="2" s="1"/>
  <c r="E337" i="2"/>
  <c r="D337" i="2" s="1"/>
  <c r="E335" i="2"/>
  <c r="D335" i="2" s="1"/>
  <c r="E344" i="2"/>
  <c r="D344" i="2" s="1"/>
  <c r="E346" i="2"/>
  <c r="D346" i="2"/>
  <c r="E338" i="2"/>
  <c r="D338" i="2"/>
  <c r="E327" i="2"/>
  <c r="D327" i="2" s="1"/>
  <c r="E332" i="2"/>
  <c r="D332" i="2" s="1"/>
  <c r="E331" i="2"/>
  <c r="D331" i="2" s="1"/>
  <c r="E330" i="2"/>
  <c r="D330" i="2" s="1"/>
  <c r="E324" i="2"/>
  <c r="D324" i="2" s="1"/>
  <c r="E323" i="2"/>
  <c r="D323" i="2" s="1"/>
  <c r="E320" i="2"/>
  <c r="D320" i="2" s="1"/>
  <c r="E317" i="2"/>
  <c r="D317" i="2" s="1"/>
  <c r="E315" i="2"/>
  <c r="D315" i="2" s="1"/>
  <c r="E314" i="2"/>
  <c r="D314" i="2" s="1"/>
  <c r="E321" i="2"/>
  <c r="D321" i="2" s="1"/>
  <c r="E318" i="2"/>
  <c r="D318" i="2" s="1"/>
  <c r="D308" i="2"/>
  <c r="D307" i="2"/>
  <c r="D306" i="2"/>
  <c r="E298" i="2"/>
  <c r="D298" i="2"/>
  <c r="E299" i="2"/>
  <c r="D299" i="2"/>
  <c r="E296" i="2"/>
  <c r="D296" i="2" s="1"/>
  <c r="E295" i="2"/>
  <c r="D295" i="2" s="1"/>
  <c r="E291" i="2"/>
  <c r="D291" i="2" s="1"/>
  <c r="E262" i="2"/>
  <c r="D262" i="2" s="1"/>
  <c r="E220" i="2"/>
  <c r="D220" i="2" s="1"/>
  <c r="E222" i="2"/>
  <c r="D222" i="2"/>
  <c r="E219" i="2"/>
  <c r="D219" i="2" s="1"/>
  <c r="D83" i="2"/>
  <c r="D423" i="2"/>
  <c r="D1545" i="2"/>
  <c r="D1886" i="2"/>
  <c r="D66" i="2"/>
  <c r="D63" i="2"/>
  <c r="D62" i="2"/>
  <c r="D46" i="2"/>
  <c r="D49" i="2"/>
  <c r="D51" i="2"/>
  <c r="D50" i="2"/>
  <c r="D52" i="2"/>
  <c r="D54" i="2"/>
  <c r="D42" i="2"/>
  <c r="D43" i="2"/>
  <c r="D44" i="2"/>
  <c r="D45" i="2"/>
  <c r="D47" i="2"/>
  <c r="D37" i="2"/>
  <c r="D36" i="2"/>
  <c r="D40" i="2"/>
  <c r="D39" i="2"/>
  <c r="D41" i="2"/>
  <c r="D1496" i="2"/>
  <c r="D2020" i="2"/>
  <c r="D2004" i="2"/>
  <c r="E1969" i="2"/>
  <c r="D1969" i="2" s="1"/>
  <c r="E1951" i="2"/>
  <c r="D1951" i="2" s="1"/>
  <c r="E1948" i="2"/>
  <c r="D1948" i="2" s="1"/>
  <c r="E1952" i="2"/>
  <c r="D1952" i="2" s="1"/>
  <c r="D416" i="2"/>
  <c r="E377" i="2"/>
  <c r="D377" i="2" s="1"/>
  <c r="E375" i="2"/>
  <c r="D375" i="2" s="1"/>
  <c r="E373" i="2"/>
  <c r="D373" i="2" s="1"/>
  <c r="E371" i="2"/>
  <c r="D371" i="2"/>
  <c r="D403" i="2"/>
  <c r="E2709" i="2"/>
  <c r="D2709" i="2" s="1"/>
  <c r="E2710" i="2"/>
  <c r="D2710" i="2"/>
  <c r="E2707" i="2"/>
  <c r="D2707" i="2" s="1"/>
  <c r="E2702" i="2"/>
  <c r="D2702" i="2" s="1"/>
  <c r="E2705" i="2"/>
  <c r="D2705" i="2"/>
  <c r="E2704" i="2"/>
  <c r="D2704" i="2" s="1"/>
  <c r="E1575" i="2"/>
  <c r="D1574" i="2"/>
  <c r="D1576" i="2"/>
  <c r="E1573" i="2"/>
  <c r="E1530" i="2"/>
  <c r="D1530" i="2" s="1"/>
  <c r="E1533" i="2"/>
  <c r="D1533" i="2"/>
  <c r="E1527" i="2"/>
  <c r="D1527" i="2"/>
  <c r="E1528" i="2"/>
  <c r="D1528" i="2" s="1"/>
  <c r="E1529" i="2"/>
  <c r="D1529" i="2" s="1"/>
  <c r="D2695" i="2"/>
  <c r="D2694" i="2"/>
  <c r="D2692" i="2"/>
  <c r="D2693" i="2"/>
  <c r="D802" i="2"/>
  <c r="D801" i="2"/>
  <c r="D753" i="2"/>
  <c r="D731" i="2"/>
  <c r="D732" i="2"/>
  <c r="D717" i="2"/>
  <c r="D718" i="2"/>
  <c r="D715" i="2"/>
  <c r="D716" i="2"/>
  <c r="D713" i="2"/>
  <c r="D719" i="2"/>
  <c r="D706" i="2"/>
  <c r="D561" i="2"/>
  <c r="D527" i="2"/>
  <c r="D497" i="2"/>
  <c r="D499" i="2"/>
  <c r="D495" i="2"/>
  <c r="D797" i="2"/>
  <c r="D721" i="2"/>
  <c r="D692" i="2"/>
  <c r="D685" i="2"/>
  <c r="D506" i="2"/>
  <c r="D508" i="2"/>
  <c r="D509" i="2"/>
  <c r="D477" i="2"/>
  <c r="E770" i="2"/>
  <c r="D770" i="2" s="1"/>
  <c r="D2527" i="2"/>
  <c r="E2609" i="2"/>
  <c r="D2609" i="2" s="1"/>
  <c r="E2195" i="2"/>
  <c r="D2195" i="2" s="1"/>
  <c r="E2201" i="2"/>
  <c r="D2201" i="2" s="1"/>
  <c r="D1200" i="2"/>
  <c r="F2525" i="2"/>
  <c r="E2525" i="2"/>
  <c r="E2072" i="2"/>
  <c r="D2072" i="2" s="1"/>
  <c r="D1577" i="2"/>
  <c r="E309" i="2"/>
  <c r="D309" i="2" s="1"/>
  <c r="E1578" i="2"/>
  <c r="D1578" i="2" s="1"/>
  <c r="E1121" i="2"/>
  <c r="D1121" i="2"/>
  <c r="D1110" i="2"/>
  <c r="D1113" i="2"/>
  <c r="D1111" i="2"/>
  <c r="D1112" i="2"/>
  <c r="E1116" i="2"/>
  <c r="D1116" i="2" s="1"/>
  <c r="E1060" i="2"/>
  <c r="D1060" i="2" s="1"/>
  <c r="E1061" i="2"/>
  <c r="D1061" i="2" s="1"/>
  <c r="E1058" i="2"/>
  <c r="D1058" i="2" s="1"/>
  <c r="E1057" i="2"/>
  <c r="D1057" i="2" s="1"/>
  <c r="D1159" i="2"/>
  <c r="F1062" i="2"/>
  <c r="D1051" i="2"/>
  <c r="D1034" i="2"/>
  <c r="D1027" i="2"/>
  <c r="D1033" i="2"/>
  <c r="D1036" i="2"/>
  <c r="F1169" i="2"/>
  <c r="F1165" i="2"/>
  <c r="F1168" i="2"/>
  <c r="E1169" i="2"/>
  <c r="E1165" i="2"/>
  <c r="E1168" i="2"/>
  <c r="D1099" i="2"/>
  <c r="E1072" i="2"/>
  <c r="D1072" i="2" s="1"/>
  <c r="E1077" i="2"/>
  <c r="D1077" i="2" s="1"/>
  <c r="E1082" i="2"/>
  <c r="D1082" i="2" s="1"/>
  <c r="E1084" i="2"/>
  <c r="D1084" i="2" s="1"/>
  <c r="F1124" i="2"/>
  <c r="F1136" i="2"/>
  <c r="D1136" i="2" s="1"/>
  <c r="F1135" i="2"/>
  <c r="D1135" i="2" s="1"/>
  <c r="F1137" i="2"/>
  <c r="D1137" i="2"/>
  <c r="D1130" i="2"/>
  <c r="D1915" i="2"/>
  <c r="D1885" i="2"/>
  <c r="D1884" i="2"/>
  <c r="D1887" i="2"/>
  <c r="D1883" i="2"/>
  <c r="D1878" i="2"/>
  <c r="D1945" i="2"/>
  <c r="D2007" i="2"/>
  <c r="D2000" i="2"/>
  <c r="D1997" i="2"/>
  <c r="D2332" i="2"/>
  <c r="D2334" i="2"/>
  <c r="E2011" i="2"/>
  <c r="D2011" i="2" s="1"/>
  <c r="D2396" i="2"/>
  <c r="D1922" i="2"/>
  <c r="F2405" i="2"/>
  <c r="D1730" i="2"/>
  <c r="D1754" i="2"/>
  <c r="E2457" i="2"/>
  <c r="D2457" i="2" s="1"/>
  <c r="E2444" i="2"/>
  <c r="D2444" i="2" s="1"/>
  <c r="D2355" i="2"/>
  <c r="E2356" i="2"/>
  <c r="D2356" i="2" s="1"/>
  <c r="G1892" i="2"/>
  <c r="G1890" i="2"/>
  <c r="D1863" i="2"/>
  <c r="D1858" i="2"/>
  <c r="D1859" i="2"/>
  <c r="D1855" i="2"/>
  <c r="D1854" i="2"/>
  <c r="D1853" i="2"/>
  <c r="D1852" i="2"/>
  <c r="E1702" i="2"/>
  <c r="D1702" i="2" s="1"/>
  <c r="E1689" i="2"/>
  <c r="D1689" i="2" s="1"/>
  <c r="D1543" i="2"/>
  <c r="D1544" i="2"/>
  <c r="D1548" i="2"/>
  <c r="D1550" i="2"/>
  <c r="D1549" i="2"/>
  <c r="D1547" i="2"/>
  <c r="D1546" i="2"/>
  <c r="D1538" i="2"/>
  <c r="E1539" i="2"/>
  <c r="D1539" i="2" s="1"/>
  <c r="D421" i="2"/>
  <c r="D358" i="2"/>
  <c r="D278" i="2"/>
  <c r="D281" i="2"/>
  <c r="D282" i="2"/>
  <c r="D279" i="2"/>
  <c r="D275" i="2"/>
  <c r="D276" i="2"/>
  <c r="D203" i="2"/>
  <c r="D192" i="2"/>
  <c r="D193" i="2"/>
  <c r="D190" i="2"/>
  <c r="D189" i="2"/>
  <c r="D165" i="2"/>
  <c r="D182" i="2"/>
  <c r="D137" i="2"/>
  <c r="D101" i="2"/>
  <c r="D103" i="2"/>
  <c r="D1344" i="2"/>
  <c r="D84" i="2"/>
  <c r="D1719" i="2"/>
  <c r="D1715" i="2"/>
  <c r="D1709" i="2"/>
  <c r="D1710" i="2"/>
  <c r="D1356" i="2"/>
  <c r="D1261" i="2"/>
  <c r="D1801" i="2"/>
  <c r="D407" i="2"/>
  <c r="D4" i="2"/>
  <c r="D1085" i="2"/>
  <c r="D672" i="2"/>
  <c r="D2555" i="2"/>
  <c r="D1083" i="2"/>
  <c r="D1164" i="2"/>
  <c r="D1902" i="2"/>
  <c r="D2481" i="2"/>
  <c r="D1161" i="2"/>
  <c r="D1098" i="2"/>
  <c r="D1698" i="2"/>
  <c r="D1071" i="2"/>
  <c r="D435" i="2"/>
  <c r="D1873" i="2"/>
  <c r="D1817" i="2"/>
  <c r="D1460" i="2"/>
  <c r="D1449" i="2"/>
  <c r="D1186" i="2"/>
  <c r="D2399" i="2"/>
  <c r="D1369" i="2"/>
  <c r="D1134" i="2"/>
  <c r="E2698" i="2"/>
  <c r="D2698" i="2" s="1"/>
  <c r="D72" i="2"/>
  <c r="D77" i="2"/>
  <c r="D75" i="2"/>
  <c r="D71" i="2"/>
  <c r="D69" i="2"/>
  <c r="D70" i="2"/>
  <c r="D1846" i="2"/>
  <c r="D1845" i="2"/>
  <c r="D1848" i="2"/>
  <c r="D1847" i="2"/>
  <c r="D1722" i="2"/>
  <c r="D79" i="2"/>
  <c r="E1592" i="2"/>
  <c r="D1592" i="2" s="1"/>
  <c r="E1593" i="2"/>
  <c r="D1593" i="2" s="1"/>
  <c r="E1596" i="2"/>
  <c r="D1596" i="2" s="1"/>
  <c r="E1595" i="2"/>
  <c r="D1595" i="2" s="1"/>
  <c r="E1594" i="2"/>
  <c r="D1594" i="2" s="1"/>
  <c r="D1177" i="2"/>
  <c r="D1181" i="2"/>
  <c r="E1626" i="2"/>
  <c r="D1626" i="2" s="1"/>
  <c r="E1623" i="2"/>
  <c r="D1623" i="2" s="1"/>
  <c r="E1621" i="2"/>
  <c r="D1621" i="2"/>
  <c r="E1619" i="2"/>
  <c r="D1619" i="2" s="1"/>
  <c r="F1709" i="2"/>
  <c r="E1357" i="2"/>
  <c r="E1358" i="2"/>
  <c r="D1172" i="2"/>
  <c r="D1170" i="2"/>
  <c r="D1163" i="2"/>
  <c r="D1151" i="2"/>
  <c r="D1160" i="2"/>
  <c r="D1162" i="2"/>
  <c r="D1140" i="2"/>
  <c r="D1128" i="2"/>
  <c r="D1139" i="2"/>
  <c r="D1138" i="2"/>
  <c r="E2205" i="2"/>
  <c r="D2205" i="2" s="1"/>
  <c r="D1977" i="2"/>
  <c r="D1132" i="2"/>
  <c r="D1124" i="2"/>
  <c r="D1065" i="2"/>
  <c r="D1062" i="2"/>
  <c r="D1069" i="2"/>
  <c r="D1068" i="2"/>
  <c r="D1054" i="2"/>
  <c r="D1055" i="2"/>
  <c r="D1053" i="2"/>
  <c r="D1049" i="2"/>
  <c r="D1047" i="2"/>
  <c r="D145" i="2"/>
  <c r="D144" i="2"/>
  <c r="D143" i="2"/>
  <c r="D142" i="2"/>
  <c r="D141" i="2"/>
  <c r="D140" i="2"/>
  <c r="D139" i="2"/>
  <c r="D138" i="2"/>
  <c r="D1882" i="2"/>
  <c r="E2342" i="2"/>
  <c r="D2342" i="2" s="1"/>
  <c r="E1359" i="2"/>
  <c r="D2030" i="2"/>
  <c r="D2209" i="2"/>
  <c r="D1804" i="2"/>
  <c r="D1870" i="2"/>
  <c r="D1551" i="2"/>
  <c r="D1756" i="2"/>
  <c r="D1759" i="2"/>
  <c r="D1927" i="2"/>
  <c r="D1905" i="2"/>
  <c r="D2153" i="2"/>
  <c r="D1869" i="2"/>
  <c r="D1816" i="2"/>
  <c r="D1998" i="2"/>
  <c r="D2015" i="2"/>
  <c r="D1880" i="2"/>
  <c r="E1608" i="2"/>
  <c r="D1608" i="2" s="1"/>
  <c r="D2336" i="2"/>
  <c r="D2002" i="2"/>
  <c r="D1347" i="2"/>
  <c r="D1340" i="2"/>
  <c r="D1339" i="2"/>
  <c r="E1586" i="2"/>
  <c r="D1586" i="2" s="1"/>
  <c r="E1559" i="2"/>
  <c r="D1559" i="2"/>
  <c r="E1557" i="2"/>
  <c r="D1557" i="2"/>
  <c r="E1552" i="2"/>
  <c r="D1552" i="2" s="1"/>
  <c r="E1553" i="2"/>
  <c r="D1553" i="2" s="1"/>
  <c r="E1554" i="2"/>
  <c r="D1554" i="2" s="1"/>
  <c r="E1563" i="2"/>
  <c r="D1563" i="2" s="1"/>
  <c r="E1564" i="2"/>
  <c r="D1564" i="2" s="1"/>
  <c r="E2561" i="2"/>
  <c r="D2561" i="2" s="1"/>
  <c r="E2566" i="2"/>
  <c r="D2566" i="2" s="1"/>
  <c r="E2567" i="2"/>
  <c r="D2567" i="2"/>
  <c r="D1723" i="2"/>
  <c r="D1093" i="2"/>
  <c r="D1104" i="2"/>
  <c r="D1025" i="2"/>
  <c r="D1024" i="2"/>
  <c r="D1023" i="2"/>
  <c r="D1040" i="2"/>
  <c r="E1589" i="2"/>
  <c r="D1589" i="2" s="1"/>
  <c r="D1030" i="2"/>
  <c r="D1849" i="2"/>
  <c r="D2022" i="2"/>
  <c r="D1346" i="2"/>
  <c r="D2033" i="2"/>
  <c r="D1345" i="2"/>
  <c r="E1568" i="2"/>
  <c r="D1568" i="2" s="1"/>
  <c r="D1341" i="2"/>
  <c r="D1724" i="2"/>
  <c r="D1707" i="2"/>
  <c r="D1708" i="2"/>
  <c r="D1711" i="2"/>
  <c r="D1712" i="2"/>
  <c r="D1713" i="2"/>
  <c r="D1714" i="2"/>
  <c r="D1716" i="2"/>
  <c r="D1717" i="2"/>
  <c r="D1718" i="2"/>
  <c r="D1720" i="2"/>
  <c r="D1721" i="2"/>
  <c r="D1706" i="2"/>
  <c r="E1630" i="2"/>
  <c r="D1630" i="2"/>
  <c r="E1629" i="2"/>
  <c r="D1629" i="2" s="1"/>
  <c r="E1627" i="2"/>
  <c r="D1627" i="2" s="1"/>
  <c r="E1624" i="2"/>
  <c r="D1624" i="2" s="1"/>
  <c r="E1618" i="2"/>
  <c r="D1618" i="2" s="1"/>
  <c r="E1611" i="2"/>
  <c r="D1611" i="2" s="1"/>
  <c r="E1620" i="2"/>
  <c r="D1620" i="2" s="1"/>
  <c r="E1622" i="2"/>
  <c r="D1622" i="2" s="1"/>
  <c r="D404" i="2"/>
  <c r="E251" i="2"/>
  <c r="E1613" i="2"/>
  <c r="D1613" i="2"/>
  <c r="D411" i="2"/>
  <c r="E1617" i="2"/>
  <c r="D1617" i="2" s="1"/>
  <c r="E1628" i="2"/>
  <c r="D1628" i="2" s="1"/>
  <c r="E1625" i="2"/>
  <c r="D1625" i="2" s="1"/>
  <c r="D427" i="2"/>
  <c r="D424" i="2"/>
  <c r="D420" i="2"/>
  <c r="D454" i="2"/>
  <c r="D457" i="2"/>
  <c r="D470" i="2"/>
  <c r="D750" i="2"/>
  <c r="D357" i="2"/>
  <c r="D360" i="2"/>
  <c r="D369" i="2"/>
  <c r="D370" i="2"/>
  <c r="D379" i="2"/>
  <c r="D380" i="2"/>
  <c r="D381" i="2"/>
  <c r="D114" i="2"/>
  <c r="D124" i="2"/>
  <c r="D123" i="2"/>
  <c r="D130" i="2"/>
  <c r="D133" i="2"/>
  <c r="D118" i="2"/>
  <c r="D128" i="2"/>
  <c r="D132" i="2"/>
  <c r="D131" i="2"/>
  <c r="D129" i="2"/>
  <c r="D126" i="2"/>
  <c r="D125" i="2"/>
  <c r="D127" i="2"/>
  <c r="D301" i="2"/>
  <c r="D297" i="2"/>
  <c r="D285" i="2"/>
  <c r="D283" i="2"/>
  <c r="F526" i="2"/>
  <c r="F524" i="2"/>
  <c r="F455" i="2"/>
  <c r="F528" i="2"/>
  <c r="D204" i="2"/>
  <c r="D201" i="2"/>
  <c r="D206" i="2"/>
  <c r="D200" i="2"/>
  <c r="D207" i="2"/>
  <c r="D202" i="2"/>
  <c r="D209" i="2"/>
  <c r="D205" i="2"/>
  <c r="D208" i="2"/>
  <c r="D211" i="2"/>
  <c r="D212" i="2"/>
  <c r="D213" i="2"/>
  <c r="D214" i="2"/>
  <c r="D215" i="2"/>
  <c r="D216" i="2"/>
  <c r="D217" i="2"/>
  <c r="D218" i="2"/>
  <c r="D199" i="2"/>
  <c r="D197" i="2"/>
  <c r="D198" i="2"/>
  <c r="D196" i="2"/>
  <c r="D194" i="2"/>
  <c r="D195" i="2"/>
  <c r="D191" i="2"/>
  <c r="D185" i="2"/>
  <c r="D187" i="2"/>
  <c r="D188" i="2"/>
  <c r="D186" i="2"/>
  <c r="D156" i="2"/>
  <c r="D159" i="2"/>
  <c r="D160" i="2"/>
  <c r="D157" i="2"/>
  <c r="D158" i="2"/>
  <c r="D152" i="2"/>
  <c r="D151" i="2"/>
  <c r="D154" i="2"/>
  <c r="D147" i="2"/>
  <c r="D149" i="2"/>
  <c r="D150" i="2"/>
  <c r="D164" i="2"/>
  <c r="D161" i="2"/>
  <c r="D163" i="2"/>
  <c r="D170" i="2"/>
  <c r="D171" i="2"/>
  <c r="D174" i="2"/>
  <c r="D175" i="2"/>
  <c r="D172" i="2"/>
  <c r="D173" i="2"/>
  <c r="D169" i="2"/>
  <c r="D183" i="2"/>
  <c r="D179" i="2"/>
  <c r="D177" i="2"/>
  <c r="D181" i="2"/>
  <c r="D178" i="2"/>
  <c r="D155" i="2"/>
  <c r="D108" i="2"/>
  <c r="D109" i="2"/>
  <c r="D110" i="2"/>
  <c r="D113" i="2"/>
  <c r="D107" i="2"/>
  <c r="D81" i="2"/>
  <c r="D85" i="2"/>
  <c r="D86" i="2"/>
  <c r="D87" i="2"/>
  <c r="D90" i="2"/>
  <c r="D97" i="2"/>
  <c r="D89" i="2"/>
  <c r="D92" i="2"/>
  <c r="D96" i="2"/>
  <c r="D91" i="2"/>
  <c r="D94" i="2"/>
  <c r="D95" i="2"/>
  <c r="D98" i="2"/>
  <c r="D99" i="2"/>
  <c r="D100" i="2"/>
  <c r="D102" i="2"/>
  <c r="D104" i="2"/>
  <c r="D105" i="2"/>
  <c r="D106" i="2"/>
  <c r="D88" i="2"/>
  <c r="D80" i="2"/>
  <c r="D68" i="2"/>
  <c r="D67" i="2"/>
  <c r="D73" i="2"/>
  <c r="D20" i="2"/>
  <c r="D3" i="2"/>
  <c r="D1178" i="2"/>
  <c r="D1357" i="2" l="1"/>
  <c r="D2525" i="2"/>
  <c r="D1168" i="2"/>
  <c r="D1358" i="2"/>
  <c r="D1359" i="2"/>
  <c r="D1165" i="2"/>
  <c r="D1169" i="2"/>
  <c r="D197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tc={7EB1E80A-E12F-4044-9FA5-FBF8952CEF57}</author>
    <author>tc={AE79BDF0-DB46-4B1B-920A-E29BC5F7EA73}</author>
    <author>tc={CC8FF4D3-2170-4076-AFB1-0818216DD67E}</author>
  </authors>
  <commentList>
    <comment ref="A161" authorId="0" shapeId="0" xr:uid="{7EB1E80A-E12F-4044-9FA5-FBF8952CEF57}">
      <text>
        <t>[Threaded comment]
Your version of Excel allows you to read this threaded comment; however, any edits to it will get removed if the file is opened in a newer version of Excel. Learn more: https://go.microsoft.com/fwlink/?linkid=870924
Comment:
    I quote the similar fish here</t>
      </text>
    </comment>
    <comment ref="A168" authorId="1" shapeId="0" xr:uid="{AE79BDF0-DB46-4B1B-920A-E29BC5F7EA73}">
      <text>
        <t>[Threaded comment]
Your version of Excel allows you to read this threaded comment; however, any edits to it will get removed if the file is opened in a newer version of Excel. Learn more: https://go.microsoft.com/fwlink/?linkid=870924
Comment:
    Quote the FISH,TRENCHED SARDINELLA,CURRY,W/COCONUT MILK.</t>
      </text>
    </comment>
    <comment ref="A410" authorId="2" shapeId="0" xr:uid="{CC8FF4D3-2170-4076-AFB1-0818216DD67E}">
      <text>
        <t>[Threaded comment]
Your version of Excel allows you to read this threaded comment; however, any edits to it will get removed if the file is opened in a newer version of Excel. Learn more: https://go.microsoft.com/fwlink/?linkid=870924
Comment:
    Quote the FISH,TRENCHED SARDINELLA,CURRY,W/COCONUT MILK.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tc={67D7A574-6E9F-B64D-9F2F-EDD95771D6B6}</author>
    <author>tc={78594516-EEDF-6D4B-9090-C66127E7A87C}</author>
    <author>tc={EE0FDBAC-95DF-0142-BA92-89469E1A15C2}</author>
    <author>tc={E6D1F840-C71F-D641-95C6-45BD13AF894B}</author>
    <author>tc={4E04AB03-E020-8244-807F-1FF02EB279F4}</author>
    <author>tc={74285C4B-283E-5143-8EE2-8F04ABAAE86F}</author>
    <author>tc={E0EF79F0-D662-4145-9EC8-3EE53060124B}</author>
    <author>tc={871BFDAA-F08F-D146-A521-3DDAA1F36127}</author>
    <author>tc={4E0A3B11-DDA4-664B-8BFF-9C329BEDF7A7}</author>
    <author>tc={3E5155DB-8C12-3B43-A5F7-B1231776BDD3}</author>
    <author>tc={52B14DDE-9B43-E94B-89C7-0F9CE1ECEF57}</author>
    <author>tc={6A8C009B-1FBF-9B43-833F-E8AB9482C0C4}</author>
  </authors>
  <commentList>
    <comment ref="H497" authorId="0" shapeId="0" xr:uid="{67D7A574-6E9F-B64D-9F2F-EDD95771D6B6}">
      <text>
        <t>[Threaded comment]
Your version of Excel allows you to read this threaded comment; however, any edits to it will get removed if the file is opened in a newer version of Excel. Learn more: https://go.microsoft.com/fwlink/?linkid=870924
Comment:
    I quote the similar fish here</t>
      </text>
    </comment>
    <comment ref="H504" authorId="1" shapeId="0" xr:uid="{78594516-EEDF-6D4B-9090-C66127E7A87C}">
      <text>
        <t>[Threaded comment]
Your version of Excel allows you to read this threaded comment; however, any edits to it will get removed if the file is opened in a newer version of Excel. Learn more: https://go.microsoft.com/fwlink/?linkid=870924
Comment:
    Quote the FISH,TRENCHED SARDINELLA,CURRY,W/COCONUT MILK.</t>
      </text>
    </comment>
    <comment ref="C529" authorId="2" shapeId="0" xr:uid="{EE0FDBAC-95DF-0142-BA92-89469E1A15C2}">
      <text>
        <t>[Threaded comment]
Your version of Excel allows you to read this threaded comment; however, any edits to it will get removed if the file is opened in a newer version of Excel. Learn more: https://go.microsoft.com/fwlink/?linkid=870924
Comment:
    Unit is not work with this item</t>
      </text>
    </comment>
    <comment ref="C641" authorId="3" shapeId="0" xr:uid="{E6D1F840-C71F-D641-95C6-45BD13AF894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unit would make more sense for curry/soup. </t>
      </text>
    </comment>
    <comment ref="G645" authorId="4" shapeId="0" xr:uid="{4E04AB03-E020-8244-807F-1FF02EB279F4}">
      <text>
        <t>[Threaded comment]
Your version of Excel allows you to read this threaded comment; however, any edits to it will get removed if the file is opened in a newer version of Excel. Learn more: https://go.microsoft.com/fwlink/?linkid=870924
Comment:
    In Wayanba dataset, there is 17 g for small slides, which do not apply the unit here. Should I quote other fish curry?</t>
      </text>
    </comment>
    <comment ref="H747" authorId="5" shapeId="0" xr:uid="{74285C4B-283E-5143-8EE2-8F04ABAAE86F}">
      <text>
        <t>[Threaded comment]
Your version of Excel allows you to read this threaded comment; however, any edits to it will get removed if the file is opened in a newer version of Excel. Learn more: https://go.microsoft.com/fwlink/?linkid=870924
Comment:
    Quote the FISH,TRENCHED SARDINELLA,CURRY,W/COCONUT MILK.</t>
      </text>
    </comment>
    <comment ref="C753" authorId="6" shapeId="0" xr:uid="{E0EF79F0-D662-4145-9EC8-3EE53060124B}">
      <text>
        <t>[Threaded comment]
Your version of Excel allows you to read this threaded comment; however, any edits to it will get removed if the file is opened in a newer version of Excel. Learn more: https://go.microsoft.com/fwlink/?linkid=870924
Comment:
    Question about this unit here</t>
      </text>
    </comment>
    <comment ref="C761" authorId="7" shapeId="0" xr:uid="{871BFDAA-F08F-D146-A521-3DDAA1F36127}">
      <text>
        <t>[Threaded comment]
Your version of Excel allows you to read this threaded comment; however, any edits to it will get removed if the file is opened in a newer version of Excel. Learn more: https://go.microsoft.com/fwlink/?linkid=870924
Comment:
    Question about the unit here</t>
      </text>
    </comment>
    <comment ref="C995" authorId="8" shapeId="0" xr:uid="{4E0A3B11-DDA4-664B-8BFF-9C329BEDF7A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 use one cup (8 oz) and calculate to the tablespoons (0.5 oz) here. </t>
      </text>
    </comment>
    <comment ref="C999" authorId="9" shapeId="0" xr:uid="{3E5155DB-8C12-3B43-A5F7-B1231776BDD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There is weight for medium, but not large/small. </t>
      </text>
    </comment>
    <comment ref="C1001" authorId="10" shapeId="0" xr:uid="{52B14DDE-9B43-E94B-89C7-0F9CE1ECEF57}">
      <text>
        <t>[Threaded comment]
Your version of Excel allows you to read this threaded comment; however, any edits to it will get removed if the file is opened in a newer version of Excel. Learn more: https://go.microsoft.com/fwlink/?linkid=870924
Comment:
    It maybe the curry prawn? Tablespoons would make more sense.</t>
      </text>
    </comment>
    <comment ref="C1003" authorId="11" shapeId="0" xr:uid="{6A8C009B-1FBF-9B43-833F-E8AB9482C0C4}">
      <text>
        <t>[Threaded comment]
Your version of Excel allows you to read this threaded comment; however, any edits to it will get removed if the file is opened in a newer version of Excel. Learn more: https://go.microsoft.com/fwlink/?linkid=870924
Comment:
    Large tablespoons?</t>
      </text>
    </comment>
  </commentList>
</comments>
</file>

<file path=xl/sharedStrings.xml><?xml version="1.0" encoding="utf-8"?>
<sst xmlns="http://schemas.openxmlformats.org/spreadsheetml/2006/main" count="9980" uniqueCount="3251">
  <si>
    <t>Thin slice</t>
  </si>
  <si>
    <t>Medium slice</t>
  </si>
  <si>
    <t>Thick slice</t>
  </si>
  <si>
    <t>1/4 loaf</t>
  </si>
  <si>
    <t>3 inch diameter, thin</t>
  </si>
  <si>
    <t>3 inch diameter, thick</t>
  </si>
  <si>
    <t>6 inch diameter, thin</t>
  </si>
  <si>
    <t>6 inch diameter, thick</t>
  </si>
  <si>
    <t>8 inch diameter, thin</t>
  </si>
  <si>
    <t>Thin string hoppers</t>
  </si>
  <si>
    <t>Thick string hoppers</t>
  </si>
  <si>
    <t>1/4 palm size pieces</t>
  </si>
  <si>
    <t>1/2 palm size pieces</t>
  </si>
  <si>
    <t>Full palm size pieces</t>
  </si>
  <si>
    <t>Small</t>
  </si>
  <si>
    <t>Medium</t>
  </si>
  <si>
    <t>Large</t>
  </si>
  <si>
    <t>1in cube</t>
  </si>
  <si>
    <t>2in square</t>
  </si>
  <si>
    <t>4in square</t>
  </si>
  <si>
    <t>6in square</t>
  </si>
  <si>
    <t>Bite-size or 1in square</t>
  </si>
  <si>
    <t>Single-serve package or bar (4in - 5in)</t>
  </si>
  <si>
    <t>3in pieces</t>
  </si>
  <si>
    <t>Medium coconut spoons</t>
  </si>
  <si>
    <t>teaspoons</t>
  </si>
  <si>
    <t>tablespoons</t>
  </si>
  <si>
    <t>large coconut serving spoons</t>
  </si>
  <si>
    <t>drinking glasses</t>
  </si>
  <si>
    <t>standard pieces</t>
  </si>
  <si>
    <t>tea cups</t>
  </si>
  <si>
    <t>cups</t>
  </si>
  <si>
    <t>grams</t>
  </si>
  <si>
    <t>convfactor</t>
  </si>
  <si>
    <t>density</t>
  </si>
  <si>
    <t>volume</t>
  </si>
  <si>
    <t>piecewt</t>
  </si>
  <si>
    <t>convsource</t>
  </si>
  <si>
    <t>drfoodlistcode</t>
  </si>
  <si>
    <t>drfoodlistdesc</t>
  </si>
  <si>
    <t>BEER</t>
  </si>
  <si>
    <t>LIQUOR, ARAK</t>
  </si>
  <si>
    <t>LIQUOR, KASIPPU</t>
  </si>
  <si>
    <t>LIQUOR, TODDY, COCONUT</t>
  </si>
  <si>
    <t>LIQUOR, TODDY, KITUL</t>
  </si>
  <si>
    <t>LIQUOR, TODDY, PALMYRA</t>
  </si>
  <si>
    <t>LIQUOR, ARAK</t>
  </si>
  <si>
    <t>COCONUT WATER, FRESH, UNSWEETENED</t>
  </si>
  <si>
    <t>FRUIT CORDIAL, W/ WATER</t>
  </si>
  <si>
    <t>FRUIT DRINK, BOTTLED, READY-TO-DRINK</t>
  </si>
  <si>
    <t>FRUIT NECTAR, BOTTLED, READY-TO-DRINK</t>
  </si>
  <si>
    <t>FRUIT SQUASH, W/ WATER</t>
  </si>
  <si>
    <t>JUICE, SWEETENED</t>
  </si>
  <si>
    <t>LIME JUICE,FRESH, W/ SODA &amp; SWEETENER</t>
  </si>
  <si>
    <t>PASSION FRUIT JUICE</t>
  </si>
  <si>
    <t>LIME JUICE,FRESH,RAW (100% JUICE)</t>
  </si>
  <si>
    <t>MANGO JUICE, UNSWEETENED (100% JUICE)</t>
  </si>
  <si>
    <t>ORANGE JUICE, UNSWEETENED (100% JUICE)</t>
  </si>
  <si>
    <t>KENDA, FINGER MILLET</t>
  </si>
  <si>
    <t>KENDA, LEAFY VEGETABLE &amp; RICE</t>
  </si>
  <si>
    <t>COLA</t>
  </si>
  <si>
    <t>CREAM SODA</t>
  </si>
  <si>
    <t>ENERGY DRINK</t>
  </si>
  <si>
    <t>FRUIT-FLAVORED SODA</t>
  </si>
  <si>
    <t>GINGER BEER</t>
  </si>
  <si>
    <t>LEMON-LIME SODA</t>
  </si>
  <si>
    <t>ORANGE SODA</t>
  </si>
  <si>
    <t>TEA, BREWED FROM BLACK TEA LEAVES</t>
  </si>
  <si>
    <t>COFFEE, BREWED</t>
  </si>
  <si>
    <t>COFFEE, MADE FROM INSTANT COFFEE POWDER</t>
  </si>
  <si>
    <t>TEA, BREWED FROM BLACK TEA LEAVES</t>
  </si>
  <si>
    <t>TEA, MADE FROM INSTANT BLACK TEA POWDER</t>
  </si>
  <si>
    <t>TEA, BREWED FROM HERBS AND SPICES</t>
  </si>
  <si>
    <t>WATER, PLAIN</t>
  </si>
  <si>
    <t>BREAD, WHOLEMEAL</t>
  </si>
  <si>
    <t>BREAD,WHITE</t>
  </si>
  <si>
    <t>BREAD, WHOLEMEAL</t>
  </si>
  <si>
    <t>BREAD,WHITE</t>
  </si>
  <si>
    <t>BREAD, WHOLEMEAL</t>
  </si>
  <si>
    <t>BREAD,WHITE</t>
  </si>
  <si>
    <t>ROAST PAAN</t>
  </si>
  <si>
    <t>BREAD,WHITE</t>
  </si>
  <si>
    <t>BUN, ICED OR SUGAR GLAZED</t>
  </si>
  <si>
    <t>BREAD,WHITE</t>
  </si>
  <si>
    <t>BUN, JAM</t>
  </si>
  <si>
    <t>BUN, CREAM</t>
  </si>
  <si>
    <t>BREAD, WHOLEMEAL</t>
  </si>
  <si>
    <t>BUN,CURRANT</t>
  </si>
  <si>
    <t>BUN, WHITE, PLAIN</t>
  </si>
  <si>
    <t>BUN, ICED OR SUGAR GLAZED</t>
  </si>
  <si>
    <t>ROAST PAAN</t>
  </si>
  <si>
    <t>BUN, JAM</t>
  </si>
  <si>
    <t>BUN, CREAM</t>
  </si>
  <si>
    <t>BUN, CURRY FILLED</t>
  </si>
  <si>
    <t>ROTI, COCONUT</t>
  </si>
  <si>
    <t>PAPADUM</t>
  </si>
  <si>
    <t>ROTI, COCONUT</t>
  </si>
  <si>
    <t>PARATA</t>
  </si>
  <si>
    <t>PAPADUM</t>
  </si>
  <si>
    <t>ROTI, COCONUT</t>
  </si>
  <si>
    <t>PARATA</t>
  </si>
  <si>
    <t>ROTI, COCONUT</t>
  </si>
  <si>
    <t>PARATA</t>
  </si>
  <si>
    <t>PAPADUM</t>
  </si>
  <si>
    <t>ROTI, COCONUT</t>
  </si>
  <si>
    <t>ROTI, WHEAT, PLAIN</t>
  </si>
  <si>
    <t>ROTI, EGG</t>
  </si>
  <si>
    <t>PAPADUM</t>
  </si>
  <si>
    <t>PARATA</t>
  </si>
  <si>
    <t>ROTI, COCONUT</t>
  </si>
  <si>
    <t>ROTI, WHEAT, PLAIN</t>
  </si>
  <si>
    <t>PARATA</t>
  </si>
  <si>
    <t>ROTI, EGG</t>
  </si>
  <si>
    <t>ROTI, W/ VEGETABLES</t>
  </si>
  <si>
    <t>ROTI, WHEAT, PLAIN</t>
  </si>
  <si>
    <t>ROTI, COCONUT</t>
  </si>
  <si>
    <t>ROTI, W/ VEGETABLES</t>
  </si>
  <si>
    <t>ROTI, EGG</t>
  </si>
  <si>
    <t>PARATA</t>
  </si>
  <si>
    <t>ROTI, WHEAT, PLAIN</t>
  </si>
  <si>
    <t>ROTI, COCONUT</t>
  </si>
  <si>
    <t>ROTI, W/ VEGETABLES</t>
  </si>
  <si>
    <t>ROTI, WHEAT, PLAIN</t>
  </si>
  <si>
    <t>PAPADUM</t>
  </si>
  <si>
    <t>ROTI, MILLET, PLAIN</t>
  </si>
  <si>
    <t>ROTI, W/ VEGETABLES</t>
  </si>
  <si>
    <t>ROTI, WHEAT, PLAIN</t>
  </si>
  <si>
    <t>ROTI, W/ VEGETABLES</t>
  </si>
  <si>
    <t>PAPADUM</t>
  </si>
  <si>
    <t>ROTI, MILLET, PLAIN</t>
  </si>
  <si>
    <t>PAPADUM</t>
  </si>
  <si>
    <t>PARATA</t>
  </si>
  <si>
    <t>PAPADUM</t>
  </si>
  <si>
    <t>ROTI, MILLET, PLAIN</t>
  </si>
  <si>
    <t>ROTI, COCONUT</t>
  </si>
  <si>
    <t>PAPADUM</t>
  </si>
  <si>
    <t>ROTI, COCONUT</t>
  </si>
  <si>
    <t>ROTI, W/ VEGETABLES</t>
  </si>
  <si>
    <t>ROTI, COCONUT</t>
  </si>
  <si>
    <t>ROTI, EGG</t>
  </si>
  <si>
    <t>PAPADUM</t>
  </si>
  <si>
    <t>ROTI, WHEAT, PLAIN</t>
  </si>
  <si>
    <t>PARATA</t>
  </si>
  <si>
    <t>PAPADUM</t>
  </si>
  <si>
    <t>DOSA, PLAIN</t>
  </si>
  <si>
    <t>EGG DOSA</t>
  </si>
  <si>
    <t>PLAIN DOSA W/ FILLING</t>
  </si>
  <si>
    <t>STRING HOPPERS,RICE FLOUR</t>
  </si>
  <si>
    <t>STRING HOPPERS,WHEAT FLOUR</t>
  </si>
  <si>
    <t>STRING HOPPERS,RICE &amp; WHEAT FLOUR</t>
  </si>
  <si>
    <t>STRING HOPPERS,RICE FLOUR</t>
  </si>
  <si>
    <t>STRING HOPPERS,WHEAT FLOUR</t>
  </si>
  <si>
    <t>STRING HOPPERS,RICE FLOUR</t>
  </si>
  <si>
    <t>STRING HOPPERS,WHEAT FLOUR</t>
  </si>
  <si>
    <t>STRING HOPPERS,RICE &amp; WHEAT FLOUR</t>
  </si>
  <si>
    <t>STRING HOPPERS,WHEAT FLOUR</t>
  </si>
  <si>
    <t>STRING HOPPERS,RICE &amp; WHEAT FLOUR</t>
  </si>
  <si>
    <t>STRING HOPPERS,RICE FLOUR</t>
  </si>
  <si>
    <t>STRING HOPPERS,WHEAT FLOUR</t>
  </si>
  <si>
    <t>STRING HOPPERS,RICE FLOUR</t>
  </si>
  <si>
    <t>EGG HOPPERS</t>
  </si>
  <si>
    <t>HOPPERS</t>
  </si>
  <si>
    <t>BEEF KOTTU</t>
  </si>
  <si>
    <t>EGG KOTTU</t>
  </si>
  <si>
    <t>CHICKEN KOTTU</t>
  </si>
  <si>
    <t>PITTU,RICE, W/ COCONUT</t>
  </si>
  <si>
    <t>IDLI, SEMOLINA</t>
  </si>
  <si>
    <t>IDLI, MILLET</t>
  </si>
  <si>
    <t>IDLI, SEMOLINA</t>
  </si>
  <si>
    <t>PITTU,WHEAT, W/ COCONUT</t>
  </si>
  <si>
    <t>IDLI, RICE &amp; DAL</t>
  </si>
  <si>
    <t>PITTU,RICE, W/ COCONUT</t>
  </si>
  <si>
    <t>PITTU,WHEAT, W/ COCONUT</t>
  </si>
  <si>
    <t>PITTU,RICE &amp; WHEAT, W/ COCONUT</t>
  </si>
  <si>
    <t>PITTU,RICE &amp; WHEAT, WITHOUT COCONUT</t>
  </si>
  <si>
    <t>PITTU,WHEAT, W/ COCONUT</t>
  </si>
  <si>
    <t>PITTU,RICE, W/ COCONUT</t>
  </si>
  <si>
    <t>PITTU,MILLET, W/ COCONUT</t>
  </si>
  <si>
    <t>PITTU,RICE, W/ COCONUT</t>
  </si>
  <si>
    <t>PITTU,WHEAT, W/ COCONUT</t>
  </si>
  <si>
    <t>PITTU,RICE, WITHOUT COCONUT</t>
  </si>
  <si>
    <t>PITTU,RICE, W/ COCONUT</t>
  </si>
  <si>
    <t>PITTU,RICE, WITHOUT COCONUT</t>
  </si>
  <si>
    <t>PITTU,RICE &amp; WHEAT, W/ COCONUT</t>
  </si>
  <si>
    <t>PITTU,RICE &amp; WHEAT, WITHOUT COCONUT</t>
  </si>
  <si>
    <t>PITTU,WHEAT, W/ COCONUT</t>
  </si>
  <si>
    <t>PITTU,RICE &amp; WHEAT, WITHOUT COCONUT</t>
  </si>
  <si>
    <t>UPPUMA, TEMPERED W/ VEGETABLES</t>
  </si>
  <si>
    <t>PITTU,RICE &amp; WHEAT, W/ COCONUT</t>
  </si>
  <si>
    <t>THALAPA, MILLET</t>
  </si>
  <si>
    <t>BUTTER</t>
  </si>
  <si>
    <t>DRESSING,FRENCH</t>
  </si>
  <si>
    <t>MARGARINE</t>
  </si>
  <si>
    <t>CHILI, RED, DRIED</t>
  </si>
  <si>
    <t>CHILI, RED, DRIED</t>
  </si>
  <si>
    <t>CHILI, GREEN, FRESH</t>
  </si>
  <si>
    <t>CHILI, RED, DRIED</t>
  </si>
  <si>
    <t>CHILI, RED, FRESH</t>
  </si>
  <si>
    <t>CHILI, FRIED</t>
  </si>
  <si>
    <t>GRAVY, W/ COCONUT MILK, THIN</t>
  </si>
  <si>
    <t>FISH GRAVY</t>
  </si>
  <si>
    <t>FISH GRAVY, W/ COCONUT MILK</t>
  </si>
  <si>
    <t>COCONUT MILK GRAVY</t>
  </si>
  <si>
    <t>CHICKEN GRAVY W/ COCONUT MILK</t>
  </si>
  <si>
    <t>COCONUT MILK GRAVY</t>
  </si>
  <si>
    <t>GRAVY WITHOUT COCONUT MILK, THICK</t>
  </si>
  <si>
    <t>GRAVY WITHOUT COCONUT MILK, THIN</t>
  </si>
  <si>
    <t>COCONUT MILK GRAVY</t>
  </si>
  <si>
    <t>GRAVY WITHOUT COCONUT MILK, THICK</t>
  </si>
  <si>
    <t>TOMATO SAUCE (KETCHUP)</t>
  </si>
  <si>
    <t>GRAVY WITHOUT COCONUT MILK, THIN</t>
  </si>
  <si>
    <t>COCONUT MILK GRAVY</t>
  </si>
  <si>
    <t>GRAVY, W/ COCONUT MILK, THIN</t>
  </si>
  <si>
    <t>GRAVY WITHOUT COCONUT MILK, THICK</t>
  </si>
  <si>
    <t>GRAVY, W/ COCONUT MILK, THICK</t>
  </si>
  <si>
    <t>GRAVY, W/ COCONUT MILK, THIN</t>
  </si>
  <si>
    <t>GRAVY, W/ COCONUT MILK, THICK</t>
  </si>
  <si>
    <t>GRAVY, W/ COCONUT MILK, THIN</t>
  </si>
  <si>
    <t>FISH GRAVY, W/ COCONUT MILK</t>
  </si>
  <si>
    <t>FISH GRAVY</t>
  </si>
  <si>
    <t>FISH GRAVY, W/ COCONUT MILK</t>
  </si>
  <si>
    <t>FISH GRAVY</t>
  </si>
  <si>
    <t>POTATO GRAVY</t>
  </si>
  <si>
    <t>FISH GRAVY, W/ COCONUT MILK</t>
  </si>
  <si>
    <t>POTATO GRAVY</t>
  </si>
  <si>
    <t>GRAVY, W/ COCONUT MILK, THIN</t>
  </si>
  <si>
    <t>JAM</t>
  </si>
  <si>
    <t>MARMALADE</t>
  </si>
  <si>
    <t>DATE CHUTNEY</t>
  </si>
  <si>
    <t>SWEET MANGO CHUTNEY</t>
  </si>
  <si>
    <t>LIME PICKLE</t>
  </si>
  <si>
    <t>CLEAR RASAM (NO VEGETABLES OR DAL)</t>
  </si>
  <si>
    <t>RASAM W/ VEGETABLES</t>
  </si>
  <si>
    <t>CHILI SAMBOL</t>
  </si>
  <si>
    <t>CHILI SAMBOL, W/ ONION</t>
  </si>
  <si>
    <t>ONION SAMBOL</t>
  </si>
  <si>
    <t>COCONUT SAMBOL, W/ COCONUT OIL</t>
  </si>
  <si>
    <t>ONION SAMBOL, W/ OIL</t>
  </si>
  <si>
    <t>COCONUT SAMBOL, WITHOUT COCONUT OIL</t>
  </si>
  <si>
    <t>FISH &amp; CHILI SAMBOL</t>
  </si>
  <si>
    <t>GREEN LEAF SAMBOL</t>
  </si>
  <si>
    <t>SCRAPED COCONUT, FRESH, UNSWEETENED</t>
  </si>
  <si>
    <t>TOMATO &amp; ONION SAMBOL</t>
  </si>
  <si>
    <t>GREEN LEAF SAMBOL</t>
  </si>
  <si>
    <t>SCRAPED COCONUT, FRESH, UNSWEETENED</t>
  </si>
  <si>
    <t>COCONUT SAMBOL, WITHOUT COCONUT OIL</t>
  </si>
  <si>
    <t>HALMASSA ANCHOVY (SPRAT), FRESH, TEMPERED</t>
  </si>
  <si>
    <t>HALMASSA ANCHOVY (SPRAT), FRESH, TEMPERED, W/ COCONUT MILK</t>
  </si>
  <si>
    <t>HALMASSA ANCHOVY (SPRAT), DRIED, TEMPERED</t>
  </si>
  <si>
    <t>HALMASSA ANCHOVY (SPRAT), DRIED, BOILED, W/ COCONUT MILK</t>
  </si>
  <si>
    <t>HALMASSA ANCHOVY (SPRAT), FRESH, FRIED</t>
  </si>
  <si>
    <t>HALMASSA ANCHOVY (SPRAT), FRESH, BOILED, W/ COCONUT MILK</t>
  </si>
  <si>
    <t>HALMASSA ANCHOVY (SPRAT), DRIED, BOILED, W/ COCONUT MILK</t>
  </si>
  <si>
    <t>HALMASSA ANCHOVY (SPRAT), FRESH, TEMPERED</t>
  </si>
  <si>
    <t>HALMASSA ANCHOVY (SPRAT), FRESH, TEMPERED, W/ COCONUT MILK</t>
  </si>
  <si>
    <t>HALMASSA ANCHOVY (SPRAT), FRESH, TEMPERED</t>
  </si>
  <si>
    <t>HALMASSA ANCHOVY (SPRAT), DRIED, TEMPERED</t>
  </si>
  <si>
    <t>HALMASSA ANCHOVY (SPRAT), DRIED, BOILED, W/ COCONUT MILK</t>
  </si>
  <si>
    <t>HALMASSA ANCHOVY (SPRAT), FRESH, TEMPERED, W/ COCONUT MILK</t>
  </si>
  <si>
    <t>HALMASSA ANCHOVY (SPRAT), DRIED, TEMPERED</t>
  </si>
  <si>
    <t>HALMASSA ANCHOVY (SPRAT), DRIED, BOILED, W/ COCONUT MILK</t>
  </si>
  <si>
    <t>HALMASSA ANCHOVY (SPRAT), FRESH, FRIED</t>
  </si>
  <si>
    <t>HALMASSA ANCHOVY (SPRAT), DRIED, TEMPERED</t>
  </si>
  <si>
    <t>HALMASSA ANCHOVY (SPRAT), FRESH, BOILED, W/ COCONUT MILK</t>
  </si>
  <si>
    <t>HALMASSA ANCHOVY (SPRAT), DRIED, BOILED</t>
  </si>
  <si>
    <t>HALMASSA ANCHOVY (SPRAT), FRESH, FRIED</t>
  </si>
  <si>
    <t>HALMASSA ANCHOVY (SPRAT), DRIED, TEMPERED</t>
  </si>
  <si>
    <t>HALMASSA ANCHOVY (SPRAT), FRESH, BOILED, W/ COCONUT MILK</t>
  </si>
  <si>
    <t>HALMASSA ANCHOVY (SPRAT), DRIED, BOILED, W/ COCONUT MILK</t>
  </si>
  <si>
    <t>JACK FISH, FRESH, DEEP-FRIED</t>
  </si>
  <si>
    <t>TREVALLY JACK, FRESH, DEEP-FRIED</t>
  </si>
  <si>
    <t>JACK FISH, FRESH, DEEP-FRIED</t>
  </si>
  <si>
    <t>TREVALLY JACK, FRESH, BOILED, W/ COCONUT MILK</t>
  </si>
  <si>
    <t>JACK MACKEREL, CANNED, TEMPERED, W/ COCONUT MILK</t>
  </si>
  <si>
    <t>JACK MACKEREL, CANNED, TEMPERED</t>
  </si>
  <si>
    <t>TREVALLY JACK, FRESH, DEEP-FRIED</t>
  </si>
  <si>
    <t>JACK MACKEREL, CANNED, TEMPERED, W/ COCONUT MILK</t>
  </si>
  <si>
    <t>JACK MACKEREL, FRESH, BOILED, W/ COCONUT MILK</t>
  </si>
  <si>
    <t>TREVALLY JACK, FRESH, DEEP-FRIED</t>
  </si>
  <si>
    <t>JACK MACKEREL, FRESH, BOILED, W/ COCONUT MILK</t>
  </si>
  <si>
    <t>SCAD (BOLLA), FRESH, BOILED</t>
  </si>
  <si>
    <t>JACK MACKEREL, CANNED, TEMPERED, W/ COCONUT MILK</t>
  </si>
  <si>
    <t>JACK MACKEREL, FRESH, BOILED, W/ COCONUT MILK</t>
  </si>
  <si>
    <t>SCAD (BOLLA), FRESH, BOILED</t>
  </si>
  <si>
    <t>SCAD (BOLLA), FRESH, BOILED, W/ COCONUT MILK</t>
  </si>
  <si>
    <t>SCAD (BOLLA), DRIED, TEMPERED</t>
  </si>
  <si>
    <t>JACK MACKEREL, FRESH, BOILED, W/ COCONUT MILK</t>
  </si>
  <si>
    <t>SCAD (BOLLA), FRESH, BOILED</t>
  </si>
  <si>
    <t>SCAD (BOLLA), FRESH, BOILED, W/ COCONUT MILK</t>
  </si>
  <si>
    <t>SCAD (BOLLA), FRESH, TEMPERED</t>
  </si>
  <si>
    <t>SCAD (BOLLA), DRIED, TEMPERED</t>
  </si>
  <si>
    <t>SCAD (BOLLA), FRESH, TEMPERED</t>
  </si>
  <si>
    <t>JACK MACKEREL, FRESH, BOILED AND TEMPERED, W/ COCONUT MILK</t>
  </si>
  <si>
    <t>SCAD (BOLLA), DRIED, TEMPERED</t>
  </si>
  <si>
    <t>JACK MACKEREL, FRESH, BOILED AND TEMPERED, W/ COCONUT MILK</t>
  </si>
  <si>
    <t>SCAD (BOLLA), FRESH, TEMPERED</t>
  </si>
  <si>
    <t>JACK MACKEREL, FRESH, BOILED</t>
  </si>
  <si>
    <t>TREVALLY JACK, FRESH, BOILED, W/ COCONUT MILK</t>
  </si>
  <si>
    <t>JACK MACKEREL, FRESH, BOILED</t>
  </si>
  <si>
    <t>JACK MACKEREL, FRESH, BOILED AND TEMPERED, W/ COCONUT MILK</t>
  </si>
  <si>
    <t>TREVALLY JACK, FRESH, BOILED, W/ COCONUT MILK</t>
  </si>
  <si>
    <t>JACK MACKEREL, FRESH, BOILED</t>
  </si>
  <si>
    <t>TREVALLY JACK, FRESH, BOILED, W/ COCONUT MILK</t>
  </si>
  <si>
    <t>TREVALLY JACK, FRESH, DEEP-FRIED</t>
  </si>
  <si>
    <t>JACK MACKEREL, CANNED, TEMPERED</t>
  </si>
  <si>
    <t>JACK MACKEREL, CANNED, TEMPERED, W/ COCONUT MILK</t>
  </si>
  <si>
    <t>TREVALLY JACK, FRESH, BOILED, W/ COCONUT MILK</t>
  </si>
  <si>
    <t>JACK MACKEREL, CANNED, TEMPERED</t>
  </si>
  <si>
    <t>JACK MACKEREL, FRESH, BOILED, W/ COCONUT MILK</t>
  </si>
  <si>
    <t>JACK MACKEREL, CANNED, TEMPERED, W/ COCONUT MILK</t>
  </si>
  <si>
    <t>JACK MACKEREL, CANNED, TEMPERED</t>
  </si>
  <si>
    <t>JACK MACKEREL, FRESH, BOILED, W/ COCONUT MILK</t>
  </si>
  <si>
    <t>SCAD (BOLLA), FRESH, BOILED, W/ COCONUT MILK</t>
  </si>
  <si>
    <t>JACK MACKEREL, FRESH, BOILED, W/ COCONUT MILK</t>
  </si>
  <si>
    <t>SCAD (BOLLA), DRIED, TEMPERED</t>
  </si>
  <si>
    <t>SCAD (BOLLA), FRESH, BOILED</t>
  </si>
  <si>
    <t>SCAD (BOLLA), FRESH, TEMPERED</t>
  </si>
  <si>
    <t>SCAD (BOLLA), FRESH, BOILED, W/ COCONUT MILK</t>
  </si>
  <si>
    <t>JACK MACKEREL, CANNED, TEMPERED, W/ COCONUT MILK</t>
  </si>
  <si>
    <t>JACK MACKEREL, FRESH, BOILED AND TEMPERED, W/ COCONUT MILK</t>
  </si>
  <si>
    <t>JACK MACKEREL, FRESH, BOILED, W/ COCONUT MILK</t>
  </si>
  <si>
    <t>SCAD (BOLLA), DRIED, TEMPERED</t>
  </si>
  <si>
    <t>SCAD (BOLLA), FRESH, TEMPERED</t>
  </si>
  <si>
    <t>SCAD (BOLLA), DRIED, TEMPERED</t>
  </si>
  <si>
    <t>TREVALLY JACK, FRESH, BOILED, W/ COCONUT MILK</t>
  </si>
  <si>
    <t>JACK MACKEREL, FRESH, BOILED AND TEMPERED, W/ COCONUT MILK</t>
  </si>
  <si>
    <t>JACK MACKEREL, FRESH, BOILED</t>
  </si>
  <si>
    <t>TREVALLY JACK, FRESH, BOILED, W/ COCONUT MILK</t>
  </si>
  <si>
    <t>QUEEN FISH, DRIED, TEMPERED, W/ COCONUT MILK</t>
  </si>
  <si>
    <t>QUEEN FISH, FRESH, DEEP-FRIED</t>
  </si>
  <si>
    <t>QUEEN FISH, DRIED, TEMPERED, W/ COCONUT MILK</t>
  </si>
  <si>
    <t>QUEEN FISH, FRESH, DEEP-FRIED</t>
  </si>
  <si>
    <t>QUEEN FISH, DRIED, TEMPERED, W/ COCONUT MILK</t>
  </si>
  <si>
    <t>EEL, DRIED, TEMPERED, W/ COCONUT MILK</t>
  </si>
  <si>
    <t>RAY, FRESH, TEMPERED</t>
  </si>
  <si>
    <t>RAY, DRIED, TEMPERED, W/ COCONUT MILK</t>
  </si>
  <si>
    <t>RAY, FRESH, TEMPERED</t>
  </si>
  <si>
    <t>RAY, FRESH, BOILED, W/ COCONUT MILK</t>
  </si>
  <si>
    <t>RAY, DRIED, TEMPERED, W/ COCONUT MILK</t>
  </si>
  <si>
    <t>RAY, FRESH, TEMPERED</t>
  </si>
  <si>
    <t>RAY, FRESH, BOILED, W/ COCONUT MILK</t>
  </si>
  <si>
    <t>EEL, DRIED, TEMPERED, W/ COCONUT MILK</t>
  </si>
  <si>
    <t>RAY, FRESH, TEMPERED</t>
  </si>
  <si>
    <t>RAY, DRIED, TEMPERED, W/ COCONUT MILK</t>
  </si>
  <si>
    <t>EEL, DRIED, TEMPERED, W/ COCONUT MILK</t>
  </si>
  <si>
    <t>RAY, FRESH, BOILED, W/ COCONUT MILK</t>
  </si>
  <si>
    <t>RAY, FRESH, TEMPERED</t>
  </si>
  <si>
    <t>RAY, DRIED, TEMPERED, W/ COCONUT MILK</t>
  </si>
  <si>
    <t>RAY, FRESH, BOILED, W/ COCONUT MILK</t>
  </si>
  <si>
    <t>HURULLA OR KEERAMIN SARDINELLA, FRESH, TEMPERED, W/ COCONUT MILK</t>
  </si>
  <si>
    <t>HURULLA OR KEERAMIN SARDINELLA, FRESH, TEMPERED</t>
  </si>
  <si>
    <t>HURULLA OR KEERAMIN SARDINELLA, FRESH, TEMPERED, W/ COCONUT MILK</t>
  </si>
  <si>
    <t>SALAYA SARDINELLA, FRESH, TEMPERED</t>
  </si>
  <si>
    <t>SALAYA SARDINELLA, FRESH, TEMPERED, W/ COCONUT MILK</t>
  </si>
  <si>
    <t>SARDINES, CANNED, TEMPERED, W/ COCONUT MILK</t>
  </si>
  <si>
    <t>SALAYA SARDINELLA, FRESH, BOILED, W/ COCONUT MILK</t>
  </si>
  <si>
    <t>SARDINES, CANNED, TEMPERED, W/ COCONUT MILK</t>
  </si>
  <si>
    <t>SARDINES, CANNED, TEMPERED</t>
  </si>
  <si>
    <t>HURULLA OR KEERAMIN SARDINELLA, FRESH, BOILED, W/ COCONUT MILK</t>
  </si>
  <si>
    <t>SALAYA SARDINELLA, FRESH, BOILED, W/ COCONUT MILK</t>
  </si>
  <si>
    <t>HURULLA OR KEERAMIN SARDINELLA, FRESH, BOILED, W/ COCONUT MILK</t>
  </si>
  <si>
    <t>SALAYA SARDINELLA, FRESH, BOILED, W/ COCONUT MILK</t>
  </si>
  <si>
    <t>SARDINELLA, DRIED, TEMPERED</t>
  </si>
  <si>
    <t>HURULLA OR KEERAMIN SARDINELLA, FRESH, BOILED, W/ COCONUT MILK</t>
  </si>
  <si>
    <t>SARDINELLA, DRIED, TEMPERED</t>
  </si>
  <si>
    <t>HURULLA OR KEERAMIN SARDINELLA, FRESH, TEMPERED, W/ COCONUT MILK</t>
  </si>
  <si>
    <t>HURULLA OR KEERAMIN SARDINELLA, FRESH, TEMPERED</t>
  </si>
  <si>
    <t>SALAYA SARDINELLA, FRESH, TEMPERED</t>
  </si>
  <si>
    <t>SALAYA SARDINELLA, FRESH, TEMPERED, W/ COCONUT MILK</t>
  </si>
  <si>
    <t>HURULLA OR KEERAMIN SARDINELLA, FRESH, TEMPERED, W/ COCONUT MILK</t>
  </si>
  <si>
    <t>SALAYA SARDINELLA, FRESH, TEMPERED</t>
  </si>
  <si>
    <t>SARDINELLA, DRIED, TEMPERED, W/ COCONUT MILK</t>
  </si>
  <si>
    <t>SALAYA SARDINELLA, FRESH, TEMPERED, W/ COCONUT MILK</t>
  </si>
  <si>
    <t>SARDINES, CANNED, TEMPERED, W/ COCONUT MILK</t>
  </si>
  <si>
    <t>SARDINES, CANNED, TEMPERED</t>
  </si>
  <si>
    <t>SARDINELLA, DRIED, TEMPERED, W/ COCONUT MILK</t>
  </si>
  <si>
    <t>SARDINES, CANNED, TEMPERED, W/ COCONUT MILK</t>
  </si>
  <si>
    <t>SARDINES, CANNED, TEMPERED</t>
  </si>
  <si>
    <t>SALAYA SARDINELLA, FRESH, BOILED, W/ COCONUT MILK</t>
  </si>
  <si>
    <t>HURULLA OR KEERAMIN SARDINELLA, FRESH, BOILED, W/ COCONUT MILK</t>
  </si>
  <si>
    <t>SARDINES, CANNED, TEMPERED, W/ COCONUT MILK</t>
  </si>
  <si>
    <t>SALAYA SARDINELLA, FRESH, BOILED, W/ COCONUT MILK</t>
  </si>
  <si>
    <t>SARDINELLA, DRIED, TEMPERED</t>
  </si>
  <si>
    <t>HURULLA OR KEERAMIN SARDINELLA, FRESH, BOILED, W/ COCONUT MILK</t>
  </si>
  <si>
    <t>SALAYA SARDINELLA, FRESH, BOILED, W/ COCONUT MILK</t>
  </si>
  <si>
    <t>SARDINELLA, DRIED, TEMPERED</t>
  </si>
  <si>
    <t>BARRACUDA, FRESH, BOILED, W/ COCONUT MILK</t>
  </si>
  <si>
    <t>SHARK, FRESH, BOILED, W/ COCONUT MILK</t>
  </si>
  <si>
    <t>BARRACUDA, FRESH, BOILED, W/ COCONUT MILK</t>
  </si>
  <si>
    <t>SHARK, FRESH, BOILED, W/ COCONUT MILK</t>
  </si>
  <si>
    <t>SHARK, DRIED, TEMPERED, W/ COCONUT MILK</t>
  </si>
  <si>
    <t>SHARK, DRIED, TEMPERED, W/ COCONUT MILK</t>
  </si>
  <si>
    <t>BARRACUDA, FRESH, BOILED, W/ COCONUT MILK</t>
  </si>
  <si>
    <t>SHARK, FRESH, BOILED, W/ COCONUT MILK</t>
  </si>
  <si>
    <t>TILAPIA, FRESH, TEMPERED, W/ COCONUT MILK</t>
  </si>
  <si>
    <t>CATFISH, DRIED, TEMPERED, W/ COCONUT MILK</t>
  </si>
  <si>
    <t>TILAPIA, FRESH, TEMPERED, W/ COCONUT MILK</t>
  </si>
  <si>
    <t>TILAPIA, FRESH, DEEP-FRIED</t>
  </si>
  <si>
    <t>TILAPIA, FRESH, TEMPERED, W/ COCONUT MILK</t>
  </si>
  <si>
    <t>CARP, FRESH, BOILED, W/ COCONUT MILK</t>
  </si>
  <si>
    <t>TILAPIA, FRESH, DEEP-FRIED</t>
  </si>
  <si>
    <t>TILAPIA, FRESH, TEMPERED, W/ COCONUT MILK</t>
  </si>
  <si>
    <t>CARP, FRESH, BOILED, W/ COCONUT MILK</t>
  </si>
  <si>
    <t>CARP, FRESH, TEMPERED</t>
  </si>
  <si>
    <t>CATFISH, FRESH, BOILED, W/ COCONUT MILK</t>
  </si>
  <si>
    <t>CARP, FRESH, BOILED, W/ COCONUT MILK</t>
  </si>
  <si>
    <t>CATFISH, FRESH, BOILED, W/ COCONUT MILK</t>
  </si>
  <si>
    <t>CATFISH, DRIED, TEMPERED</t>
  </si>
  <si>
    <t>CARP, FRESH, TEMPERED</t>
  </si>
  <si>
    <t>CATFISH, DRIED, TEMPERED</t>
  </si>
  <si>
    <t>CATFISH, FRESH, BOILED, W/ COCONUT MILK</t>
  </si>
  <si>
    <t>CATFISH, FRESH, FRIED</t>
  </si>
  <si>
    <t>CATFISH, DRIED, TEMPERED</t>
  </si>
  <si>
    <t>CATFISH, FRESH, FRIED</t>
  </si>
  <si>
    <t>TILAPIA, FRESH, BOILED, W/ COCONUT MILK</t>
  </si>
  <si>
    <t>CARP, FRESH, TEMPERED &amp; BOILED, W/ COCONUT MILK</t>
  </si>
  <si>
    <t>TILAPIA, FRESH, BOILED, W/ COCONUT MILK</t>
  </si>
  <si>
    <t>TILAPIA, FRESH, BOILED</t>
  </si>
  <si>
    <t>TILAPIA, FRESH, BOILED, W/ COCONUT MILK</t>
  </si>
  <si>
    <t>TILAPIA, FRESH, BOILED</t>
  </si>
  <si>
    <t>CATFISH, DRIED, TEMPERED</t>
  </si>
  <si>
    <t>CATFISH, DRIED, TEMPERED, W/ COCONUT MILK</t>
  </si>
  <si>
    <t>TILAPIA, FRESH, TEMPERED, W/ COCONUT MILK</t>
  </si>
  <si>
    <t>CATFISH, DRIED, TEMPERED, W/ COCONUT MILK</t>
  </si>
  <si>
    <t>TILAPIA, FRESH, TEMPERED, W/ COCONUT MILK</t>
  </si>
  <si>
    <t>CARP, FRESH, TEMPERED</t>
  </si>
  <si>
    <t>TILAPIA, FRESH, TEMPERED, W/ COCONUT MILK</t>
  </si>
  <si>
    <t>TILAPIA, FRESH, BOILED, W/ COCONUT MILK</t>
  </si>
  <si>
    <t>CATFISH, DRIED, TEMPERED</t>
  </si>
  <si>
    <t>TILAPIA, FRESH, BOILED, W/ COCONUT MILK</t>
  </si>
  <si>
    <t>TILAPIA, FRESH, BOILED</t>
  </si>
  <si>
    <t>TILAPIA, FRESH, BOILED, W/ COCONUT MILK</t>
  </si>
  <si>
    <t>TILAPIA, FRESH, BOILED</t>
  </si>
  <si>
    <t>SEER FISH, FRESH, DEEP-FRIED</t>
  </si>
  <si>
    <t>SKIPJACK TUNA, DRIED, DEEP-FRIED</t>
  </si>
  <si>
    <t>SAILFISH, DRIED, TEMPERED, W/ COCONUT MILK</t>
  </si>
  <si>
    <t>SAILFISH, FRESH, DEEP-FRIED</t>
  </si>
  <si>
    <t>SAILFISH, DRIED, TEMPERED, W/ COCONUT MILK</t>
  </si>
  <si>
    <t>SEER FISH, FRESH, DEEP-FRIED</t>
  </si>
  <si>
    <t>SAILFISH, FRESH, DEEP-FRIED</t>
  </si>
  <si>
    <t>SEER FISH, FRESH, DEEP-FRIED</t>
  </si>
  <si>
    <t>SKIPJACK TUNA, DRIED, TEMPERED, W/ COCONUT MILK</t>
  </si>
  <si>
    <t>SKIPJACK TUNA, DRIED, DEEP-FRIED</t>
  </si>
  <si>
    <t>SKIPJACK TUNA, DRIED, TEMPERED, W/ COCONUT MILK</t>
  </si>
  <si>
    <t>SKIPJACK TUNA, FRESH, COOKED</t>
  </si>
  <si>
    <t>SKIPJACK TUNA, DRIED, DEEP-FRIED</t>
  </si>
  <si>
    <t>SKIPJACK TUNA, FRESH, COOKED</t>
  </si>
  <si>
    <t>SKIPJACK TUNA, FRESH, DEEP-FRIED</t>
  </si>
  <si>
    <t>TUNA, FRESH, DEEP-FRIED</t>
  </si>
  <si>
    <t>SKIPJACK TUNA, FRESH, COOKED</t>
  </si>
  <si>
    <t>SKIPJACK TUNA, FRESH, DEEP-FRIED</t>
  </si>
  <si>
    <t>SAILFISH, FRESH, DEEP-FRIED</t>
  </si>
  <si>
    <t>TUNA, FRESH, DEEP-FRIED</t>
  </si>
  <si>
    <t>SKIPJACK TUNA, DRIED, DEEP-FRIED</t>
  </si>
  <si>
    <t>SAILFISH, DRIED, W/ COCONUT OIL</t>
  </si>
  <si>
    <t>SAILFISH, DRIED, TEMPERED, W/ COCONUT MILK</t>
  </si>
  <si>
    <t>SAILFISH, FRESH, DEEP-FRIED</t>
  </si>
  <si>
    <t>SAILFISH, DRIED, W/ COCONUT OIL</t>
  </si>
  <si>
    <t>SAILFISH, DRIED, TEMPERED, W/ COCONUT MILK</t>
  </si>
  <si>
    <t>SEER FISH, DRIED, TEMPERED, W/ COCONUT MILK</t>
  </si>
  <si>
    <t>SKIPJACK TUNA, DRIED, TEMPERED, W/ COCONUT MILK</t>
  </si>
  <si>
    <t>SKIPJACK TUNA, DRIED, DEEP-FRIED</t>
  </si>
  <si>
    <t>EMPEROR FISH (VILAI), FRESH, BOILED, W/ COCONUT MILK</t>
  </si>
  <si>
    <t>EMPEROR FISH (VILAI), FRESH, BOILED &amp; TEMPERED, W/ COCONUT MILK</t>
  </si>
  <si>
    <t>EMPEROR FISH (VILAI), FRESH, BOILED, W/ COCONUT MILK</t>
  </si>
  <si>
    <t>EMPEROR FISH (VILAI), FRESH, TEMPERED, W/ COCONUT MILK</t>
  </si>
  <si>
    <t>EMPEROR FISH (VILAI), FRESH, BOILED &amp; TEMPERED, W/ COCONUT MILK</t>
  </si>
  <si>
    <t>EMPEROR FISH (VILAI), FRESH, TEMPERED, W/ COCONUT MILK</t>
  </si>
  <si>
    <t>EMPEROR FISH (VILAI), FRESH, BOILED, W/ COCONUT MILK</t>
  </si>
  <si>
    <t>EMPEROR FISH (VILAI), FRESH, BOILED &amp; TEMPERED, W/ COCONUT MILK</t>
  </si>
  <si>
    <t>EMPEROR FISH (VILAI), FRESH, BOILED, W/ COCONUT MILK</t>
  </si>
  <si>
    <t>EMPEROR FISH (VILAI), FRESH, TEMPERED, W/ COCONUT MILK</t>
  </si>
  <si>
    <t>EMPEROR FISH (VILAI), FRESH, BOILED &amp; TEMPERED, W/ COCONUT MILK</t>
  </si>
  <si>
    <t>CRAB, BOILED</t>
  </si>
  <si>
    <t>CRAB, TEMPERED, W/ COCONUT MILK</t>
  </si>
  <si>
    <t>CRAB, BOILED</t>
  </si>
  <si>
    <t>CRAB, TEMPERED</t>
  </si>
  <si>
    <t>CLAMS, FRESH, TEMPERED, W/ COCONUT MILK</t>
  </si>
  <si>
    <t>CRAB, TEMPERED, W/ COCONUT MILK</t>
  </si>
  <si>
    <t>CLAMS, FRESH, TEMPERED, W/ COCONUT MILK</t>
  </si>
  <si>
    <t>CRAB, TEMPERED, W/ COCONUT MILK</t>
  </si>
  <si>
    <t>CUTTLE FISH, FRESH, W/ COCONUT MILK</t>
  </si>
  <si>
    <t>SQUID, FRESH, TEMPERED</t>
  </si>
  <si>
    <t>CUTTLE FISH, FRESH, W/ COCONUT MILK</t>
  </si>
  <si>
    <t>PRAWN, FRESH, TEMPERED, W/ COCONUT MILK</t>
  </si>
  <si>
    <t>PRAWN, FRESH, BOILED, W/ COCONUT MILK</t>
  </si>
  <si>
    <t>PRAWN, FRESH, TEMPERED</t>
  </si>
  <si>
    <t>PRAWN, FRESH, BOILED, W/ COCONUT MILK</t>
  </si>
  <si>
    <t>PRAWN, FRESH, TEMPERED, W/ COCONUT MILK</t>
  </si>
  <si>
    <t>PRAWN, FRESH, BOILED, W/ COCONUT MILK</t>
  </si>
  <si>
    <t>KUNISSA SHRIMP, FRESH, TEMPERED, W/ COCONUT MILK</t>
  </si>
  <si>
    <t>KUNISSA SHRIMP, FRESH, TEMPERED</t>
  </si>
  <si>
    <t>KUNISSA SHRIMP, FRESH, TEMPERED, W/ COCONUT MILK</t>
  </si>
  <si>
    <t>PRAWN, FRESH, TEMPERED</t>
  </si>
  <si>
    <t>PRAWN, FRESH, TEMPERED, W/ COCONUT MILK</t>
  </si>
  <si>
    <t>LOBSTER, FRESH, TEMPERED</t>
  </si>
  <si>
    <t>PRAWN, FRESH, BOILED, W/ COCONUT MILK</t>
  </si>
  <si>
    <t>PRAWN, FRESH, TEMPERED</t>
  </si>
  <si>
    <t>PRAWN, FRESH, TEMPERED, W/ COCONUT MILK</t>
  </si>
  <si>
    <t>PRAWN, FRESH, BOILED, W/ COCONUT MILK</t>
  </si>
  <si>
    <t>PRAWN, FRESH, TEMPERED, W/ COCONUT MILK</t>
  </si>
  <si>
    <t>BANANA, KOLIKUTTU, RIPE</t>
  </si>
  <si>
    <t>SOUR BANANA, RIPE</t>
  </si>
  <si>
    <t>BANANA, CAVENDISH, RIPE</t>
  </si>
  <si>
    <t>BANANA, KOLIKUTTU, RIPE</t>
  </si>
  <si>
    <t>BANANA, POOVAN, RIPE</t>
  </si>
  <si>
    <t>BANANA, CAVENDISH, RIPE</t>
  </si>
  <si>
    <t>SEENI/KATHALI BANANA, RIPE</t>
  </si>
  <si>
    <t>BANANA, POOVAN, RIPE</t>
  </si>
  <si>
    <t>BANANA, KOLIKUTTU, RIPE</t>
  </si>
  <si>
    <t>SOUR BANANA, RIPE</t>
  </si>
  <si>
    <t>SEENI/KATHALI BANANA, RIPE</t>
  </si>
  <si>
    <t>BANANA, POOVAN, RIPE</t>
  </si>
  <si>
    <t>RED BANANA, RIPE</t>
  </si>
  <si>
    <t>SOUR BANANA, RIPE</t>
  </si>
  <si>
    <t>RED BANANA, RIPE</t>
  </si>
  <si>
    <t>SEENI/KATHALI BANANA, RIPE</t>
  </si>
  <si>
    <t>SOUR BANANA, RIPE</t>
  </si>
  <si>
    <t>GRAPEFRUIT</t>
  </si>
  <si>
    <t>ORANGE</t>
  </si>
  <si>
    <t>PUMMELO</t>
  </si>
  <si>
    <t>SWEET LEMON</t>
  </si>
  <si>
    <t>FRUIT SALAD, W/ ADDED SUGAR</t>
  </si>
  <si>
    <t>FRUIT SALAD</t>
  </si>
  <si>
    <t>FRUIT SALAD, W/ ADDED SUGAR</t>
  </si>
  <si>
    <t>GUAVA,WHITE FLESH,RAW</t>
  </si>
  <si>
    <t>GUAVA,PINK FLESH,RAW</t>
  </si>
  <si>
    <t>GUAVA,WHITE FLESH,RAW</t>
  </si>
  <si>
    <t>JACKFRUIT, RIPE, RAW</t>
  </si>
  <si>
    <t>PINEAPPLE, RIPE, RAW</t>
  </si>
  <si>
    <t>JACKFRUIT, RIPE, RAW</t>
  </si>
  <si>
    <t>JACKFRUIT, RIPE, RAW</t>
  </si>
  <si>
    <t>WATER MELON</t>
  </si>
  <si>
    <t>SWEET MELON</t>
  </si>
  <si>
    <t>WATER MELON</t>
  </si>
  <si>
    <t>MANGO, SEMI-RIPE</t>
  </si>
  <si>
    <t>MANGO,RIPE</t>
  </si>
  <si>
    <t>MANGO,RIPE</t>
  </si>
  <si>
    <t>MANGO, SEMI-RIPE</t>
  </si>
  <si>
    <t>MANGO,RIPE</t>
  </si>
  <si>
    <t>MANGO, SEMI-RIPE</t>
  </si>
  <si>
    <t>MANGO, GREEN</t>
  </si>
  <si>
    <t>MANGO, SEMI-RIPE</t>
  </si>
  <si>
    <t>MANGO,RIPE</t>
  </si>
  <si>
    <t>MANGO, SEMI-RIPE</t>
  </si>
  <si>
    <t>MANGO,RIPE</t>
  </si>
  <si>
    <t>COCONUT KERNEL, GREEN, FRESH</t>
  </si>
  <si>
    <t>COCONUT KERNEL, DRIED, UNSWEETENED</t>
  </si>
  <si>
    <t>COCONUT KERNEL, MATURE, FRESH</t>
  </si>
  <si>
    <t>DATES, FRESH</t>
  </si>
  <si>
    <t>COCONUT KERNEL, MATURE, FRESH, SWEETENED</t>
  </si>
  <si>
    <t>COCONUT KERNEL, MATURE, FRESH, SWEETENED</t>
  </si>
  <si>
    <t>PAPAYA, RIPE</t>
  </si>
  <si>
    <t>PAPAYA, GREEN</t>
  </si>
  <si>
    <t>PAPAYA, RIPE</t>
  </si>
  <si>
    <t>GRAPES,BLACK,SEEDED</t>
  </si>
  <si>
    <t>GRAPES,FLESH ONLY</t>
  </si>
  <si>
    <t>RAISINS</t>
  </si>
  <si>
    <t>APPLE,RAW</t>
  </si>
  <si>
    <t>AVOCADO,FRESH,RAW</t>
  </si>
  <si>
    <t>APPLE,RAW</t>
  </si>
  <si>
    <t>AVOCADO,FRESH,RAW</t>
  </si>
  <si>
    <t>CUSTARD APPLE, RAW</t>
  </si>
  <si>
    <t>APPLE,RAW</t>
  </si>
  <si>
    <t>CASHEW APPLE, RAW</t>
  </si>
  <si>
    <t>CUSTARD APPLE, RAW</t>
  </si>
  <si>
    <t>CUSTARD APPLE, RAW</t>
  </si>
  <si>
    <t>POMEGRANATE,RAW</t>
  </si>
  <si>
    <t>SOURSOP, RAW</t>
  </si>
  <si>
    <t>PASSION FRUIT, RAW</t>
  </si>
  <si>
    <t>SOURSOP, RAW</t>
  </si>
  <si>
    <t>DAN</t>
  </si>
  <si>
    <t>NELLI, RAW</t>
  </si>
  <si>
    <t>ROSE APPLE</t>
  </si>
  <si>
    <t>CHICK PEAS, BOILED</t>
  </si>
  <si>
    <t>CHICK PEAS, BOILED &amp; TEMPERED</t>
  </si>
  <si>
    <t>CHICK PEAS, BOILED, W/ COCONUT MILK</t>
  </si>
  <si>
    <t>CHICK PEAS, BOILED</t>
  </si>
  <si>
    <t>CHICK PEAS, BOILED &amp; TEMPERED, W/ COCONUT MILK</t>
  </si>
  <si>
    <t>CHICK PEAS, BOILED</t>
  </si>
  <si>
    <t>CHICK PEAS, BOILED &amp; TEMPERED</t>
  </si>
  <si>
    <t>CHICK PEAS, BOILED, W/ COCONUT MILK</t>
  </si>
  <si>
    <t>CHICK PEAS, BOILED &amp; TEMPERED</t>
  </si>
  <si>
    <t>CHICK PEAS AND EGGPLANT, BOILED &amp; TEMPERED, W/ COCONUT MILK</t>
  </si>
  <si>
    <t>CHICK PEAS, BOILED &amp; TEMPERED, W/ COCONUT MILK</t>
  </si>
  <si>
    <t>CHICK PEAS AND EGGPLANT, BOILED &amp; TEMPERED, W/ COCONUT MILK</t>
  </si>
  <si>
    <t>COWPEAS, WHOLE, BOILED</t>
  </si>
  <si>
    <t>COWPEAS, WHOLE, BOILED &amp; TEMPERED</t>
  </si>
  <si>
    <t>COWPEAS, WHOLE, BOILED</t>
  </si>
  <si>
    <t>COWPEAS, WHOLE, BOILED &amp; TEMPERED</t>
  </si>
  <si>
    <t>COWPEAS, WHOLE, BOILED &amp; TEMPERED, W/ COCONUT MILK</t>
  </si>
  <si>
    <t>COWPEAS, WHOLE, BOILED &amp; TEMPERED</t>
  </si>
  <si>
    <t>COWPEAS, WHOLE, BOILED</t>
  </si>
  <si>
    <t>KIDNEY BEANS, BOILED, W/ COCONUT MILK</t>
  </si>
  <si>
    <t>KIDNEY BEANS, BOILED &amp; TEMPERED, W/ COCONUT MILK</t>
  </si>
  <si>
    <t>KIDNEY BEANS, BOILED, W/ COCONUT MILK</t>
  </si>
  <si>
    <t>BLACK GRAM, SPLIT, BOILED &amp; TEMPERED</t>
  </si>
  <si>
    <t>BLACK GRAM, SPLIT, BOILED, W/ COCONUT MILK</t>
  </si>
  <si>
    <t>BLACK GRAM, SPLIT, BOILED &amp; TEMPERED, W/ COCONUT MILK</t>
  </si>
  <si>
    <t>BLACK GRAM, WHOLE, BOILED, W/ COCONUT MILK</t>
  </si>
  <si>
    <t>GREEN GRAM SPROUTS, BOILED</t>
  </si>
  <si>
    <t>GREEN GRAM, SPLIT, BOILED</t>
  </si>
  <si>
    <t>GREEN GRAM, SPLIT, BOILED, W/ COCONUT MILK</t>
  </si>
  <si>
    <t>GREEN GRAM, SPLIT, BOILED &amp; TEMPERED, W/ COCONUT MILK</t>
  </si>
  <si>
    <t>GREEN GRAM, WHOLE, BOILED</t>
  </si>
  <si>
    <t>GREEN GRAM, SPLIT, BOILED, W/ COCONUT MILK</t>
  </si>
  <si>
    <t>GREEN GRAM, SPLIT, BOILED &amp; TEMPERED, W/ COCONUT MILK</t>
  </si>
  <si>
    <t>GREEN GRAM, WHOLE, BOILED, W/ COCONUT MILK</t>
  </si>
  <si>
    <t>GREEN GRAM, WHOLE, BOILED</t>
  </si>
  <si>
    <t>GREEN GRAM, WHOLE, BOILED &amp; TEMPERED</t>
  </si>
  <si>
    <t>GREEN GRAM, WHOLE, BOILED &amp; TEMPERED, W/ COCONUT MILK</t>
  </si>
  <si>
    <t>GREEN GRAM, WHOLE, BOILED, W/ COCONUT MILK</t>
  </si>
  <si>
    <t>GREEN GRAM, WHOLE, BOILED &amp; TEMPERED, W/ COCONUT MILK</t>
  </si>
  <si>
    <t>RED LENTILS AND POTATO, BOILED, W/ COCONUT MILK</t>
  </si>
  <si>
    <t>RED LENTILS AND POTATO, BOILED</t>
  </si>
  <si>
    <t>RED LENTILS, SPLIT, BOILED &amp; TEMPERED</t>
  </si>
  <si>
    <t>RED LENTILS, SPLIT, BOILED</t>
  </si>
  <si>
    <t>RED LENTILS, SPLIT, BOILED &amp; TEMPERED, W/ COCONUT MILK</t>
  </si>
  <si>
    <t>RED LENTILS, SPLIT, BOILED &amp; TEMPERED</t>
  </si>
  <si>
    <t>RED LENTILS, SPLIT, BOILED, W/ COCONUT MILK</t>
  </si>
  <si>
    <t>RED LENTILS AND DRIED FISH, BOILED, W/ COCONUT MILK</t>
  </si>
  <si>
    <t>RED LENTILS, SPLIT, BOILED, W/ COCONUT MILK</t>
  </si>
  <si>
    <t>RED LENTILS AND DRIED FISH, BOILED, W/ COCONUT MILK</t>
  </si>
  <si>
    <t>RED LENTILS, SPLIT, BOILED &amp; TEMPERED, W/ COCONUT MILK</t>
  </si>
  <si>
    <t>RED LENTILS AND SNAKE GOURD, BOILED, W/ COCONUT MILK</t>
  </si>
  <si>
    <t>RED LENTILS AND SPINACH, BOILED, W/ COCONUT MILK</t>
  </si>
  <si>
    <t>RED LENTILS AND SNAKE GOURD, BOILED, W/ COCONUT MILK</t>
  </si>
  <si>
    <t>RED LENTILS AND POTATO, BOILED, W/ COCONUT MILK</t>
  </si>
  <si>
    <t>RED LENTILS AND SPINACH, BOILED, W/ COCONUT MILK</t>
  </si>
  <si>
    <t>RED LENTILS AND SNAKE GOURD, BOILED, W/ COCONUT MILK</t>
  </si>
  <si>
    <t>RED LENTILS AND POTATO, BOILED</t>
  </si>
  <si>
    <t>RED LENTILS AND POTATO, BOILED, W/ COCONUT MILK</t>
  </si>
  <si>
    <t>RED LENTILS AND CABBAGE, BOILED, W/ COCONUT MILK</t>
  </si>
  <si>
    <t>RED LENTILS AND LEEKS, BOILED, W/ COCONUT MILK</t>
  </si>
  <si>
    <t>RED LENTILS AND POTATO, BOILED</t>
  </si>
  <si>
    <t>RED LENTILS AND CABBAGE, BOILED, W/ COCONUT MILK</t>
  </si>
  <si>
    <t>RED LENTILS AND POTATO, BOILED</t>
  </si>
  <si>
    <t>RED LENTILS AND LEEKS, BOILED, W/ COCONUT MILK</t>
  </si>
  <si>
    <t>SAMBAAR</t>
  </si>
  <si>
    <t>SAMBAAR</t>
  </si>
  <si>
    <t>SAMBAAR</t>
  </si>
  <si>
    <t>SOY MEAT AND POTATO, TEMPERED, W/ COCONUT MILK</t>
  </si>
  <si>
    <t>SOY MEAT, TEMPERED</t>
  </si>
  <si>
    <t>SOY MEAT, TEMPERED, W/ COCONUT MILK</t>
  </si>
  <si>
    <t>SOY MEAT, TEMPERED</t>
  </si>
  <si>
    <t>SOY MEAT AND POTATO, TEMPERED, W/ COCONUT MILK</t>
  </si>
  <si>
    <t>SOY MEAT, TEMPERED, W/ COCONUT MILK</t>
  </si>
  <si>
    <t>SOY MEAT, TEMPERED</t>
  </si>
  <si>
    <t>SOY MEAT AND POTATO, TEMPERED, W/ COCONUT MILK</t>
  </si>
  <si>
    <t>EGG,WHOLE, BOILED</t>
  </si>
  <si>
    <t>EGG, WHOLE, BOILED &amp; TEMPERED, W/ COCONUT MILK</t>
  </si>
  <si>
    <t>EGG, WHOLE,PAN-FRIED</t>
  </si>
  <si>
    <t>EGG, WHOLE,OMELET</t>
  </si>
  <si>
    <t>BEEF, TEMPERED, W/ COCONUT MILK</t>
  </si>
  <si>
    <t>BEEF, BOILED, W/ COCONUT MILK</t>
  </si>
  <si>
    <t>BEEF, TEMPERED</t>
  </si>
  <si>
    <t>BEEF, ROAST OR BAKED</t>
  </si>
  <si>
    <t>BEEF, TEMPERED</t>
  </si>
  <si>
    <t>BEEF, COOKED W/ WATER</t>
  </si>
  <si>
    <t>BEEF, TEMPERED</t>
  </si>
  <si>
    <t>BEEF, ROAST OR BAKED</t>
  </si>
  <si>
    <t>BEEF, COOKED W/ WATER</t>
  </si>
  <si>
    <t>BEEF OFFALS (BABATH), BOILED, W/ COCONUT MILK</t>
  </si>
  <si>
    <t>BEEF, COOKED W/ WATER</t>
  </si>
  <si>
    <t>BEEF OFFALS (BABATH), BOILED AND FRIED</t>
  </si>
  <si>
    <t>BEEF OFFALS (BABATH), BOILED, W/ COCONUT MILK</t>
  </si>
  <si>
    <t>LIVER,CALF,TEMPERED</t>
  </si>
  <si>
    <t>BEEF, BOILED, W/ COCONUT MILK</t>
  </si>
  <si>
    <t>LIVER,CALF,TEMPERED</t>
  </si>
  <si>
    <t>BEEF, TEMPERED, W/ COCONUT MILK</t>
  </si>
  <si>
    <t>BEEF, BOILED, W/ COCONUT MILK</t>
  </si>
  <si>
    <t>BEEF, TEMPERED</t>
  </si>
  <si>
    <t>BEEF, BOILED, W/ COCONUT MILK</t>
  </si>
  <si>
    <t>BEEF, TEMPERED, W/ COCONUT MILK</t>
  </si>
  <si>
    <t>BEEF, BOILED, W/ COCONUT MILK</t>
  </si>
  <si>
    <t>BEEF, TEMPERED, W/ COCONUT MILK</t>
  </si>
  <si>
    <t>BEEF, TEMPERED</t>
  </si>
  <si>
    <t>BEEF, TEMPERED, W/ COCONUT MILK</t>
  </si>
  <si>
    <t>VENISON (DEER MEAT), TEMPERED</t>
  </si>
  <si>
    <t>VENISON (DEER MEAT), TEMPERED</t>
  </si>
  <si>
    <t>VENISON (DEER MEAT), TEMPERED</t>
  </si>
  <si>
    <t>GOAT MEAT, TEMPERED</t>
  </si>
  <si>
    <t>GOAT MEAT, TEMPERED &amp; BOILED</t>
  </si>
  <si>
    <t>GOAT MEAT, TEMPERED</t>
  </si>
  <si>
    <t>GOAT MEAT, TEMPERED &amp; BOILED</t>
  </si>
  <si>
    <t>GOAT MEAT, TEMPERED &amp; BOILED</t>
  </si>
  <si>
    <t>GOAT MEAT, TEMPERED &amp; BOILED</t>
  </si>
  <si>
    <t>PORK, TEMPERED</t>
  </si>
  <si>
    <t>PORK, TEMPERED, W/ COCONUT MILK</t>
  </si>
  <si>
    <t>PORK, TEMPERED</t>
  </si>
  <si>
    <t>PORK, BOILED, W/ COCONUT MILK</t>
  </si>
  <si>
    <t>PORK, TEMPERED, W/ COCONUT MILK</t>
  </si>
  <si>
    <t>PORK, TEMPERED</t>
  </si>
  <si>
    <t>PORK, TEMPERED, W/ COCONUT MILK</t>
  </si>
  <si>
    <t>PORK, TEMPERED</t>
  </si>
  <si>
    <t>PORK, BOILED, W/ COCONUT MILK</t>
  </si>
  <si>
    <t>SAUSAGES,BEEF,GRILLED</t>
  </si>
  <si>
    <t>SAUSAGES,LOW FAT,GRILLED</t>
  </si>
  <si>
    <t>CHICKEN MEAT W/ BONE, TEMPERED</t>
  </si>
  <si>
    <t>CHICKEN MEAT W/ BONE, DEEP-FRIED</t>
  </si>
  <si>
    <t>CHICKEN MEAT W/ BONE, DEEP-FRIED</t>
  </si>
  <si>
    <t>CHICKEN MEAT W/ BONE, TEMPERED, W/ COCONUT MILK</t>
  </si>
  <si>
    <t>CHICKEN MEAT W/ BONE, TEMPERED</t>
  </si>
  <si>
    <t>CHICKEN MEAT W/ BONE, DEEP-FRIED</t>
  </si>
  <si>
    <t>CHICKEN MEAT W/ BONE, W/ COCONUT MILK</t>
  </si>
  <si>
    <t>CHICKEN MEAT W/ BONE, TEMPERED</t>
  </si>
  <si>
    <t>CHICKEN MEAT W/ BONE, TEMPERED, W/ COCONUT MILK</t>
  </si>
  <si>
    <t>CHICKEN MEAT, BONES REMOVED, BOILED, PLAIN</t>
  </si>
  <si>
    <t>CHICKEN MEAT W/ BONE, W/ COCONUT MILK</t>
  </si>
  <si>
    <t>CHICKEN MEAT, BONES REMOVED, COOKED W/ WATER</t>
  </si>
  <si>
    <t>CHICKEN MEAT, BONES REMOVED, TEMPERED</t>
  </si>
  <si>
    <t>CHICKEN MEAT, BONES REMOVED, COOKED W/ WATER</t>
  </si>
  <si>
    <t>CHICKEN MEAT, BONES REMOVED, TEMPERED, W/ COCONUT MILK</t>
  </si>
  <si>
    <t>CHICKEN MEAT, BONES REMOVED, TEMPERED</t>
  </si>
  <si>
    <t>CHICKEN MEAT, BONES REMOVED, COOKED W/ WATER</t>
  </si>
  <si>
    <t>CHICKEN MEAT W/ BONE, DEEP-FRIED</t>
  </si>
  <si>
    <t>CHICKEN MEAT, BONES REMOVED, TEMPERED, W/ COCONUT MILK</t>
  </si>
  <si>
    <t>CHICKEN MEAT, BONES REMOVED, W/ COCONUT MILK</t>
  </si>
  <si>
    <t>CHICKEN MEAT, BONES REMOVED, TEMPERED</t>
  </si>
  <si>
    <t>CHICKEN MEAT W/ BONE, TEMPERED</t>
  </si>
  <si>
    <t>CHICKEN MEAT, W/ BONE, COOKED W/ WATER</t>
  </si>
  <si>
    <t>CHICKEN MEAT, BONES REMOVED, TEMPERED, W/ COCONUT MILK</t>
  </si>
  <si>
    <t>CHICKEN MEAT W/ BONE, TEMPERED, W/ COCONUT MILK</t>
  </si>
  <si>
    <t>CHICKEN MEAT, BONES REMOVED, W/ COCONUT MILK</t>
  </si>
  <si>
    <t>CHICKEN MEAT W/ BONE, TEMPERED</t>
  </si>
  <si>
    <t>CHICKEN MEAT, BONES REMOVED, W/ COCONUT MILK</t>
  </si>
  <si>
    <t>CHICKEN MEAT W/ BONE, TEMPERED, W/ COCONUT MILK</t>
  </si>
  <si>
    <t>CHICKEN MEAT W/ BONE, W/ COCONUT MILK</t>
  </si>
  <si>
    <t>CHICKEN MEAT W/ BONE, TEMPERED, BOILED</t>
  </si>
  <si>
    <t>CHICKEN MEAT, W/ BONE, COOKED W/ WATER</t>
  </si>
  <si>
    <t>CHICKEN MEAT W/ BONE, TEMPERED, BOILED</t>
  </si>
  <si>
    <t>CHICKEN MEAT, W/ BONE, COOKED W/ WATER</t>
  </si>
  <si>
    <t>CHICKEN MEAT W/ BONE, W/ COCONUT MILK</t>
  </si>
  <si>
    <t>CHICKEN MEAT W/ BONE, TEMPERED, BOILED</t>
  </si>
  <si>
    <t>CHICKEN GIBLETS, TEMPERED</t>
  </si>
  <si>
    <t>CHICKEN MEAT, W/ BONE, COOKED W/ WATER</t>
  </si>
  <si>
    <t>CHICKEN MEAT W/ BONE, TEMPERED</t>
  </si>
  <si>
    <t>CHICKEN MEAT W/ BONE, TEMPERED, W/ COCONUT MILK</t>
  </si>
  <si>
    <t>CHICKEN MEAT W/ BONE, TEMPERED, BOILED</t>
  </si>
  <si>
    <t>CHICKEN MEAT, W/ BONE, COOKED W/ WATER</t>
  </si>
  <si>
    <t>CHICKEN MEAT W/ BONE, TEMPERED, W/ COCONUT MILK</t>
  </si>
  <si>
    <t>CHICKEN MEAT W/ BONE, TEMPERED, BOILED</t>
  </si>
  <si>
    <t>CHICKEN MEAT W/ BONE, W/ COCONUT MILK</t>
  </si>
  <si>
    <t>CHICKEN MEAT W/ BONE, TEMPERED</t>
  </si>
  <si>
    <t>CHICKEN MEAT W/ BONE, TEMPERED, W/ COCONUT MILK</t>
  </si>
  <si>
    <t>CHICKEN MEAT, W/ BONE, COOKED W/ WATER</t>
  </si>
  <si>
    <t>CHICKEN MEAT, BONES REMOVED, COOKED W/ WATER</t>
  </si>
  <si>
    <t>CHICKEN MEAT, BONES REMOVED, BOILED, PLAIN</t>
  </si>
  <si>
    <t>CHICKEN MEAT W/ BONE, TEMPERED</t>
  </si>
  <si>
    <t>CHICKEN MEAT, BONES REMOVED, COOKED W/ WATER</t>
  </si>
  <si>
    <t>CHICKEN MEAT, BONES REMOVED, W/ COCONUT MILK</t>
  </si>
  <si>
    <t>CHICKEN MEAT, BONES REMOVED, TEMPERED</t>
  </si>
  <si>
    <t>CHICKEN MEAT W/ BONE, TEMPERED, BOILED</t>
  </si>
  <si>
    <t>CHICKEN MEAT, BONES REMOVED, W/ COCONUT MILK</t>
  </si>
  <si>
    <t>CHICKEN MEAT, W/ BONE, COOKED W/ WATER</t>
  </si>
  <si>
    <t>CHICKEN MEAT W/ BONE, TEMPERED, BOILED</t>
  </si>
  <si>
    <t>PANEER</t>
  </si>
  <si>
    <t>CHOCOLATE FLAVORED MILK DRINK</t>
  </si>
  <si>
    <t>MALTED DRINK, BOTTLED, READY-TO-DRINK</t>
  </si>
  <si>
    <t>MALTED DRINK, FROM POWDER</t>
  </si>
  <si>
    <t>ICE CREAM, CHOCOLATE</t>
  </si>
  <si>
    <t>ICE CREAM, FRUIT FLAVOR</t>
  </si>
  <si>
    <t>ICE CREAM, VANILLA</t>
  </si>
  <si>
    <t>ICE CREAM, CHOCOLATE</t>
  </si>
  <si>
    <t>ICE CREAM,W/CONE</t>
  </si>
  <si>
    <t>ICE CREAM, VANILLA</t>
  </si>
  <si>
    <t>ICE CREAM, FRUIT FLAVOR</t>
  </si>
  <si>
    <t>BUFFALO MILK</t>
  </si>
  <si>
    <t>GOAT MILK</t>
  </si>
  <si>
    <t>MILK, NON FAT, FRESH OR UHT</t>
  </si>
  <si>
    <t>MILK, WHOLE, FRESH OR UHT</t>
  </si>
  <si>
    <t>MILK, WHOLE, FROM POWDER</t>
  </si>
  <si>
    <t>MILK, WHOLE, FRESH OR UHT</t>
  </si>
  <si>
    <t>MILK, WHOLE, FROM POWDER</t>
  </si>
  <si>
    <t>CURD, COW'S MILK, PLAIN, UNSWEETENED</t>
  </si>
  <si>
    <t>DRINKING YOGHURT, FLAVORED OR SWEETENED</t>
  </si>
  <si>
    <t>DRINKING YOGHURT, PLAIN, UNSWEETENED</t>
  </si>
  <si>
    <t>YOGHURT, WHOLE MILK, PLAIN</t>
  </si>
  <si>
    <t>YOGHURT, WHOLE MILK, SWEETENED OR FLAVORED</t>
  </si>
  <si>
    <t>YOGHURT, WHOLE MILK, SWEETENED OR FLAVORED</t>
  </si>
  <si>
    <t>YOGHURT, NON FAT, PLAIN</t>
  </si>
  <si>
    <t>YOGHURT, WHOLE MILK, PLAIN</t>
  </si>
  <si>
    <t>SAMAPOSHA CEREAL, PREPARED AS PORRIDGE</t>
  </si>
  <si>
    <t>THRIPOSHA CEREAL, PREPARED AS PORRIDGE</t>
  </si>
  <si>
    <t>NOODLES,PLAIN,BOILED</t>
  </si>
  <si>
    <t>NOODLES,W/ VEGETABLES,W/ COCONUT OIL</t>
  </si>
  <si>
    <t>RED RICE, SAMBA, PARBOILED, STEAMED OR BOILED</t>
  </si>
  <si>
    <t>RED RICE, SAMBA, KEKULU (POLISHED), STEAMED OR BOILED</t>
  </si>
  <si>
    <t>RED RICE, MEDIUM GRAIN, KEKULU (POLISHED), STEAMED OR BOILED</t>
  </si>
  <si>
    <t>RED RICE, MEDIUM GRAIN, PARBOILED, STEAMED OR BOILED</t>
  </si>
  <si>
    <t>RED RICE, BASMATI, PARBOILED, STEAMED OR BOILED</t>
  </si>
  <si>
    <t>WHITE RICE, SAMBA, PARBOILED, STEAMED OR BOILED</t>
  </si>
  <si>
    <t>WHITE RICE, MEDIUM GRAIN, KEKULU (POLISHED), STEAMED OR BOILED</t>
  </si>
  <si>
    <t>WHITE RICE, MEDIUM GRAIN, PARBOILED, STEAMED OR BOILED</t>
  </si>
  <si>
    <t>WHITE RICE, SAMBA, KEKULU (POLISHED), STEAMED OR BOILED</t>
  </si>
  <si>
    <t>WHITE RICE, MEDIUM GRAIN, KEKULU (POLISHED), STEAMED OR BOILED</t>
  </si>
  <si>
    <t>WHITE RICE, BASMATI, PARBOILED, STEAMED OR BOILED</t>
  </si>
  <si>
    <t>WHITE RICE, BASMATI, KEKULU (POLISHED), STEAMED OR BOILED</t>
  </si>
  <si>
    <t>MILK RICE W/ MUNG BEAN</t>
  </si>
  <si>
    <t>MILK RICE</t>
  </si>
  <si>
    <t>MILK RICE W/ MUNG BEAN</t>
  </si>
  <si>
    <t>MILK RICE</t>
  </si>
  <si>
    <t>MILK RICE W/ MUNG BEAN</t>
  </si>
  <si>
    <t>BIRYANI W/ CHICKEN</t>
  </si>
  <si>
    <t>BIRYANI W/ VEGETABLES</t>
  </si>
  <si>
    <t>FRIED RICE W/ VEGETABLES &amp; EGG</t>
  </si>
  <si>
    <t>FRIED RICE W/ VEGETABLES</t>
  </si>
  <si>
    <t>MILK RICE W/ MUNG BEAN</t>
  </si>
  <si>
    <t>CURD RICE</t>
  </si>
  <si>
    <t>RICE PORRIDGE W/ GREEN GRAM, W/ COCONUT MILK</t>
  </si>
  <si>
    <t>MILK RICE</t>
  </si>
  <si>
    <t>RICE PORRIDGE W/ GREEN GRAM, W/ COCONUT MILK</t>
  </si>
  <si>
    <t>MILK RICE W/ MUNG BEAN</t>
  </si>
  <si>
    <t>RICE PORRIDGE W/ COCONUT MILK</t>
  </si>
  <si>
    <t>RICE PORRIDGE</t>
  </si>
  <si>
    <t>RICE PORRIDGE</t>
  </si>
  <si>
    <t>RICE PORRIDGE W/ COCONUT MILK</t>
  </si>
  <si>
    <t>FLATTENED RICE W/ SCRAPED COCONUT &amp; SUGAR</t>
  </si>
  <si>
    <t>RICE PORRIDGE W/ SCRAPED COCONUT</t>
  </si>
  <si>
    <t>RICE PORRIDGE</t>
  </si>
  <si>
    <t>RICE PORRIDGE W/ SCRAPED COCONUT</t>
  </si>
  <si>
    <t>RICE PORRIDGE W/ BANANA, W/ COCONUT MILK</t>
  </si>
  <si>
    <t>FLATTENED RICE W/ SCRAPED COCONUT &amp; SUGAR</t>
  </si>
  <si>
    <t>MAIZE ON THE COB, ROASTED</t>
  </si>
  <si>
    <t>MAIZE KERNELS, FRIED</t>
  </si>
  <si>
    <t>MAIZE ON THE COB, BOILED</t>
  </si>
  <si>
    <t>MAIZE ON THE COB, ROASTED</t>
  </si>
  <si>
    <t>MAIZE ON THE COB, BOILED</t>
  </si>
  <si>
    <t>MAIZE KERNELS, BOILED</t>
  </si>
  <si>
    <t>MAIZE ON THE COB, ROASTED</t>
  </si>
  <si>
    <t>MAIZE KERNELS, BOILED</t>
  </si>
  <si>
    <t>BISCUIT, CHOCOLATE, FULL COATED</t>
  </si>
  <si>
    <t>BISCUIT, CHOCOLATE CHIP</t>
  </si>
  <si>
    <t>BISCUIT, CHEESE FLAVORED</t>
  </si>
  <si>
    <t>BISCUIT, CREAM FILLED</t>
  </si>
  <si>
    <t>BISCUIT, GINGER</t>
  </si>
  <si>
    <t>BISCUIT, SAVORY</t>
  </si>
  <si>
    <t>BISCUIT, SEMI SWEET</t>
  </si>
  <si>
    <t>BISCUIT, SHORTIES</t>
  </si>
  <si>
    <t>BISCUIT, MARIE</t>
  </si>
  <si>
    <t>BISCUIT, WAFER, FILLED</t>
  </si>
  <si>
    <t>BISCUIT, LEMON PUFF</t>
  </si>
  <si>
    <t>VISKIRINGA (SUGAR GLAZED RUSK)</t>
  </si>
  <si>
    <t>BISCUIT, SWEET, FLAVORED, NO FILLING</t>
  </si>
  <si>
    <t>CAKE,COCONUT</t>
  </si>
  <si>
    <t>CAKE, BUTTER</t>
  </si>
  <si>
    <t>CAKE, ICED</t>
  </si>
  <si>
    <t>CAKE, BUTTER</t>
  </si>
  <si>
    <t>CAKE,COCONUT</t>
  </si>
  <si>
    <t>CAKE,CHOCOLATE</t>
  </si>
  <si>
    <t>CAKE, BUTTER</t>
  </si>
  <si>
    <t>CAKE,SPONGE</t>
  </si>
  <si>
    <t>CAKE, BUTTER</t>
  </si>
  <si>
    <t>CAKE,SPONGE</t>
  </si>
  <si>
    <t>CAKE, BUTTER</t>
  </si>
  <si>
    <t>CAKE,CHOCOLATE</t>
  </si>
  <si>
    <t>CAKE, BUTTER</t>
  </si>
  <si>
    <t>CAKE,DATE</t>
  </si>
  <si>
    <t>CAKE,FRUIT</t>
  </si>
  <si>
    <t>CAKE,CHOCOLATE</t>
  </si>
  <si>
    <t>CAKE,COCONUT</t>
  </si>
  <si>
    <t>CAKE,DATE</t>
  </si>
  <si>
    <t>CAKE,SPONGE</t>
  </si>
  <si>
    <t>CAKE,CHOCOLATE</t>
  </si>
  <si>
    <t>CAKE,COCONUT</t>
  </si>
  <si>
    <t>CAKE,SPONGE</t>
  </si>
  <si>
    <t>CAKE,FRUIT</t>
  </si>
  <si>
    <t>CAKE, BUTTER</t>
  </si>
  <si>
    <t>CAKE,DATE</t>
  </si>
  <si>
    <t>CAKE, BUTTER</t>
  </si>
  <si>
    <t>CAKE,SPONGE</t>
  </si>
  <si>
    <t>CAKE, ICED</t>
  </si>
  <si>
    <t>CAKE, BUTTER</t>
  </si>
  <si>
    <t>CAKE,CHOCOLATE</t>
  </si>
  <si>
    <t>CAKE,SPONGE</t>
  </si>
  <si>
    <t>CAKE, ICED</t>
  </si>
  <si>
    <t>CAKE,FRUIT</t>
  </si>
  <si>
    <t>CAKE, BUTTER</t>
  </si>
  <si>
    <t>CANDY, TOFFEE</t>
  </si>
  <si>
    <t>CANDY, GINGELLY</t>
  </si>
  <si>
    <t>CHOCOLATE, MILK, PLAIN</t>
  </si>
  <si>
    <t>CANDY, TOFFEE</t>
  </si>
  <si>
    <t>CHOCOLATE, DARK, PLAIN</t>
  </si>
  <si>
    <t>CHOCOLATE, MILK, PLAIN</t>
  </si>
  <si>
    <t>CHOCOLATE, MILK, W/ CREAM OR CARAMEL FILLING</t>
  </si>
  <si>
    <t>CHOCOLATE, MILK, PLAIN</t>
  </si>
  <si>
    <t>CHOCOLATE, DARK, PLAIN</t>
  </si>
  <si>
    <t>CHOCOLATE, MILK, PLAIN</t>
  </si>
  <si>
    <t>CHOCOLATE, DARK, PLAIN</t>
  </si>
  <si>
    <t>CHOCOLATE, MILK, W/ NUTS OR FRUIT</t>
  </si>
  <si>
    <t>ALMONDS</t>
  </si>
  <si>
    <t>CASHEW NUTS, ROASTED, SALTED</t>
  </si>
  <si>
    <t>PEANUT,BOILED</t>
  </si>
  <si>
    <t>PEANUT,DRY,ROASTED</t>
  </si>
  <si>
    <t>PEANUT, TEMPERED</t>
  </si>
  <si>
    <t>JACKFRUIT SEEDS, DRY</t>
  </si>
  <si>
    <t>PUMPKIN SEEDS, DRY</t>
  </si>
  <si>
    <t>VADE (FRITTERS), DHAL</t>
  </si>
  <si>
    <t>VADE (FRITTERS), DHAL</t>
  </si>
  <si>
    <t>COCKTAIL MIX</t>
  </si>
  <si>
    <t>MURUKKU</t>
  </si>
  <si>
    <t>FRIED GRAMS SNACK</t>
  </si>
  <si>
    <t>CRISPS, MAIZE PUFF</t>
  </si>
  <si>
    <t>COCKTAIL MIX</t>
  </si>
  <si>
    <t>POPCORN, SALTY</t>
  </si>
  <si>
    <t>MURUKKU</t>
  </si>
  <si>
    <t>POPCORN, SWEET</t>
  </si>
  <si>
    <t>TAPIOCA,MANIOC,CHIPS,DRIED</t>
  </si>
  <si>
    <t>TAPIOCA,MANIOC,CHIPS,DRIED</t>
  </si>
  <si>
    <t>VADE (FRITTERS), DHAL</t>
  </si>
  <si>
    <t>JAGGERY</t>
  </si>
  <si>
    <t>SAMPOSHA AGGALA</t>
  </si>
  <si>
    <t>AGGALA</t>
  </si>
  <si>
    <t>CASSAVA CHIPS,FRIED,SUGAR COATED</t>
  </si>
  <si>
    <t>ALUWA</t>
  </si>
  <si>
    <t>DHODOL</t>
  </si>
  <si>
    <t>HALAPA</t>
  </si>
  <si>
    <t>LADDU,SEMOLINA</t>
  </si>
  <si>
    <t>MUNG KEVUM</t>
  </si>
  <si>
    <t>WALI THALAPA</t>
  </si>
  <si>
    <t>PANCAKE,ROLL</t>
  </si>
  <si>
    <t>SAMPOSHA AGGALA</t>
  </si>
  <si>
    <t>SAGO PAAYASAM (KHEER)</t>
  </si>
  <si>
    <t>WATALAPPAN</t>
  </si>
  <si>
    <t>JAGGERY</t>
  </si>
  <si>
    <t>SAMPOSHA AGGALA</t>
  </si>
  <si>
    <t>WALI THALAPA</t>
  </si>
  <si>
    <t>ATHIRASA</t>
  </si>
  <si>
    <t>SAMPOSHA AGGALA</t>
  </si>
  <si>
    <t>BRINJAL, TEMPERED</t>
  </si>
  <si>
    <t>BRINJAL AND DRIED FISH, W/ COCONUT MILK</t>
  </si>
  <si>
    <t>BRINJAL, W/ COCONUT MILK</t>
  </si>
  <si>
    <t>BRINJAL AND DRIED FISH, W/ COCONUT MILK</t>
  </si>
  <si>
    <t>BRINJAL, TEMPERED</t>
  </si>
  <si>
    <t>CAPSICUM, TEMPERED</t>
  </si>
  <si>
    <t>BRINJAL, TEMPERED</t>
  </si>
  <si>
    <t>BRINJAL, TEMPERED, W/ COCONUT MILK</t>
  </si>
  <si>
    <t>BRINJAL, TEMPERED</t>
  </si>
  <si>
    <t>BRINJAL, TEMPERED, W/ COCONUT MILK</t>
  </si>
  <si>
    <t>BRINJAL AND DRIED FISH, W/ COCONUT MILK</t>
  </si>
  <si>
    <t>BRINJAL, W/ COCONUT MILK</t>
  </si>
  <si>
    <t>BRINJAL AND DRIED FISH, TEMPERED</t>
  </si>
  <si>
    <t>BRINJAL MOJU</t>
  </si>
  <si>
    <t>CAPSICUM, TEMPERED</t>
  </si>
  <si>
    <t>BRINJAL AND DRIED FISH, W/ COCONUT MILK</t>
  </si>
  <si>
    <t>BRINJAL, TEMPERED, W/ COCONUT MILK</t>
  </si>
  <si>
    <t>BRINJAL MOJU</t>
  </si>
  <si>
    <t>CAPSICUM, TEMPERED, W/ COCONUT MILK</t>
  </si>
  <si>
    <t>BRINJAL, W/ COCONUT MILK</t>
  </si>
  <si>
    <t>CAPSICUM, TEMPERED</t>
  </si>
  <si>
    <t>CAPSICUM, W/ COCONUT MILK</t>
  </si>
  <si>
    <t>GREEN EGG PLANT, TEMPERED</t>
  </si>
  <si>
    <t>CAPSICUM, W/ COCONUT MILK</t>
  </si>
  <si>
    <t>CAPSICUM AND DRIED FISH, W/ COCONUT MILK</t>
  </si>
  <si>
    <t>CAPSICUM, TEMPERED, W/ COCONUT MILK</t>
  </si>
  <si>
    <t>CAPSICUM, TEMPERED</t>
  </si>
  <si>
    <t>CAPSICUM AND DRIED FISH, W/ COCONUT MILK</t>
  </si>
  <si>
    <t>GREEN EGG PLANT, TEMPERED, W/ COCONUT MILK</t>
  </si>
  <si>
    <t>CAPSICUM AND SPRATS, W/ COCONUT MILK</t>
  </si>
  <si>
    <t>GREEN EGG PLANT, TEMPERED</t>
  </si>
  <si>
    <t>TOMATO, TEMPERED, W/ COCONUT MILK</t>
  </si>
  <si>
    <t>GREEN EGG PLANT, TEMPERED, W/ COCONUT MILK</t>
  </si>
  <si>
    <t>DRUMSTICKS, BOILED, W/ COCONUT MILK</t>
  </si>
  <si>
    <t>DRUMSTICKS, TEMPERED, W/ COCONUT MILK</t>
  </si>
  <si>
    <t>DRUMSTICKS, BOILED, W/ COCONUT MILK</t>
  </si>
  <si>
    <t>DRUMSTICKS, BOILED &amp; TEMPERED</t>
  </si>
  <si>
    <t>DRUMSTICKS, TEMPERED, W/ COCONUT MILK</t>
  </si>
  <si>
    <t>DRUMSTICKS, BOILED &amp; TEMPERED</t>
  </si>
  <si>
    <t>DRUMSTICKS, BOILED, W/ COCONUT MILK</t>
  </si>
  <si>
    <t>DRUMSTICKS, TEMPERED, W/ COCONUT MILK</t>
  </si>
  <si>
    <t>LADIES FINGERS, TEMPERED</t>
  </si>
  <si>
    <t>LADIES FINGERS, TEMPERED, W/ COCONUT MILK</t>
  </si>
  <si>
    <t>LADIES FINGERS, W/ COCONUT MILK</t>
  </si>
  <si>
    <t>LADIES FINGERS, TEMPERED</t>
  </si>
  <si>
    <t>LADIES FINGERS, TEMPERED, W/ COCONUT MILK</t>
  </si>
  <si>
    <t>LADIES FINGERS AND DRIED FISH, TEMPERED, W/ COCONUT MILK</t>
  </si>
  <si>
    <t>LADIES FINGERS, W/ COCONUT MILK</t>
  </si>
  <si>
    <t>LADIES FINGERS AND DRIED FISH, TEMPERED, W/ COCONUT MILK</t>
  </si>
  <si>
    <t>LONG BEANS, TEMPERED, W/ COCONUT MILK</t>
  </si>
  <si>
    <t>GREEN BEANS, BOILED</t>
  </si>
  <si>
    <t>GREEN BEANS, TEMPERED</t>
  </si>
  <si>
    <t>GREEN BEANS, TEMPERED, W/ COCONUT MILK</t>
  </si>
  <si>
    <t>GREEN BEANS, TEMPERED</t>
  </si>
  <si>
    <t>GREEN BEANS, BOILED</t>
  </si>
  <si>
    <t>LONG BEANS, BOILED</t>
  </si>
  <si>
    <t>GREEN BEANS, TEMPERED, W/ COCONUT MILK</t>
  </si>
  <si>
    <t>LONG BEANS, TEMPERED</t>
  </si>
  <si>
    <t>LONG BEANS, TEMPERED, W/ COCONUT MILK</t>
  </si>
  <si>
    <t>LONG BEANS, TEMPERED</t>
  </si>
  <si>
    <t>LONG BEANS, W/ COCONUT MILK</t>
  </si>
  <si>
    <t>WINGED BEANS, BOILED</t>
  </si>
  <si>
    <t>LONG BEANS, BOILED</t>
  </si>
  <si>
    <t>LONG BEANS, TEMPERED, W/ COCONUT MILK</t>
  </si>
  <si>
    <t>WINGED BEANS, TEMPERED</t>
  </si>
  <si>
    <t>WINGED BEANS, FRESH OR WATER-COOKED MALLUM W/ SCRAPED COCONUT</t>
  </si>
  <si>
    <t>WINGED BEANS, TEMPERED, W/ COCONUT MILK</t>
  </si>
  <si>
    <t>WINGED BEANS, W/ COCONUT MILK</t>
  </si>
  <si>
    <t>WINGED BEANS, BOILED</t>
  </si>
  <si>
    <t>LONG BEANS, W/ COCONUT MILK</t>
  </si>
  <si>
    <t>WINGED BEANS, W/ COCONUT MILK</t>
  </si>
  <si>
    <t>WINGED BEANS, FRESH OR WATER-COOKED MALLUM W/ SCRAPED COCONUT</t>
  </si>
  <si>
    <t>GREEN BEANS, BOILED, W/ COCONUT MILK</t>
  </si>
  <si>
    <t>AMBARELLA, W/ COCONUT MILK</t>
  </si>
  <si>
    <t>AMBARELLA, TEMPERED, W/ COCONUT MILK</t>
  </si>
  <si>
    <t>AMBARELLA, W/ COCONUT MILK</t>
  </si>
  <si>
    <t>MUSK MELON, TEMPERED, W/ COCONUT MILK</t>
  </si>
  <si>
    <t>BREAD FRUIT, BOILED, PLAIN</t>
  </si>
  <si>
    <t>BREAD FRUIT, BOILED, PLAIN</t>
  </si>
  <si>
    <t>BREAD FRUIT, BOILED, W/ COCONUT MILK</t>
  </si>
  <si>
    <t>BREAD FRUIT, BOILED AND TEMPERED, W/ COCONUT MILK</t>
  </si>
  <si>
    <t>BREAD FRUIT, BOILED, PLAIN</t>
  </si>
  <si>
    <t>BREAD FRUIT, BOILED AND TEMPERED, W/ COCONUT MILK</t>
  </si>
  <si>
    <t>BREAD FRUIT, BOILED, W/ COCONUT MILK</t>
  </si>
  <si>
    <t>PLANTAIN FLOWER, W/ COCONUT MILK</t>
  </si>
  <si>
    <t>AGATHI FLOWERS, TEMPERED</t>
  </si>
  <si>
    <t>PLANTAIN FLOWER, TEMPERED, W/ COCONUT MILK</t>
  </si>
  <si>
    <t>PLANTAIN FLOWER, TEMPERED</t>
  </si>
  <si>
    <t>PLANTAIN FLOWER, TEMPERED, W/ COCONUT MILK</t>
  </si>
  <si>
    <t>PLANTAIN FLOWER, TEMPERED, W/ SCRAPED COCONUT</t>
  </si>
  <si>
    <t>PLANTAIN FLOWER, W/ COCONUT MILK</t>
  </si>
  <si>
    <t>MATURE JACKFRUIT, TEMPERED, W/ COCONUT MILK</t>
  </si>
  <si>
    <t>MATURE JACKFRUIT, BOILED</t>
  </si>
  <si>
    <t>TENDER JACKFRUIT, TEMPERED, W/ COCONUT MILK</t>
  </si>
  <si>
    <t>JACKFRUIT SEED, TEMPERED, W/ COCONUT MILK</t>
  </si>
  <si>
    <t>JACKFRUIT SEED, W/ COCONUT MILK</t>
  </si>
  <si>
    <t>MATURE JACKFRUIT, TEMPERED, W/ COCONUT MILK</t>
  </si>
  <si>
    <t>JACKFRUIT SEED, W/ COCONUT MILK</t>
  </si>
  <si>
    <t>JACKFRUIT SEED, TEMPERED, W/ COCONUT MILK</t>
  </si>
  <si>
    <t>MATURE JACKFRUIT, BOILED</t>
  </si>
  <si>
    <t>JACKFRUIT SEED, TEMPERED, W/ COCONUT MILK</t>
  </si>
  <si>
    <t>TENDER JACKFRUIT, TEMPERED, W/ COCONUT MILK</t>
  </si>
  <si>
    <t>TENDER JACKFRUIT, TEMPERED MALLUM W/ SCRAPED COCONUT</t>
  </si>
  <si>
    <t>TENDER JACKFRUIT, TEMPERED, W/ COCONUT MILK</t>
  </si>
  <si>
    <t>MATURE JACKFRUIT, TEMPERED, W/ COCONUT MILK</t>
  </si>
  <si>
    <t>TENDER JACKFRUIT, FRESH OR WATER-COOKED MALLUM W/ SCRAPED COCONUT</t>
  </si>
  <si>
    <t>MATURE JACKFRUIT, BOILED</t>
  </si>
  <si>
    <t>TENDER JACKFRUIT, TEMPERED MALLUM W/ SCRAPED COCONUT</t>
  </si>
  <si>
    <t>MATURE JACKFRUIT, BOILED, W/ COCONUT MILK</t>
  </si>
  <si>
    <t>BITTER GOURD, DEEP-FRIED</t>
  </si>
  <si>
    <t>CUCUMBER, W/ COCONUT MILK</t>
  </si>
  <si>
    <t>RIDGE GOURD, W/ COCONUT MILK</t>
  </si>
  <si>
    <t>ASH GOURD, BOILED, W/ COCONUT MILK</t>
  </si>
  <si>
    <t>BITTER GOURD, TEMPERED</t>
  </si>
  <si>
    <t>BITTER GOURD, W/ COCONUT MILK</t>
  </si>
  <si>
    <t>BITTER GOURD, TEMPERED, SALAD</t>
  </si>
  <si>
    <t>CUCUMBER, W/ COCONUT MILK</t>
  </si>
  <si>
    <t>BITTER GOURD, TEMPERED</t>
  </si>
  <si>
    <t>BITTER GOURD, DEEP-FRIED</t>
  </si>
  <si>
    <t>BITTER GOURD, TEMPERED, SALAD</t>
  </si>
  <si>
    <t>BITTER GOURD, DEEP-FRIED</t>
  </si>
  <si>
    <t>BOTTLE GOURD, W/ COCONUT MILK</t>
  </si>
  <si>
    <t>CUCUMBER, W/ COCONUT MILK</t>
  </si>
  <si>
    <t>SNAKE GOURD, W/ COCONUT MILK</t>
  </si>
  <si>
    <t>SNAKE GOURD AND DRIED FISH, W/ COCONUT MILK</t>
  </si>
  <si>
    <t>RIDGE GOURD, W/ COCONUT MILK</t>
  </si>
  <si>
    <t>CUCUMBER, W/ COCONUT MILK</t>
  </si>
  <si>
    <t>SNAKE GOURD AND DRIED FISH, W/ COCONUT MILK</t>
  </si>
  <si>
    <t>DUBAI PUMPKIN, BOILED, W/ COCONUT MILK</t>
  </si>
  <si>
    <t>PUMPKIN, BOILED, W/ COCONUT MILK</t>
  </si>
  <si>
    <t>PUMPKIN, TEMPERED, W/ COCONUT MILK</t>
  </si>
  <si>
    <t>DUBAI PUMPKIN, BOILED, W/ COCONUT MILK</t>
  </si>
  <si>
    <t>PUMPKIN, BOILED, W/ COCONUT MILK</t>
  </si>
  <si>
    <t>DUBAI PUMPKIN, BOILED, W/ COCONUT MILK</t>
  </si>
  <si>
    <t>PUMPKIN, TEMPERED, W/ COCONUT MILK</t>
  </si>
  <si>
    <t>PUMPKIN, TEMPERED, W/ COCONUT MILK</t>
  </si>
  <si>
    <t>AMARANTH LEAVES, FRESH OR WATER-COOKED MALLUM W/ SCRAPED COCONUT</t>
  </si>
  <si>
    <t>AMARANTH LEAVES, FRESH OR WATER-COOKED MALLUM W/ SCRAPED COCONUT</t>
  </si>
  <si>
    <t>AMARANTH LEAVES, TEMPERED</t>
  </si>
  <si>
    <t>AMARANTH LEAVES, BOILED, W/ COCONUT MILK</t>
  </si>
  <si>
    <t>AMARANTH LEAVES, TEMPERED</t>
  </si>
  <si>
    <t>SPINACH, BOILED, W/ COCONUT MILK</t>
  </si>
  <si>
    <t>RADISH LEAVES, TEMPERED</t>
  </si>
  <si>
    <t>CABBAGE LEAVES, FRESH OR WATER-COOKED MALLUM W/ SCRAPED COCONUT</t>
  </si>
  <si>
    <t>CABBAGE LEAVES, TEMPERED MALLUM W/ SCRAPED COCONUT</t>
  </si>
  <si>
    <t>CABBAGE LEAVES, FRESH OR WATER-COOKED MALLUM W/ SCRAPED COCONUT</t>
  </si>
  <si>
    <t>CABBAGE, W/ COCONUT MILK</t>
  </si>
  <si>
    <t>CABBAGE LEAVES, TEMPERED</t>
  </si>
  <si>
    <t>CABBAGE AND POTATO, W/ COCONUT MILK</t>
  </si>
  <si>
    <t>CABBAGE, TEMPERED</t>
  </si>
  <si>
    <t>CABBAGE, TEMPERED</t>
  </si>
  <si>
    <t>CABBAGE AND POTATO, W/ COCONUT MILK</t>
  </si>
  <si>
    <t>CABBAGE, TEMPERED, W/ COCONUT MILK</t>
  </si>
  <si>
    <t>CABBAGE, W/ COCONUT MILK</t>
  </si>
  <si>
    <t>CABBAGE, TEMPERED, W/ COCONUT MILK</t>
  </si>
  <si>
    <t>CABBAGE, TEMPERED</t>
  </si>
  <si>
    <t>CASSAVA LEAVES, FRESH OR WATER-COOKED MALLUM W/ SCRAPED COCONUT</t>
  </si>
  <si>
    <t>CASSAVA LEAVES, TEMPERED MALLUM W/ SCRAPED COCONUT</t>
  </si>
  <si>
    <t>SWEET POTATO LEAVES, TEMPERED MALLUM W/ SCRAPED COCONUT</t>
  </si>
  <si>
    <t>CASSAVA LEAVES, TEMPERED</t>
  </si>
  <si>
    <t>SWEET POTATO LEAVES, TEMPERED MALLUM W/ SCRAPED COCONUT</t>
  </si>
  <si>
    <t>CASSAVA LEAVES, TEMPERED</t>
  </si>
  <si>
    <t>TARO LEAVES, TEMPERED MALLUM W/ SCRAPED COCONUT</t>
  </si>
  <si>
    <t>DRUMSTICK LEAVES, FRESH OR WATER-COOKED MALLUM W/ SCRAPED COCONUT</t>
  </si>
  <si>
    <t>DRUMSTICK LEAVES, TEMPERED</t>
  </si>
  <si>
    <t>KATHURUMURUNGA, FRESH OR WATER-COOKED MALLUM W/ SCRAPED COCONUT</t>
  </si>
  <si>
    <t>DRUMSTICK LEAVES, FRESH OR WATER-COOKED MALLUM W/ SCRAPED COCONUT</t>
  </si>
  <si>
    <t>DRUMSTICK LEAVES, TEMPERED</t>
  </si>
  <si>
    <t>KATHURUMURUNGA, TEMPERED MALLUM W/SCRAPED COCONUT</t>
  </si>
  <si>
    <t>KATHURUMURUNGA, FRESH OR WATER-COOKED MALLUM W/ SCRAPED COCONUT</t>
  </si>
  <si>
    <t>GOTUKOLA, FRESH OR WATER-COOKED MALLUM W/SCRAPED COCONUT</t>
  </si>
  <si>
    <t>GOTUKOLA, TEMPERED MALLUM W/SCRAPED COCONUT</t>
  </si>
  <si>
    <t>KANKUN, FRESH OR WATER-COOKED MALLUM W/ SCRAPED COCONUT</t>
  </si>
  <si>
    <t>KANKUN, TEMPERED MALLUM W/ SCRAPED COCONUT</t>
  </si>
  <si>
    <t>KANKUN, FRESH OR WATER-COOKED MALLUM W/ SCRAPED COCONUT</t>
  </si>
  <si>
    <t>KANKUN, TEMPERED</t>
  </si>
  <si>
    <t>KANKUN, TEMPERED MALLUM W/ SCRAPED COCONUT</t>
  </si>
  <si>
    <t>MUKUNUWENNA, TEMPERED</t>
  </si>
  <si>
    <t>MUKUNUWENNA, FRESH OR WATER-COOKED MALLUM W/ SCRAPED COCONUT</t>
  </si>
  <si>
    <t>MUKUNUWENNA, BOILED, W/ COCONUT MILK</t>
  </si>
  <si>
    <t>MUKUNUWENNA, TEMPERED</t>
  </si>
  <si>
    <t>ONION LEAVES, TEMPERED MALLUM W/ SCRAPED COCONUT</t>
  </si>
  <si>
    <t>ONION LEAVES, TEMPERED</t>
  </si>
  <si>
    <t>ONION LEAVES, W/ COCONUT MILK</t>
  </si>
  <si>
    <t>PUMPKIN LEAVES, FRESH OR WATER-COOKED MALLUM W/ SCRAPED COCONUT</t>
  </si>
  <si>
    <t>PUMPKIN LEAVES, TEMPERED MALLUM W/ SCRAPED COCONUT</t>
  </si>
  <si>
    <t>PUMPKIN LEAVES, TEMPERED</t>
  </si>
  <si>
    <t>PUMPKIN LEAVES, FRESH OR WATER-COOKED MALLUM W/ SCRAPED COCONUT</t>
  </si>
  <si>
    <t>PUMPKIN LEAVES, TEMPERED</t>
  </si>
  <si>
    <t>ANGUNA KOLA, TEMPERED MALLUM W/ SCRAPED COCONUT</t>
  </si>
  <si>
    <t>GYMNEMA LEAVES, TEMPERED MALLUM W/ SCRAPED COCONUT</t>
  </si>
  <si>
    <t>ANGUNA KOLA, TEMPERED MALLUM W/ SCRAPED COCONUT</t>
  </si>
  <si>
    <t>GYMNEMA LEAVES, TEMPERED MALLUM W/ SCRAPED COCONUT</t>
  </si>
  <si>
    <t>ANGUNA KOLA, TEMPERED MALLUM W/ SCRAPED COCONUT</t>
  </si>
  <si>
    <t>GYMNEMA LEAVES, TEMPERED MALLUM W/ SCRAPED COCONUT</t>
  </si>
  <si>
    <t>MUSHROOM, TEMPERED, W/ COCONUT MILK</t>
  </si>
  <si>
    <t>MUSHROOM, TEMPERED</t>
  </si>
  <si>
    <t>MUSHROOM, TEMPERED, W/ COCONUT MILK</t>
  </si>
  <si>
    <t>ASH PLANTAIN,BOILED, W/ COCONUT MILK</t>
  </si>
  <si>
    <t>ASH PLANTAIN, DEEP-FRIED</t>
  </si>
  <si>
    <t>ASH PLANTAIN, DEEP-FRIED</t>
  </si>
  <si>
    <t>PLANTAIN STEM, TEMPERED, W/ COCONUT MILK</t>
  </si>
  <si>
    <t>ASH PLANTAIN AND FISH, TEMPERED</t>
  </si>
  <si>
    <t>ASH PLANTAIN,BOILED, W/ COCONUT MILK</t>
  </si>
  <si>
    <t>ASH PLANTAIN, TEMPERED</t>
  </si>
  <si>
    <t>PLANTAIN STEM, TEMPERED, W/ COCONUT MILK</t>
  </si>
  <si>
    <t>ASH PLANTAIN, TEMPERED</t>
  </si>
  <si>
    <t>ASH PLANTAIN AND FISH, TEMPERED</t>
  </si>
  <si>
    <t>ASH PLANTAIN, TEMPERED</t>
  </si>
  <si>
    <t>ASH PLANTAIN,BOILED, W/ COCONUT MILK</t>
  </si>
  <si>
    <t>BEET ROOT, TEMPERED, W/ COCONUT MILK</t>
  </si>
  <si>
    <t>BEET ROOT, TEMPERED</t>
  </si>
  <si>
    <t>BEET ROOT, TEMPERED, W/ COCONUT MILK</t>
  </si>
  <si>
    <t>CARROT, BOILED</t>
  </si>
  <si>
    <t>CARROT, W/ COCONUT MILK</t>
  </si>
  <si>
    <t>CARROT, BOILED</t>
  </si>
  <si>
    <t>CARROT AND BROAD BEANS, W/ COCONUT MILK</t>
  </si>
  <si>
    <t>CARROT AND DRIED FISH, W/ COCONUT MILK</t>
  </si>
  <si>
    <t>CARROT AND GREEN BEANS, BOILED, PLAIN</t>
  </si>
  <si>
    <t>CARROT AND BROAD BEANS, W/ COCONUT MILK</t>
  </si>
  <si>
    <t>CARROT AND POTATO, W/ COCONUT MILK</t>
  </si>
  <si>
    <t>RADISH,BOILED, W/ COCONUT MILK</t>
  </si>
  <si>
    <t>CARROT AND GREEN BEANS, BOILED, PLAIN</t>
  </si>
  <si>
    <t>RADISH, TEMPERED, W/ COCONUT MILK</t>
  </si>
  <si>
    <t>KOHLRABI, BOILED, W/ COCONUT MILK</t>
  </si>
  <si>
    <t>CARROT AND GREEN BEANS, BOILED, W/ COCONUT MILK</t>
  </si>
  <si>
    <t>RADISH,BOILED, W/ COCONUT MILK</t>
  </si>
  <si>
    <t>CARROT AND GREEN BEANS, BOILED, W/ COCONUT MILK</t>
  </si>
  <si>
    <t>RADISH, TEMPERED, W/ COCONUT MILK</t>
  </si>
  <si>
    <t>CARROT, TEMPERED</t>
  </si>
  <si>
    <t>CASSAVA ROOT, FRESH, DEEP-FRIED</t>
  </si>
  <si>
    <t>CASSAVA ROOT, FRESH,BOILED</t>
  </si>
  <si>
    <t>CASSAVA, W/ COCONUT MILK</t>
  </si>
  <si>
    <t>CASSAVA ROOT, FRESH, DEEP-FRIED</t>
  </si>
  <si>
    <t>CASSAVA ROOT, FRESH,BOILED</t>
  </si>
  <si>
    <t>CASSAVA ROOT, FRESH, DEEP-FRIED</t>
  </si>
  <si>
    <t>CASSAVA, W/ COCONUT MILK</t>
  </si>
  <si>
    <t>CASSAVA, BOILED AND TEMPERED</t>
  </si>
  <si>
    <t>CASSAVA AND TOMATO, BOILED, W/ COCONUT MILK</t>
  </si>
  <si>
    <t>CASSAVA, W/ COCONUT MILK</t>
  </si>
  <si>
    <t>CASSAVA ROOT, FRESH,BOILED</t>
  </si>
  <si>
    <t>CASSAVA ROOT, FRESH, DEEP-FRIED</t>
  </si>
  <si>
    <t>CASSAVA, W/ COCONUT MILK</t>
  </si>
  <si>
    <t>CASSAVA ROOT, FRESH,BOILED</t>
  </si>
  <si>
    <t>CASSAVA AND TOMATO, BOILED, W/ COCONUT MILK</t>
  </si>
  <si>
    <t>CASSAVA, BOILED AND TEMPERED</t>
  </si>
  <si>
    <t>CASSAVA, W/ COCONUT MILK</t>
  </si>
  <si>
    <t>TARO ROOT, W/ COCONUT MILK</t>
  </si>
  <si>
    <t>CASSAVA, BOILED AND TEMPERED</t>
  </si>
  <si>
    <t>CASSAVA AND TOMATO, BOILED, W/ COCONUT MILK</t>
  </si>
  <si>
    <t>CASSAVA, BOILED AND TEMPERED</t>
  </si>
  <si>
    <t>LASIA STEM, W/ COCONUT MILK</t>
  </si>
  <si>
    <t>LASIA STEM, TEMPERED MALLUM W/ SCRAPED COCONUT</t>
  </si>
  <si>
    <t>LEEKS AND DRIED FISH, TEMPERED</t>
  </si>
  <si>
    <t>LEEKS, W/ COCONUT MILK</t>
  </si>
  <si>
    <t>LEEKS AND DRIED FISH, TEMPERED</t>
  </si>
  <si>
    <t>LEEKS AND POTATO, W/ COCONUT MILK</t>
  </si>
  <si>
    <t>GARLIC, W/ COCONUT MILK</t>
  </si>
  <si>
    <t>LEEKS AND DRIED FISH, TEMPERED</t>
  </si>
  <si>
    <t>LEEKS, FRESH OR WATER-COOKED MALLUM W/ SCRAPED COCONUT</t>
  </si>
  <si>
    <t>LEEKS, TEMPERED MALLUM W/ SCRAPED COCONUT</t>
  </si>
  <si>
    <t>LEEKS, TEMPERED</t>
  </si>
  <si>
    <t>LEEKS AND POTATO, W/ COCONUT MILK</t>
  </si>
  <si>
    <t>LEEKS, FRESH OR WATER-COOKED MALLUM W/ SCRAPED COCONUT</t>
  </si>
  <si>
    <t>ONION, TEMPERED</t>
  </si>
  <si>
    <t>ONION, TEMPERED, W/ COCONUT MILK</t>
  </si>
  <si>
    <t>LEEKS, TEMPERED</t>
  </si>
  <si>
    <t>ONION, TEMPERED, W/ COCONUT MILK</t>
  </si>
  <si>
    <t>LEEKS, TEMPERED</t>
  </si>
  <si>
    <t>POTATO, W/ COCONUT MILK</t>
  </si>
  <si>
    <t>POTATO, TEMPERED</t>
  </si>
  <si>
    <t>POTATO, TEMPERED &amp; BOILED, W/ COCONUT MILK</t>
  </si>
  <si>
    <t>POTATO, TEMPERED &amp; BOILED, W/ COCONUT MILK</t>
  </si>
  <si>
    <t>POTATO, BOILED (CURRY)</t>
  </si>
  <si>
    <t>POTATO, W/ COCONUT MILK</t>
  </si>
  <si>
    <t>POTATO AND DRIED FISH, W/ COCONUT MILK</t>
  </si>
  <si>
    <t>POTATO, W/ COCONUT MILK</t>
  </si>
  <si>
    <t>POTATO AND DRIED FISH, W/ COCONUT MILK</t>
  </si>
  <si>
    <t>POTATO AND CAPSICUM, W/ COCONUT MILK</t>
  </si>
  <si>
    <t>POTATO AND GREEN BEANS, W/ COCONUT MILK</t>
  </si>
  <si>
    <t>POTATO AND CAPSICUM, W/ COCONUT MILK</t>
  </si>
  <si>
    <t>POTATO AND DRIED FISH, W/ COCONUT MILK</t>
  </si>
  <si>
    <t>POTATO AND LEEKS, W/ COCONUT MILK</t>
  </si>
  <si>
    <t>POTATO AND GREEN BEANS, W/ COCONUT MILK</t>
  </si>
  <si>
    <t>POTATO, TEMPERED</t>
  </si>
  <si>
    <t>POTATO AND TOMATO, TEMPERED, W/ COCONUT MILK</t>
  </si>
  <si>
    <t>POTATO AND GREEN BEANS, W/ COCONUT MILK</t>
  </si>
  <si>
    <t>POTATO AND LEEKS, W/ COCONUT MILK</t>
  </si>
  <si>
    <t>POTATO, W/ COCONUT MILK</t>
  </si>
  <si>
    <t>POTATO AND DRIED FISH, TEMPERED</t>
  </si>
  <si>
    <t>POTATO, W/ COCONUT MILK</t>
  </si>
  <si>
    <t>POTATO, DEEP FRIED</t>
  </si>
  <si>
    <t>POTATO AND DRIED FISH, TEMPERED</t>
  </si>
  <si>
    <t>POTATO AND TOMATO, TEMPERED, W/ COCONUT MILK</t>
  </si>
  <si>
    <t>POTATO, DEEP FRIED</t>
  </si>
  <si>
    <t>POTATO, TEMPERED &amp; BOILED, W/ COCONUT MILK</t>
  </si>
  <si>
    <t>POTATO, TEMPERED &amp; BOILED, W/ COCONUT MILK</t>
  </si>
  <si>
    <t>POTATO, BOILED (CURRY)</t>
  </si>
  <si>
    <t>POTATO, W/ COCONUT MILK</t>
  </si>
  <si>
    <t>POTATO, DEEP FRIED</t>
  </si>
  <si>
    <t>POTATO AND TOMATO, TEMPERED, W/ COCONUT MILK</t>
  </si>
  <si>
    <t>POTATO, TEMPERED</t>
  </si>
  <si>
    <t>POTATO, BOILED (CURRY)</t>
  </si>
  <si>
    <t>POTATO AND DRIED FISH, W/ COCONUT MILK</t>
  </si>
  <si>
    <t>POTATO, TEMPERED</t>
  </si>
  <si>
    <t>POTATO, W/ COCONUT MILK</t>
  </si>
  <si>
    <t>POTATO, TEMPERED &amp; BOILED, W/ COCONUT MILK</t>
  </si>
  <si>
    <t>POTATO, TEMPERED</t>
  </si>
  <si>
    <t>POTATO AND GREEN BEANS, W/ COCONUT MILK</t>
  </si>
  <si>
    <t>POTATO, BOILED (CURRY)</t>
  </si>
  <si>
    <t>POTATO AND DRIED FISH, W/ COCONUT MILK</t>
  </si>
  <si>
    <t>POTATO, W/ COCONUT MILK</t>
  </si>
  <si>
    <t>POTATO, TEMPERED &amp; BOILED, W/ COCONUT MILK</t>
  </si>
  <si>
    <t>POTATO AND DRIED FISH, W/ COCONUT MILK</t>
  </si>
  <si>
    <t>POTATO, TEMPERED</t>
  </si>
  <si>
    <t>POTATO AND TOMATO, TEMPERED, W/ COCONUT MILK</t>
  </si>
  <si>
    <t>POTATO AND DRIED FISH, TEMPERED</t>
  </si>
  <si>
    <t>POTATO AND GREEN BEANS, W/ COCONUT MILK</t>
  </si>
  <si>
    <t>POTATO AND DRIED FISH, TEMPERED</t>
  </si>
  <si>
    <t>POTATO, DEEP FRIED</t>
  </si>
  <si>
    <t>POTATO, FISH AND VEGETABLES, TEMPERED</t>
  </si>
  <si>
    <t>POTATO AND TOMATO, TEMPERED, W/ COCONUT MILK</t>
  </si>
  <si>
    <t>POTATO, TEMPERED &amp; BOILED, W/ COCONUT MILK</t>
  </si>
  <si>
    <t>POTATO AND TOMATO, TEMPERED, W/ COCONUT MILK</t>
  </si>
  <si>
    <t>POTATO AND DRIED FISH, TEMPERED</t>
  </si>
  <si>
    <t>POTATO, DEEP FRIED</t>
  </si>
  <si>
    <t>POTATO AND DRIED FISH, W/ COCONUT MILK</t>
  </si>
  <si>
    <t>SWEET POTATO, BOILED</t>
  </si>
  <si>
    <t>SWEET POTATO, W/ COCONUT MILK</t>
  </si>
  <si>
    <t>PALMYRA TUBER, BOILED</t>
  </si>
  <si>
    <t>LASIA STEM, RAW</t>
  </si>
  <si>
    <t>CUCUMBER, RAW, PLAIN</t>
  </si>
  <si>
    <t>LASIA STEM, RAW</t>
  </si>
  <si>
    <t>TOMATO, RIPE, RAW</t>
  </si>
  <si>
    <t>CARROT, RAW, PLAIN</t>
  </si>
  <si>
    <t>CUCUMBER, RAW, PLAIN</t>
  </si>
  <si>
    <t>TOMATO, RIPE, RAW</t>
  </si>
  <si>
    <t>BEET ROOT, SALAD</t>
  </si>
  <si>
    <t>CARROT SALAD</t>
  </si>
  <si>
    <t>CARROT, SALAD W/ SCRAPED COCONUT</t>
  </si>
  <si>
    <t>CARROT SALAD</t>
  </si>
  <si>
    <t>BEET ROOT, SALAD</t>
  </si>
  <si>
    <t>CUCUMBER SALAD</t>
  </si>
  <si>
    <t>TOMATO SALAD</t>
  </si>
  <si>
    <t xml:space="preserve">CARROT AND TOMATO SALAD </t>
  </si>
  <si>
    <t>CUCUMBER SALAD</t>
  </si>
  <si>
    <t>CUCUMBER &amp; TOMATO SALAD</t>
  </si>
  <si>
    <t>TOMATO SALAD</t>
  </si>
  <si>
    <t>BULATH VITA</t>
  </si>
  <si>
    <t>SUGAR</t>
  </si>
  <si>
    <t>drportionunit</t>
  </si>
  <si>
    <t>drinking glasses</t>
  </si>
  <si>
    <t>grams</t>
  </si>
  <si>
    <t>drinking glasses</t>
  </si>
  <si>
    <t>tea cups</t>
  </si>
  <si>
    <t>drinking glasses</t>
  </si>
  <si>
    <t>tea cups</t>
  </si>
  <si>
    <t>standard pieces</t>
  </si>
  <si>
    <t>tea cups</t>
  </si>
  <si>
    <t>drinking glasses</t>
  </si>
  <si>
    <t>grams</t>
  </si>
  <si>
    <t>Thin slice</t>
  </si>
  <si>
    <t>Medium slice</t>
  </si>
  <si>
    <t>Thick slice</t>
  </si>
  <si>
    <t>1/4 loaf</t>
  </si>
  <si>
    <t>Thick slice</t>
  </si>
  <si>
    <t>1/4 loaf</t>
  </si>
  <si>
    <t>1/4 loaf</t>
  </si>
  <si>
    <t>1/4 palm size pieces</t>
  </si>
  <si>
    <t>1/2 palm size pieces</t>
  </si>
  <si>
    <t>Full palm size pieces</t>
  </si>
  <si>
    <t>1/2 palm size pieces</t>
  </si>
  <si>
    <t>Full palm size pieces</t>
  </si>
  <si>
    <t>Sandwich slice (4in square)</t>
  </si>
  <si>
    <t>Full palm size pieces</t>
  </si>
  <si>
    <t>4in square</t>
  </si>
  <si>
    <t>standard pieces</t>
  </si>
  <si>
    <t>Thin slice</t>
  </si>
  <si>
    <t>1/4 loaf</t>
  </si>
  <si>
    <t>3 inch diameter, thin</t>
  </si>
  <si>
    <t>Thick slice</t>
  </si>
  <si>
    <t>3 inch diameter, thin</t>
  </si>
  <si>
    <t>3 inch diameter, thick</t>
  </si>
  <si>
    <t>6 inch diameter, thin</t>
  </si>
  <si>
    <t>3 inch diameter, thin</t>
  </si>
  <si>
    <t>3 inch diameter, thick</t>
  </si>
  <si>
    <t>6 inch diameter, thin</t>
  </si>
  <si>
    <t>6 inch diameter, thick</t>
  </si>
  <si>
    <t>6 inch diameter, thin</t>
  </si>
  <si>
    <t>3 inch diameter, thin</t>
  </si>
  <si>
    <t>3 inch diameter, thick</t>
  </si>
  <si>
    <t>8 inch diameter, thin</t>
  </si>
  <si>
    <t>6 inch diameter, thick</t>
  </si>
  <si>
    <t>3 inch diameter, thick</t>
  </si>
  <si>
    <t>8 inch diameter, thin</t>
  </si>
  <si>
    <t>6 inch diameter, thin</t>
  </si>
  <si>
    <t>3 inch diameter, thin</t>
  </si>
  <si>
    <t>6 inch diameter, thin</t>
  </si>
  <si>
    <t>8 inch diameter, thin</t>
  </si>
  <si>
    <t>3 inch diameter, thick</t>
  </si>
  <si>
    <t>6 inch diameter, thick</t>
  </si>
  <si>
    <t>8 inch diameter, thick</t>
  </si>
  <si>
    <t>6 inch diameter, thick</t>
  </si>
  <si>
    <t>8 inch diameter, thick</t>
  </si>
  <si>
    <t>6 inch diameter, thin</t>
  </si>
  <si>
    <t>8 inch diameter, thin</t>
  </si>
  <si>
    <t>1/4 palm size pieces</t>
  </si>
  <si>
    <t>6 inch diameter, thin</t>
  </si>
  <si>
    <t>6 inch diameter, thick</t>
  </si>
  <si>
    <t>8 inch diameter, thick</t>
  </si>
  <si>
    <t>8 inch diameter, thin</t>
  </si>
  <si>
    <t>1/2 palm size pieces</t>
  </si>
  <si>
    <t>6 inch diameter, thick</t>
  </si>
  <si>
    <t>Full palm size pieces</t>
  </si>
  <si>
    <t>Small</t>
  </si>
  <si>
    <t>8 inch diameter, thick</t>
  </si>
  <si>
    <t>Full palm size pieces</t>
  </si>
  <si>
    <t>Medium</t>
  </si>
  <si>
    <t>Large</t>
  </si>
  <si>
    <t>Medium</t>
  </si>
  <si>
    <t>1/2 palm size pieces</t>
  </si>
  <si>
    <t>Full palm size pieces</t>
  </si>
  <si>
    <t>Large</t>
  </si>
  <si>
    <t>Medium</t>
  </si>
  <si>
    <t>1in cube</t>
  </si>
  <si>
    <t>Medium</t>
  </si>
  <si>
    <t>Large</t>
  </si>
  <si>
    <t>6in square</t>
  </si>
  <si>
    <t>teaspoons</t>
  </si>
  <si>
    <t>Full palm size pieces</t>
  </si>
  <si>
    <t>standard pieces</t>
  </si>
  <si>
    <t>Thin slice</t>
  </si>
  <si>
    <t>Medium slice</t>
  </si>
  <si>
    <t>Thick slice</t>
  </si>
  <si>
    <t>3 inch diameter, thick</t>
  </si>
  <si>
    <t>6 inch diameter, thick</t>
  </si>
  <si>
    <t>Thin string hoppers</t>
  </si>
  <si>
    <t>Thick string hoppers</t>
  </si>
  <si>
    <t>Thin string hoppers</t>
  </si>
  <si>
    <t>Thick string hoppers</t>
  </si>
  <si>
    <t>1/2 palm size pieces</t>
  </si>
  <si>
    <t>Full palm size pieces</t>
  </si>
  <si>
    <t>Medium</t>
  </si>
  <si>
    <t>standard pieces</t>
  </si>
  <si>
    <t>large coconut serving spoons</t>
  </si>
  <si>
    <t>Medium slice</t>
  </si>
  <si>
    <t>3 inch diameter, thick</t>
  </si>
  <si>
    <t>Thin string hoppers</t>
  </si>
  <si>
    <t>Thick string hoppers</t>
  </si>
  <si>
    <t>Thick string hoppers</t>
  </si>
  <si>
    <t>Small</t>
  </si>
  <si>
    <t>Medium</t>
  </si>
  <si>
    <t>Large</t>
  </si>
  <si>
    <t>1/2 palm size pieces</t>
  </si>
  <si>
    <t>Medium</t>
  </si>
  <si>
    <t>4in square</t>
  </si>
  <si>
    <t>6in square</t>
  </si>
  <si>
    <t>Medium coconut spoons</t>
  </si>
  <si>
    <t>3in pieces</t>
  </si>
  <si>
    <t>Medium coconut spoons</t>
  </si>
  <si>
    <t>3in pieces</t>
  </si>
  <si>
    <t>Medium coconut spoons</t>
  </si>
  <si>
    <t>3in pieces</t>
  </si>
  <si>
    <t>large coconut serving spoons</t>
  </si>
  <si>
    <t>Medium coconut spoons</t>
  </si>
  <si>
    <t>3in pieces</t>
  </si>
  <si>
    <t>Medium coconut spoons</t>
  </si>
  <si>
    <t>3in pieces</t>
  </si>
  <si>
    <t>large coconut serving spoons</t>
  </si>
  <si>
    <t>Medium coconut spoons</t>
  </si>
  <si>
    <t>large coconut serving spoons</t>
  </si>
  <si>
    <t>1/4 palm size pieces</t>
  </si>
  <si>
    <t>Full palm size pieces</t>
  </si>
  <si>
    <t>large coconut serving spoons</t>
  </si>
  <si>
    <t>teaspoons</t>
  </si>
  <si>
    <t>tablespoons</t>
  </si>
  <si>
    <t>standard pieces</t>
  </si>
  <si>
    <t>standard pieces</t>
  </si>
  <si>
    <t>Medium coconut spoons</t>
  </si>
  <si>
    <t>tablespoons</t>
  </si>
  <si>
    <t>Medium coconut spoons</t>
  </si>
  <si>
    <t>tablespoons</t>
  </si>
  <si>
    <t>large coconut serving spoons</t>
  </si>
  <si>
    <t>tablespoons</t>
  </si>
  <si>
    <t>teaspoons</t>
  </si>
  <si>
    <t>large coconut serving spoons</t>
  </si>
  <si>
    <t>drinking glasses</t>
  </si>
  <si>
    <t>Medium coconut spoons</t>
  </si>
  <si>
    <t>large coconut serving spoons</t>
  </si>
  <si>
    <t>Medium coconut spoons</t>
  </si>
  <si>
    <t>tablespoons</t>
  </si>
  <si>
    <t>large coconut serving spoons</t>
  </si>
  <si>
    <t>Medium coconut spoons</t>
  </si>
  <si>
    <t>tablespoons</t>
  </si>
  <si>
    <t>tablespoons</t>
  </si>
  <si>
    <t>large coconut serving spoons</t>
  </si>
  <si>
    <t>teaspoons</t>
  </si>
  <si>
    <t>large coconut serving spoons</t>
  </si>
  <si>
    <t>tablespoons</t>
  </si>
  <si>
    <t>large coconut serving spoons</t>
  </si>
  <si>
    <t>cups</t>
  </si>
  <si>
    <t>teaspoons</t>
  </si>
  <si>
    <t>tablespoons</t>
  </si>
  <si>
    <t>tea cups</t>
  </si>
  <si>
    <t>tablespoons</t>
  </si>
  <si>
    <t>teaspoons</t>
  </si>
  <si>
    <t>tablespoons</t>
  </si>
  <si>
    <t>Medium coconut spoons</t>
  </si>
  <si>
    <t>tablespoons</t>
  </si>
  <si>
    <t>Medium coconut spoons</t>
  </si>
  <si>
    <t>tablespoons</t>
  </si>
  <si>
    <t>Medium coconut spoons</t>
  </si>
  <si>
    <t>tablespoons</t>
  </si>
  <si>
    <t>large coconut serving spoons</t>
  </si>
  <si>
    <t>tablespoons</t>
  </si>
  <si>
    <t>grams</t>
  </si>
  <si>
    <t>1/4 palm size pieces</t>
  </si>
  <si>
    <t>1/2 palm size pieces</t>
  </si>
  <si>
    <t>1/4 palm size pieces</t>
  </si>
  <si>
    <t>Medium</t>
  </si>
  <si>
    <t>Medium coconut spoons</t>
  </si>
  <si>
    <t>tablespoons</t>
  </si>
  <si>
    <t>Medium coconut spoons</t>
  </si>
  <si>
    <t>tablespoons</t>
  </si>
  <si>
    <t>Medium coconut spoons</t>
  </si>
  <si>
    <t>large coconut serving spoons</t>
  </si>
  <si>
    <t>Medium coconut spoons</t>
  </si>
  <si>
    <t>tablespoons</t>
  </si>
  <si>
    <t>standard pieces</t>
  </si>
  <si>
    <t>tablespoons</t>
  </si>
  <si>
    <t>standard pieces</t>
  </si>
  <si>
    <t>1/4 palm size pieces</t>
  </si>
  <si>
    <t>1/2 palm size pieces</t>
  </si>
  <si>
    <t>1/4 palm size pieces</t>
  </si>
  <si>
    <t>1/2 palm size pieces</t>
  </si>
  <si>
    <t>Full palm size pieces</t>
  </si>
  <si>
    <t>1/4 loaf</t>
  </si>
  <si>
    <t>1/4 palm size pieces</t>
  </si>
  <si>
    <t>1/2 palm size pieces</t>
  </si>
  <si>
    <t>Full palm size pieces</t>
  </si>
  <si>
    <t>1/2 palm size pieces</t>
  </si>
  <si>
    <t>1/4 palm size pieces</t>
  </si>
  <si>
    <t>Small</t>
  </si>
  <si>
    <t>1/2 palm size pieces</t>
  </si>
  <si>
    <t>1/4 palm size pieces</t>
  </si>
  <si>
    <t>Full palm size pieces</t>
  </si>
  <si>
    <t>1/2 palm size pieces</t>
  </si>
  <si>
    <t>1/4 palm size pieces</t>
  </si>
  <si>
    <t>1/2 palm size pieces</t>
  </si>
  <si>
    <t>1/4 palm size pieces</t>
  </si>
  <si>
    <t>Small</t>
  </si>
  <si>
    <t>Full palm size pieces</t>
  </si>
  <si>
    <t>1/4 palm size pieces</t>
  </si>
  <si>
    <t>1/2 palm size pieces</t>
  </si>
  <si>
    <t>1/4 palm size pieces</t>
  </si>
  <si>
    <t>Full palm size pieces</t>
  </si>
  <si>
    <t>1/2 palm size pieces</t>
  </si>
  <si>
    <t>Full palm size pieces</t>
  </si>
  <si>
    <t>1/4 palm size pieces</t>
  </si>
  <si>
    <t>1/2 palm size pieces</t>
  </si>
  <si>
    <t>Full palm size pieces</t>
  </si>
  <si>
    <t>1/2 palm size pieces</t>
  </si>
  <si>
    <t>Full palm size pieces</t>
  </si>
  <si>
    <t>3in pieces</t>
  </si>
  <si>
    <t>Medium coconut spoons</t>
  </si>
  <si>
    <t>2in square</t>
  </si>
  <si>
    <t>tablespoons</t>
  </si>
  <si>
    <t>Medium coconut spoons</t>
  </si>
  <si>
    <t>tablespoons</t>
  </si>
  <si>
    <t>large coconut serving spoons</t>
  </si>
  <si>
    <t>tablespoons</t>
  </si>
  <si>
    <t>Medium coconut spoons</t>
  </si>
  <si>
    <t>large coconut serving spoons</t>
  </si>
  <si>
    <t>Medium coconut spoons</t>
  </si>
  <si>
    <t>tablespoons</t>
  </si>
  <si>
    <t>Medium coconut spoons</t>
  </si>
  <si>
    <t>tablespoons</t>
  </si>
  <si>
    <t>standard pieces</t>
  </si>
  <si>
    <t>Medium coconut spoons</t>
  </si>
  <si>
    <t>standard pieces</t>
  </si>
  <si>
    <t>tablespoons</t>
  </si>
  <si>
    <t>large coconut serving spoons</t>
  </si>
  <si>
    <t>3in pieces</t>
  </si>
  <si>
    <t>Medium coconut spoons</t>
  </si>
  <si>
    <t>tablespoons</t>
  </si>
  <si>
    <t>large coconut serving spoons</t>
  </si>
  <si>
    <t>tablespoons</t>
  </si>
  <si>
    <t>1/4 palm size pieces</t>
  </si>
  <si>
    <t>1/2 palm size pieces</t>
  </si>
  <si>
    <t>Full palm size pieces</t>
  </si>
  <si>
    <t>Medium coconut spoons</t>
  </si>
  <si>
    <t>tablespoons</t>
  </si>
  <si>
    <t>1/4 palm size pieces</t>
  </si>
  <si>
    <t>1/2 palm size pieces</t>
  </si>
  <si>
    <t>1/4 palm size pieces</t>
  </si>
  <si>
    <t>1/2 palm size pieces</t>
  </si>
  <si>
    <t>Full palm size pieces</t>
  </si>
  <si>
    <t>1/2 palm size pieces</t>
  </si>
  <si>
    <t>Full palm size pieces</t>
  </si>
  <si>
    <t>Medium coconut spoons</t>
  </si>
  <si>
    <t>tablespoons</t>
  </si>
  <si>
    <t>Medium coconut spoons</t>
  </si>
  <si>
    <t>tablespoons</t>
  </si>
  <si>
    <t>1/4 palm size pieces</t>
  </si>
  <si>
    <t>1/2 palm size pieces</t>
  </si>
  <si>
    <t>1/4 palm size pieces</t>
  </si>
  <si>
    <t>1/2 palm size pieces</t>
  </si>
  <si>
    <t>1/4 palm size pieces</t>
  </si>
  <si>
    <t>1/2 palm size pieces</t>
  </si>
  <si>
    <t>1/4 palm size pieces</t>
  </si>
  <si>
    <t>1/2 palm size pieces</t>
  </si>
  <si>
    <t>Full palm size pieces</t>
  </si>
  <si>
    <t>1/4 palm size pieces</t>
  </si>
  <si>
    <t>1/2 palm size pieces</t>
  </si>
  <si>
    <t>Full palm size pieces</t>
  </si>
  <si>
    <t>1/4 palm size pieces</t>
  </si>
  <si>
    <t>Full palm size pieces</t>
  </si>
  <si>
    <t>1/2 palm size pieces</t>
  </si>
  <si>
    <t>Full palm size pieces</t>
  </si>
  <si>
    <t>Medium coconut spoons</t>
  </si>
  <si>
    <t>tablespoons</t>
  </si>
  <si>
    <t>Medium coconut spoons</t>
  </si>
  <si>
    <t>tablespoons</t>
  </si>
  <si>
    <t>tablespoons</t>
  </si>
  <si>
    <t>Medium coconut spoons</t>
  </si>
  <si>
    <t>tablespoons</t>
  </si>
  <si>
    <t>3in pieces</t>
  </si>
  <si>
    <t>Medium coconut spoons</t>
  </si>
  <si>
    <t>tablespoons</t>
  </si>
  <si>
    <t>Medium coconut spoons</t>
  </si>
  <si>
    <t>tablespoons</t>
  </si>
  <si>
    <t>Medium coconut spoons</t>
  </si>
  <si>
    <t>tablespoons</t>
  </si>
  <si>
    <t>Medium coconut spoons</t>
  </si>
  <si>
    <t>tablespoons</t>
  </si>
  <si>
    <t>large coconut serving spoons</t>
  </si>
  <si>
    <t>large coconut serving spoons</t>
  </si>
  <si>
    <t>1/4 palm size pieces</t>
  </si>
  <si>
    <t>1/2 palm size pieces</t>
  </si>
  <si>
    <t>Medium coconut spoons</t>
  </si>
  <si>
    <t>tablespoons</t>
  </si>
  <si>
    <t>large coconut serving spoons</t>
  </si>
  <si>
    <t>1/4 palm size pieces</t>
  </si>
  <si>
    <t>1/2 palm size pieces</t>
  </si>
  <si>
    <t>1/4 palm size pieces</t>
  </si>
  <si>
    <t>1/2 palm size pieces</t>
  </si>
  <si>
    <t>Full palm size pieces</t>
  </si>
  <si>
    <t>1/4 palm size pieces</t>
  </si>
  <si>
    <t>Full palm size pieces</t>
  </si>
  <si>
    <t>Small</t>
  </si>
  <si>
    <t>1/2 palm size pieces</t>
  </si>
  <si>
    <t>1/4 palm size pieces</t>
  </si>
  <si>
    <t>1/2 palm size pieces</t>
  </si>
  <si>
    <t>1/4 palm size pieces</t>
  </si>
  <si>
    <t>Full palm size pieces</t>
  </si>
  <si>
    <t>1/2 palm size pieces</t>
  </si>
  <si>
    <t>1/4 palm size pieces</t>
  </si>
  <si>
    <t>Full palm size pieces</t>
  </si>
  <si>
    <t>1/2 palm size pieces</t>
  </si>
  <si>
    <t>Full palm size pieces</t>
  </si>
  <si>
    <t>1/4 palm size pieces</t>
  </si>
  <si>
    <t>Full palm size pieces</t>
  </si>
  <si>
    <t>1/2 palm size pieces</t>
  </si>
  <si>
    <t>1/4 palm size pieces</t>
  </si>
  <si>
    <t>1/2 palm size pieces</t>
  </si>
  <si>
    <t>1/4 palm size pieces</t>
  </si>
  <si>
    <t>Full palm size pieces</t>
  </si>
  <si>
    <t>1/2 palm size pieces</t>
  </si>
  <si>
    <t>Full palm size pieces</t>
  </si>
  <si>
    <t>1in cube</t>
  </si>
  <si>
    <t>Medium coconut spoons</t>
  </si>
  <si>
    <t>Medium coconut spoons</t>
  </si>
  <si>
    <t>tablespoons</t>
  </si>
  <si>
    <t>teaspoons</t>
  </si>
  <si>
    <t>standard pieces</t>
  </si>
  <si>
    <t>3in pieces</t>
  </si>
  <si>
    <t>tablespoons</t>
  </si>
  <si>
    <t>Medium coconut spoons</t>
  </si>
  <si>
    <t>tablespoons</t>
  </si>
  <si>
    <t>teaspoons</t>
  </si>
  <si>
    <t>tablespoons</t>
  </si>
  <si>
    <t>large coconut serving spoons</t>
  </si>
  <si>
    <t>Thin slice</t>
  </si>
  <si>
    <t>1/4 loaf</t>
  </si>
  <si>
    <t>1/2 palm size pieces</t>
  </si>
  <si>
    <t>Full palm size pieces</t>
  </si>
  <si>
    <t>1/4 palm size pieces</t>
  </si>
  <si>
    <t>Full palm size pieces</t>
  </si>
  <si>
    <t>1/2 palm size pieces</t>
  </si>
  <si>
    <t>1/4 palm size pieces</t>
  </si>
  <si>
    <t>1/2 palm size pieces</t>
  </si>
  <si>
    <t>1/4 palm size pieces</t>
  </si>
  <si>
    <t>1/2 palm size pieces</t>
  </si>
  <si>
    <t>1/4 palm size pieces</t>
  </si>
  <si>
    <t>Full palm size pieces</t>
  </si>
  <si>
    <t>1/2 palm size pieces</t>
  </si>
  <si>
    <t>1in cube</t>
  </si>
  <si>
    <t>1/2 palm size pieces</t>
  </si>
  <si>
    <t>Full palm size pieces</t>
  </si>
  <si>
    <t>1in cube</t>
  </si>
  <si>
    <t>Medium coconut spoons</t>
  </si>
  <si>
    <t>Medium coconut spoons</t>
  </si>
  <si>
    <t>3in pieces</t>
  </si>
  <si>
    <t>tablespoons</t>
  </si>
  <si>
    <t>Medium coconut spoons</t>
  </si>
  <si>
    <t>tablespoons</t>
  </si>
  <si>
    <t>Medium coconut spoons</t>
  </si>
  <si>
    <t>teaspoons</t>
  </si>
  <si>
    <t>tablespoons</t>
  </si>
  <si>
    <t>teaspoons</t>
  </si>
  <si>
    <t>1/4 palm size pieces</t>
  </si>
  <si>
    <t>1/2 palm size pieces</t>
  </si>
  <si>
    <t>1/4 palm size pieces</t>
  </si>
  <si>
    <t>1/2 palm size pieces</t>
  </si>
  <si>
    <t>Full palm size pieces</t>
  </si>
  <si>
    <t>1/4 palm size pieces</t>
  </si>
  <si>
    <t>Full palm size pieces</t>
  </si>
  <si>
    <t>Medium coconut spoons</t>
  </si>
  <si>
    <t>tablespoons</t>
  </si>
  <si>
    <t>Medium coconut spoons</t>
  </si>
  <si>
    <t>tablespoons</t>
  </si>
  <si>
    <t>1/2 palm size pieces</t>
  </si>
  <si>
    <t>1/4 palm size pieces</t>
  </si>
  <si>
    <t>Full palm size pieces</t>
  </si>
  <si>
    <t>Medium</t>
  </si>
  <si>
    <t>1/2 palm size pieces</t>
  </si>
  <si>
    <t>Full palm size pieces</t>
  </si>
  <si>
    <t>Medium coconut spoons</t>
  </si>
  <si>
    <t>tablespoons</t>
  </si>
  <si>
    <t>1/4 palm size pieces</t>
  </si>
  <si>
    <t>Medium coconut spoons</t>
  </si>
  <si>
    <t>tablespoons</t>
  </si>
  <si>
    <t>1/4 palm size pieces</t>
  </si>
  <si>
    <t>Medium</t>
  </si>
  <si>
    <t>Small</t>
  </si>
  <si>
    <t>Medium</t>
  </si>
  <si>
    <t>Large</t>
  </si>
  <si>
    <t>Medium coconut spoons</t>
  </si>
  <si>
    <t>tablespoons</t>
  </si>
  <si>
    <t>Medium coconut spoons</t>
  </si>
  <si>
    <t>tablespoons</t>
  </si>
  <si>
    <t>Medium coconut spoons</t>
  </si>
  <si>
    <t>tablespoons</t>
  </si>
  <si>
    <t>large coconut serving spoons</t>
  </si>
  <si>
    <t>Thin slice</t>
  </si>
  <si>
    <t>Medium slice</t>
  </si>
  <si>
    <t>Thin slice</t>
  </si>
  <si>
    <t>Medium slice</t>
  </si>
  <si>
    <t>Small</t>
  </si>
  <si>
    <t>Medium</t>
  </si>
  <si>
    <t>Small</t>
  </si>
  <si>
    <t>Medium</t>
  </si>
  <si>
    <t>Small</t>
  </si>
  <si>
    <t>Large</t>
  </si>
  <si>
    <t>1/2 palm size pieces</t>
  </si>
  <si>
    <t>Medium</t>
  </si>
  <si>
    <t>Large</t>
  </si>
  <si>
    <t>1/2 palm size pieces</t>
  </si>
  <si>
    <t>Small</t>
  </si>
  <si>
    <t>Large</t>
  </si>
  <si>
    <t>Medium</t>
  </si>
  <si>
    <t>Small</t>
  </si>
  <si>
    <t>Medium</t>
  </si>
  <si>
    <t>Large</t>
  </si>
  <si>
    <t>Medium</t>
  </si>
  <si>
    <t>Large</t>
  </si>
  <si>
    <t>Small</t>
  </si>
  <si>
    <t>1/4 palm size pieces</t>
  </si>
  <si>
    <t>Small</t>
  </si>
  <si>
    <t>Medium</t>
  </si>
  <si>
    <t>Small</t>
  </si>
  <si>
    <t>Medium</t>
  </si>
  <si>
    <t>Medium coconut spoons</t>
  </si>
  <si>
    <t>tablespoons</t>
  </si>
  <si>
    <t>1/4 loaf</t>
  </si>
  <si>
    <t>1/4 palm size pieces</t>
  </si>
  <si>
    <t>Small</t>
  </si>
  <si>
    <t>Medium</t>
  </si>
  <si>
    <t>Small</t>
  </si>
  <si>
    <t>Medium</t>
  </si>
  <si>
    <t>Large</t>
  </si>
  <si>
    <t>1/4 palm size pieces</t>
  </si>
  <si>
    <t>1/2 palm size pieces</t>
  </si>
  <si>
    <t>1/4 palm size pieces</t>
  </si>
  <si>
    <t>1/2 palm size pieces</t>
  </si>
  <si>
    <t>Full palm size pieces</t>
  </si>
  <si>
    <t>Medium coconut spoons</t>
  </si>
  <si>
    <t>tablespoons</t>
  </si>
  <si>
    <t>large coconut serving spoons</t>
  </si>
  <si>
    <t>standard pieces</t>
  </si>
  <si>
    <t>1/4 palm size pieces</t>
  </si>
  <si>
    <t>Full palm size pieces</t>
  </si>
  <si>
    <t>1/2 palm size pieces</t>
  </si>
  <si>
    <t>Full palm size pieces</t>
  </si>
  <si>
    <t>Large</t>
  </si>
  <si>
    <t>Thin slice</t>
  </si>
  <si>
    <t>Medium slice</t>
  </si>
  <si>
    <t>Thick slice</t>
  </si>
  <si>
    <t>1/4 palm size pieces</t>
  </si>
  <si>
    <t>Full palm size pieces</t>
  </si>
  <si>
    <t>1/2 palm size pieces</t>
  </si>
  <si>
    <t>Full palm size pieces</t>
  </si>
  <si>
    <t>Small</t>
  </si>
  <si>
    <t>Medium</t>
  </si>
  <si>
    <t>Small</t>
  </si>
  <si>
    <t>Medium</t>
  </si>
  <si>
    <t>Large</t>
  </si>
  <si>
    <t>4in square</t>
  </si>
  <si>
    <t>3in pieces</t>
  </si>
  <si>
    <t>grams</t>
  </si>
  <si>
    <t>tablespoons</t>
  </si>
  <si>
    <t>large coconut serving spoons</t>
  </si>
  <si>
    <t>tablespoons</t>
  </si>
  <si>
    <t>large coconut serving spoons</t>
  </si>
  <si>
    <t>standard pieces</t>
  </si>
  <si>
    <t>teaspoons</t>
  </si>
  <si>
    <t>standard pieces</t>
  </si>
  <si>
    <t>tablespoons</t>
  </si>
  <si>
    <t>Medium slice</t>
  </si>
  <si>
    <t>Thick slice</t>
  </si>
  <si>
    <t>1/4 palm size pieces</t>
  </si>
  <si>
    <t>1/2 palm size pieces</t>
  </si>
  <si>
    <t>Full palm size pieces</t>
  </si>
  <si>
    <t>Small</t>
  </si>
  <si>
    <t>Medium</t>
  </si>
  <si>
    <t>grams</t>
  </si>
  <si>
    <t>standard pieces</t>
  </si>
  <si>
    <t>Full palm size pieces</t>
  </si>
  <si>
    <t>Small</t>
  </si>
  <si>
    <t>Full palm size pieces</t>
  </si>
  <si>
    <t>Medium</t>
  </si>
  <si>
    <t>Small</t>
  </si>
  <si>
    <t>1/2 palm size pieces</t>
  </si>
  <si>
    <t>Large</t>
  </si>
  <si>
    <t>Large</t>
  </si>
  <si>
    <t>Medium</t>
  </si>
  <si>
    <t>Large</t>
  </si>
  <si>
    <t>Medium</t>
  </si>
  <si>
    <t>1/2 palm size pieces</t>
  </si>
  <si>
    <t>Full palm size pieces</t>
  </si>
  <si>
    <t>Medium</t>
  </si>
  <si>
    <t>standard pieces</t>
  </si>
  <si>
    <t>grams</t>
  </si>
  <si>
    <t>Medium</t>
  </si>
  <si>
    <t>standard pieces</t>
  </si>
  <si>
    <t>Medium coconut spoons</t>
  </si>
  <si>
    <t>tablespoons</t>
  </si>
  <si>
    <t>Medium coconut spoons</t>
  </si>
  <si>
    <t>large coconut serving spoons</t>
  </si>
  <si>
    <t>tablespoons</t>
  </si>
  <si>
    <t>tablespoons</t>
  </si>
  <si>
    <t>large coconut serving spoons</t>
  </si>
  <si>
    <t>Medium coconut spoons</t>
  </si>
  <si>
    <t>tablespoons</t>
  </si>
  <si>
    <t>Medium coconut spoons</t>
  </si>
  <si>
    <t>Medium coconut spoons</t>
  </si>
  <si>
    <t>Medium coconut spoons</t>
  </si>
  <si>
    <t>tablespoons</t>
  </si>
  <si>
    <t>Medium coconut spoons</t>
  </si>
  <si>
    <t>tablespoons</t>
  </si>
  <si>
    <t>large coconut serving spoons</t>
  </si>
  <si>
    <t>tea cups</t>
  </si>
  <si>
    <t>tablespoons</t>
  </si>
  <si>
    <t>Medium coconut spoons</t>
  </si>
  <si>
    <t>Medium coconut spoons</t>
  </si>
  <si>
    <t>tablespoons</t>
  </si>
  <si>
    <t>Medium coconut spoons</t>
  </si>
  <si>
    <t>tablespoons</t>
  </si>
  <si>
    <t>Medium coconut spoons</t>
  </si>
  <si>
    <t>Medium coconut spoons</t>
  </si>
  <si>
    <t>tablespoons</t>
  </si>
  <si>
    <t>Medium coconut spoons</t>
  </si>
  <si>
    <t>tablespoons</t>
  </si>
  <si>
    <t>Medium coconut spoons</t>
  </si>
  <si>
    <t>tablespoons</t>
  </si>
  <si>
    <t>1/4 palm size pieces</t>
  </si>
  <si>
    <t>1/2 palm size pieces</t>
  </si>
  <si>
    <t>Medium coconut spoons</t>
  </si>
  <si>
    <t>Medium coconut spoons</t>
  </si>
  <si>
    <t>tablespoons</t>
  </si>
  <si>
    <t>Medium coconut spoons</t>
  </si>
  <si>
    <t>tablespoons</t>
  </si>
  <si>
    <t>teaspoons</t>
  </si>
  <si>
    <t>tablespoons</t>
  </si>
  <si>
    <t>Medium coconut spoons</t>
  </si>
  <si>
    <t>tablespoons</t>
  </si>
  <si>
    <t>large coconut serving spoons</t>
  </si>
  <si>
    <t>tablespoons</t>
  </si>
  <si>
    <t>large coconut serving spoons</t>
  </si>
  <si>
    <t>Medium coconut spoons</t>
  </si>
  <si>
    <t>tablespoons</t>
  </si>
  <si>
    <t>Medium coconut spoons</t>
  </si>
  <si>
    <t>tablespoons</t>
  </si>
  <si>
    <t>large coconut serving spoons</t>
  </si>
  <si>
    <t>Medium coconut spoons</t>
  </si>
  <si>
    <t>tablespoons</t>
  </si>
  <si>
    <t>Medium coconut spoons</t>
  </si>
  <si>
    <t>tablespoons</t>
  </si>
  <si>
    <t>large coconut serving spoons</t>
  </si>
  <si>
    <t>tablespoons</t>
  </si>
  <si>
    <t>large coconut serving spoons</t>
  </si>
  <si>
    <t>Medium coconut spoons</t>
  </si>
  <si>
    <t>Medium coconut spoons</t>
  </si>
  <si>
    <t>tablespoons</t>
  </si>
  <si>
    <t>large coconut serving spoons</t>
  </si>
  <si>
    <t>Medium coconut spoons</t>
  </si>
  <si>
    <t>1/4 palm size pieces</t>
  </si>
  <si>
    <t>Medium coconut spoons</t>
  </si>
  <si>
    <t>tablespoons</t>
  </si>
  <si>
    <t>Medium coconut spoons</t>
  </si>
  <si>
    <t>tablespoons</t>
  </si>
  <si>
    <t>large coconut serving spoons</t>
  </si>
  <si>
    <t>tablespoons</t>
  </si>
  <si>
    <t>standard pieces</t>
  </si>
  <si>
    <t>standard pieces</t>
  </si>
  <si>
    <t>Medium slice</t>
  </si>
  <si>
    <t>1/4 loaf</t>
  </si>
  <si>
    <t>1/4 palm size pieces</t>
  </si>
  <si>
    <t>1/2 palm size pieces</t>
  </si>
  <si>
    <t>1/4 palm size pieces</t>
  </si>
  <si>
    <t>Full palm size pieces</t>
  </si>
  <si>
    <t>1/2 palm size pieces</t>
  </si>
  <si>
    <t>1/4 palm size pieces</t>
  </si>
  <si>
    <t>Full palm size pieces</t>
  </si>
  <si>
    <t>1/4 palm size pieces</t>
  </si>
  <si>
    <t>Full palm size pieces</t>
  </si>
  <si>
    <t>1/2 palm size pieces</t>
  </si>
  <si>
    <t>1/4 palm size pieces</t>
  </si>
  <si>
    <t>Full palm size pieces</t>
  </si>
  <si>
    <t>1/4 palm size pieces</t>
  </si>
  <si>
    <t>1/2 palm size pieces</t>
  </si>
  <si>
    <t>2in square</t>
  </si>
  <si>
    <t>Full palm size pieces</t>
  </si>
  <si>
    <t>1/2 palm size pieces</t>
  </si>
  <si>
    <t>Full palm size pieces</t>
  </si>
  <si>
    <t>1in cube</t>
  </si>
  <si>
    <t>Medium coconut spoons</t>
  </si>
  <si>
    <t>2in square</t>
  </si>
  <si>
    <t>Medium coconut spoons</t>
  </si>
  <si>
    <t>tablespoons</t>
  </si>
  <si>
    <t>large coconut serving spoons</t>
  </si>
  <si>
    <t>1/4 palm size pieces</t>
  </si>
  <si>
    <t>1/2 palm size pieces</t>
  </si>
  <si>
    <t>Full palm size pieces</t>
  </si>
  <si>
    <t>Medium coconut spoons</t>
  </si>
  <si>
    <t>1/4 palm size pieces</t>
  </si>
  <si>
    <t>1/2 palm size pieces</t>
  </si>
  <si>
    <t>1/4 palm size pieces</t>
  </si>
  <si>
    <t>Full palm size pieces</t>
  </si>
  <si>
    <t>1/2 palm size pieces</t>
  </si>
  <si>
    <t>Full palm size pieces</t>
  </si>
  <si>
    <t>tablespoons</t>
  </si>
  <si>
    <t>1/4 palm size pieces</t>
  </si>
  <si>
    <t>1/2 palm size pieces</t>
  </si>
  <si>
    <t>Full palm size pieces</t>
  </si>
  <si>
    <t>1/4 palm size pieces</t>
  </si>
  <si>
    <t>Full palm size pieces</t>
  </si>
  <si>
    <t>Bite-size or 1in square</t>
  </si>
  <si>
    <t>Medium coconut spoons</t>
  </si>
  <si>
    <t>tablespoons</t>
  </si>
  <si>
    <t>Medium coconut spoons</t>
  </si>
  <si>
    <t>standard pieces</t>
  </si>
  <si>
    <t>1/4 loaf</t>
  </si>
  <si>
    <t>1/4 palm size pieces</t>
  </si>
  <si>
    <t>1/2 palm size pieces</t>
  </si>
  <si>
    <t>1/4 palm size pieces</t>
  </si>
  <si>
    <t>1/2 palm size pieces</t>
  </si>
  <si>
    <t>Full palm size pieces</t>
  </si>
  <si>
    <t>1/4 palm size pieces</t>
  </si>
  <si>
    <t>Full palm size pieces</t>
  </si>
  <si>
    <t>1/2 palm size pieces</t>
  </si>
  <si>
    <t>Full palm size pieces</t>
  </si>
  <si>
    <t>1/4 palm size pieces</t>
  </si>
  <si>
    <t>1/2 palm size pieces</t>
  </si>
  <si>
    <t>Full palm size pieces</t>
  </si>
  <si>
    <t>1/4 palm size pieces</t>
  </si>
  <si>
    <t>1/2 palm size pieces</t>
  </si>
  <si>
    <t>1/4 palm size pieces</t>
  </si>
  <si>
    <t>1/2 palm size pieces</t>
  </si>
  <si>
    <t>Full palm size pieces</t>
  </si>
  <si>
    <t>1in cube</t>
  </si>
  <si>
    <t>1/2 palm size pieces</t>
  </si>
  <si>
    <t>1/4 palm size pieces</t>
  </si>
  <si>
    <t>Full palm size pieces</t>
  </si>
  <si>
    <t>1in cube</t>
  </si>
  <si>
    <t>1/4 palm size pieces</t>
  </si>
  <si>
    <t>Full palm size pieces</t>
  </si>
  <si>
    <t>1in cube</t>
  </si>
  <si>
    <t>1/2 palm size pieces</t>
  </si>
  <si>
    <t>2in square</t>
  </si>
  <si>
    <t>Full palm size pieces</t>
  </si>
  <si>
    <t>2in square</t>
  </si>
  <si>
    <t>1in cube</t>
  </si>
  <si>
    <t>1/4 palm size pieces</t>
  </si>
  <si>
    <t>1/2 palm size pieces</t>
  </si>
  <si>
    <t>Full palm size pieces</t>
  </si>
  <si>
    <t>2in square</t>
  </si>
  <si>
    <t>Full palm size pieces</t>
  </si>
  <si>
    <t>tablespoons</t>
  </si>
  <si>
    <t>1in cube</t>
  </si>
  <si>
    <t>Medium coconut spoons</t>
  </si>
  <si>
    <t>3in pieces</t>
  </si>
  <si>
    <t>1in cube</t>
  </si>
  <si>
    <t>2in square</t>
  </si>
  <si>
    <t>Medium coconut spoons</t>
  </si>
  <si>
    <t>2in square</t>
  </si>
  <si>
    <t>Medium coconut spoons</t>
  </si>
  <si>
    <t>tablespoons</t>
  </si>
  <si>
    <t>Bite-size or 1in square</t>
  </si>
  <si>
    <t>teaspoons</t>
  </si>
  <si>
    <t>tablespoons</t>
  </si>
  <si>
    <t>standard pieces</t>
  </si>
  <si>
    <t>tablespoons</t>
  </si>
  <si>
    <t>Medium coconut spoons</t>
  </si>
  <si>
    <t>tablespoons</t>
  </si>
  <si>
    <t>Medium coconut spoons</t>
  </si>
  <si>
    <t>tablespoons</t>
  </si>
  <si>
    <t>teaspoons</t>
  </si>
  <si>
    <t>tablespoons</t>
  </si>
  <si>
    <t>Full palm size pieces</t>
  </si>
  <si>
    <t>tablespoons</t>
  </si>
  <si>
    <t>drinking glasses</t>
  </si>
  <si>
    <t>tablespoons</t>
  </si>
  <si>
    <t>large coconut serving spoons</t>
  </si>
  <si>
    <t>tablespoons</t>
  </si>
  <si>
    <t>drinking glasses</t>
  </si>
  <si>
    <t>single-serve cups</t>
  </si>
  <si>
    <t>standard pieces</t>
  </si>
  <si>
    <t>single-serve cups</t>
  </si>
  <si>
    <t>drinking glasses</t>
  </si>
  <si>
    <t>tea cups</t>
  </si>
  <si>
    <t>cups</t>
  </si>
  <si>
    <t>tea cups</t>
  </si>
  <si>
    <t>tablespoons</t>
  </si>
  <si>
    <t>drinking glasses</t>
  </si>
  <si>
    <t>tablespoons</t>
  </si>
  <si>
    <t>single-serve cups</t>
  </si>
  <si>
    <t>large coconut serving spoons</t>
  </si>
  <si>
    <t>Medium coconut spoons</t>
  </si>
  <si>
    <t>large coconut serving spoons</t>
  </si>
  <si>
    <t>Thin slice</t>
  </si>
  <si>
    <t>Full palm size pieces</t>
  </si>
  <si>
    <t>1/4 palm size pieces</t>
  </si>
  <si>
    <t>2in square</t>
  </si>
  <si>
    <t>4in square</t>
  </si>
  <si>
    <t>6in square</t>
  </si>
  <si>
    <t>2in square</t>
  </si>
  <si>
    <t>6in square</t>
  </si>
  <si>
    <t>large coconut serving spoons</t>
  </si>
  <si>
    <t>Medium coconut spoons</t>
  </si>
  <si>
    <t>large coconut serving spoons</t>
  </si>
  <si>
    <t>Medium coconut spoons</t>
  </si>
  <si>
    <t>large coconut serving spoons</t>
  </si>
  <si>
    <t>teaspoons</t>
  </si>
  <si>
    <t>tablespoons</t>
  </si>
  <si>
    <t>large coconut serving spoons</t>
  </si>
  <si>
    <t>drinking glasses</t>
  </si>
  <si>
    <t>large coconut serving spoons</t>
  </si>
  <si>
    <t>drinking glasses</t>
  </si>
  <si>
    <t>large coconut serving spoons</t>
  </si>
  <si>
    <t>tablespoons</t>
  </si>
  <si>
    <t>large coconut serving spoons</t>
  </si>
  <si>
    <t>Full palm size pieces</t>
  </si>
  <si>
    <t>Medium</t>
  </si>
  <si>
    <t>Large</t>
  </si>
  <si>
    <t>Medium coconut spoons</t>
  </si>
  <si>
    <t>standard pieces</t>
  </si>
  <si>
    <t>tablespoons</t>
  </si>
  <si>
    <t>standard pieces</t>
  </si>
  <si>
    <t>1/4 loaf</t>
  </si>
  <si>
    <t>Medium slice</t>
  </si>
  <si>
    <t>Thin slice</t>
  </si>
  <si>
    <t>1/4 palm size pieces</t>
  </si>
  <si>
    <t>Full palm size pieces</t>
  </si>
  <si>
    <t>1/2 palm size pieces</t>
  </si>
  <si>
    <t>Full palm size pieces</t>
  </si>
  <si>
    <t>1/2 palm size pieces</t>
  </si>
  <si>
    <t>1/4 palm size pieces</t>
  </si>
  <si>
    <t>2in square</t>
  </si>
  <si>
    <t>Small</t>
  </si>
  <si>
    <t>4in square</t>
  </si>
  <si>
    <t>2in square</t>
  </si>
  <si>
    <t>4in square</t>
  </si>
  <si>
    <t>2in square</t>
  </si>
  <si>
    <t>Large</t>
  </si>
  <si>
    <t>6in square</t>
  </si>
  <si>
    <t>4in square</t>
  </si>
  <si>
    <t>2in square</t>
  </si>
  <si>
    <t>4in square</t>
  </si>
  <si>
    <t>1in cube</t>
  </si>
  <si>
    <t>6in square</t>
  </si>
  <si>
    <t>2in square</t>
  </si>
  <si>
    <t>4in square</t>
  </si>
  <si>
    <t>2in square</t>
  </si>
  <si>
    <t>6in square</t>
  </si>
  <si>
    <t>3in pieces</t>
  </si>
  <si>
    <t>6in square</t>
  </si>
  <si>
    <t>1in cube</t>
  </si>
  <si>
    <t>4in square</t>
  </si>
  <si>
    <t>3in pieces</t>
  </si>
  <si>
    <t>1in cube</t>
  </si>
  <si>
    <t>Bite-size or 1in square</t>
  </si>
  <si>
    <t>1in cube</t>
  </si>
  <si>
    <t>Bite-size or 1in square</t>
  </si>
  <si>
    <t>Mini-pack or mini-bar (2in - 3in)</t>
  </si>
  <si>
    <t>Bite-size or 1in square</t>
  </si>
  <si>
    <t>Mini-pack or mini-bar (2in - 3in)</t>
  </si>
  <si>
    <t>Single-serve package or bar (4in - 5in)</t>
  </si>
  <si>
    <t>Large, multi-serve package or bar (6in or larger)</t>
  </si>
  <si>
    <t>Mini-pack or mini-bar (2in - 3in)</t>
  </si>
  <si>
    <t>Single-serve package or bar (4in - 5in)</t>
  </si>
  <si>
    <t>tablespoons</t>
  </si>
  <si>
    <t>Full palm size pieces</t>
  </si>
  <si>
    <t>1/4 palm size pieces</t>
  </si>
  <si>
    <t>tablespoons</t>
  </si>
  <si>
    <t>Medium coconut spoons</t>
  </si>
  <si>
    <t>tablespoons</t>
  </si>
  <si>
    <t>1/2 palm size pieces</t>
  </si>
  <si>
    <t>Full palm size pieces</t>
  </si>
  <si>
    <t>tablespoons</t>
  </si>
  <si>
    <t>large coconut serving spoons</t>
  </si>
  <si>
    <t>standard pieces</t>
  </si>
  <si>
    <t>tablespoons</t>
  </si>
  <si>
    <t>large coconut serving spoons</t>
  </si>
  <si>
    <t>grams</t>
  </si>
  <si>
    <t>large coconut serving spoons</t>
  </si>
  <si>
    <t>standard pieces</t>
  </si>
  <si>
    <t>large coconut serving spoons</t>
  </si>
  <si>
    <t>standard pieces</t>
  </si>
  <si>
    <t>1/4 palm size pieces</t>
  </si>
  <si>
    <t>standard pieces</t>
  </si>
  <si>
    <t>3in pieces</t>
  </si>
  <si>
    <t>standard pieces</t>
  </si>
  <si>
    <t>tablespoons</t>
  </si>
  <si>
    <t>standard pieces</t>
  </si>
  <si>
    <t>cups</t>
  </si>
  <si>
    <t>standard pieces</t>
  </si>
  <si>
    <t>tablespoons</t>
  </si>
  <si>
    <t>standard pieces</t>
  </si>
  <si>
    <t>grams</t>
  </si>
  <si>
    <t>1/4 palm size pieces</t>
  </si>
  <si>
    <t>1/2 palm size pieces</t>
  </si>
  <si>
    <t>2in square</t>
  </si>
  <si>
    <t>Small</t>
  </si>
  <si>
    <t>Medium coconut spoons</t>
  </si>
  <si>
    <t>3in pieces</t>
  </si>
  <si>
    <t>Medium coconut spoons</t>
  </si>
  <si>
    <t>tablespoons</t>
  </si>
  <si>
    <t>Medium coconut spoons</t>
  </si>
  <si>
    <t>3in pieces</t>
  </si>
  <si>
    <t>tablespoons</t>
  </si>
  <si>
    <t>Medium coconut spoons</t>
  </si>
  <si>
    <t>tablespoons</t>
  </si>
  <si>
    <t>Medium coconut spoons</t>
  </si>
  <si>
    <t>tablespoons</t>
  </si>
  <si>
    <t>standard pieces</t>
  </si>
  <si>
    <t>Medium coconut spoons</t>
  </si>
  <si>
    <t>large coconut serving spoons</t>
  </si>
  <si>
    <t>tablespoons</t>
  </si>
  <si>
    <t>Medium coconut spoons</t>
  </si>
  <si>
    <t>tablespoons</t>
  </si>
  <si>
    <t>standard pieces</t>
  </si>
  <si>
    <t>Medium coconut spoons</t>
  </si>
  <si>
    <t>Medium coconut spoons</t>
  </si>
  <si>
    <t>tablespoons</t>
  </si>
  <si>
    <t>Medium coconut spoons</t>
  </si>
  <si>
    <t>tablespoons</t>
  </si>
  <si>
    <t>standard pieces</t>
  </si>
  <si>
    <t>Small</t>
  </si>
  <si>
    <t>Medium coconut spoons</t>
  </si>
  <si>
    <t>3in pieces</t>
  </si>
  <si>
    <t>Medium coconut spoons</t>
  </si>
  <si>
    <t>3in pieces</t>
  </si>
  <si>
    <t>tablespoons</t>
  </si>
  <si>
    <t>standard pieces</t>
  </si>
  <si>
    <t>tablespoons</t>
  </si>
  <si>
    <t>1/4 palm size pieces</t>
  </si>
  <si>
    <t>Medium coconut spoons</t>
  </si>
  <si>
    <t>tablespoons</t>
  </si>
  <si>
    <t>Medium coconut spoons</t>
  </si>
  <si>
    <t>tablespoons</t>
  </si>
  <si>
    <t>Medium coconut spoons</t>
  </si>
  <si>
    <t>tablespoons</t>
  </si>
  <si>
    <t>large coconut serving spoons</t>
  </si>
  <si>
    <t>Full palm size pieces</t>
  </si>
  <si>
    <t>Medium coconut spoons</t>
  </si>
  <si>
    <t>tablespoons</t>
  </si>
  <si>
    <t>Medium coconut spoons</t>
  </si>
  <si>
    <t>tablespoons</t>
  </si>
  <si>
    <t>Medium coconut spoons</t>
  </si>
  <si>
    <t>tablespoons</t>
  </si>
  <si>
    <t>Medium coconut spoons</t>
  </si>
  <si>
    <t>tablespoons</t>
  </si>
  <si>
    <t>Medium coconut spoons</t>
  </si>
  <si>
    <t>tablespoons</t>
  </si>
  <si>
    <t>teaspoons</t>
  </si>
  <si>
    <t>tablespoons</t>
  </si>
  <si>
    <t>Medium coconut spoons</t>
  </si>
  <si>
    <t>tablespoons</t>
  </si>
  <si>
    <t>Medium coconut spoons</t>
  </si>
  <si>
    <t>tablespoons</t>
  </si>
  <si>
    <t>large coconut serving spoons</t>
  </si>
  <si>
    <t>standard pieces</t>
  </si>
  <si>
    <t>Medium coconut spoons</t>
  </si>
  <si>
    <t>tablespoons</t>
  </si>
  <si>
    <t>teaspoons</t>
  </si>
  <si>
    <t>Medium coconut spoons</t>
  </si>
  <si>
    <t>tablespoons</t>
  </si>
  <si>
    <t>1/4 palm size pieces</t>
  </si>
  <si>
    <t>Medium coconut spoons</t>
  </si>
  <si>
    <t>Medium coconut spoons</t>
  </si>
  <si>
    <t>tablespoons</t>
  </si>
  <si>
    <t>Medium coconut spoons</t>
  </si>
  <si>
    <t>tablespoons</t>
  </si>
  <si>
    <t>large coconut serving spoons</t>
  </si>
  <si>
    <t>Medium coconut spoons</t>
  </si>
  <si>
    <t>tablespoons</t>
  </si>
  <si>
    <t>Medium coconut spoons</t>
  </si>
  <si>
    <t>tablespoons</t>
  </si>
  <si>
    <t>Medium coconut spoons</t>
  </si>
  <si>
    <t>tablespoons</t>
  </si>
  <si>
    <t>tablespoons</t>
  </si>
  <si>
    <t>1/4 palm size pieces</t>
  </si>
  <si>
    <t>3in pieces</t>
  </si>
  <si>
    <t>Medium coconut spoons</t>
  </si>
  <si>
    <t>tablespoons</t>
  </si>
  <si>
    <t>Medium coconut spoons</t>
  </si>
  <si>
    <t>tablespoons</t>
  </si>
  <si>
    <t>Medium coconut spoons</t>
  </si>
  <si>
    <t>tablespoons</t>
  </si>
  <si>
    <t>Medium coconut spoons</t>
  </si>
  <si>
    <t>large coconut serving spoons</t>
  </si>
  <si>
    <t>tablespoons</t>
  </si>
  <si>
    <t>large coconut serving spoons</t>
  </si>
  <si>
    <t>1/4 palm size pieces</t>
  </si>
  <si>
    <t>Small</t>
  </si>
  <si>
    <t>Medium coconut spoons</t>
  </si>
  <si>
    <t>tablespoons</t>
  </si>
  <si>
    <t>Medium coconut spoons</t>
  </si>
  <si>
    <t>tablespoons</t>
  </si>
  <si>
    <t>Medium coconut spoons</t>
  </si>
  <si>
    <t>tablespoons</t>
  </si>
  <si>
    <t>large coconut serving spoons</t>
  </si>
  <si>
    <t>tablespoons</t>
  </si>
  <si>
    <t>Medium coconut spoons</t>
  </si>
  <si>
    <t>tablespoons</t>
  </si>
  <si>
    <t>Medium coconut spoons</t>
  </si>
  <si>
    <t>teaspoons</t>
  </si>
  <si>
    <t>large coconut serving spoons</t>
  </si>
  <si>
    <t>tablespoons</t>
  </si>
  <si>
    <t>1/4 palm size pieces</t>
  </si>
  <si>
    <t>1/4 palm size pieces</t>
  </si>
  <si>
    <t>Medium coconut spoons</t>
  </si>
  <si>
    <t>tablespoons</t>
  </si>
  <si>
    <t>Medium coconut spoons</t>
  </si>
  <si>
    <t>tablespoons</t>
  </si>
  <si>
    <t>Medium coconut spoons</t>
  </si>
  <si>
    <t>tablespoons</t>
  </si>
  <si>
    <t>Medium coconut spoons</t>
  </si>
  <si>
    <t>tablespoons</t>
  </si>
  <si>
    <t>Medium coconut spoons</t>
  </si>
  <si>
    <t>tablespoons</t>
  </si>
  <si>
    <t>Medium coconut spoons</t>
  </si>
  <si>
    <t>tablespoons</t>
  </si>
  <si>
    <t>Medium coconut spoons</t>
  </si>
  <si>
    <t>tablespoons</t>
  </si>
  <si>
    <t>Medium coconut spoons</t>
  </si>
  <si>
    <t>tablespoons</t>
  </si>
  <si>
    <t>Medium coconut spoons</t>
  </si>
  <si>
    <t>tablespoons</t>
  </si>
  <si>
    <t>Medium coconut spoons</t>
  </si>
  <si>
    <t>tablespoons</t>
  </si>
  <si>
    <t>Medium coconut spoons</t>
  </si>
  <si>
    <t>large coconut serving spoons</t>
  </si>
  <si>
    <t>tablespoons</t>
  </si>
  <si>
    <t>large coconut serving spoons</t>
  </si>
  <si>
    <t>Medium coconut spoons</t>
  </si>
  <si>
    <t>tablespoons</t>
  </si>
  <si>
    <t>Medium coconut spoons</t>
  </si>
  <si>
    <t>tablespoons</t>
  </si>
  <si>
    <t>Medium coconut spoons</t>
  </si>
  <si>
    <t>Medium coconut spoons</t>
  </si>
  <si>
    <t>tablespoons</t>
  </si>
  <si>
    <t>Medium coconut spoons</t>
  </si>
  <si>
    <t>Medium coconut spoons</t>
  </si>
  <si>
    <t>tablespoons</t>
  </si>
  <si>
    <t>Medium coconut spoons</t>
  </si>
  <si>
    <t>large coconut serving spoons</t>
  </si>
  <si>
    <t>tablespoons</t>
  </si>
  <si>
    <t>Medium coconut spoons</t>
  </si>
  <si>
    <t>tablespoons</t>
  </si>
  <si>
    <t>Medium coconut spoons</t>
  </si>
  <si>
    <t>tablespoons</t>
  </si>
  <si>
    <t>Medium coconut spoons</t>
  </si>
  <si>
    <t>tablespoons</t>
  </si>
  <si>
    <t>Medium coconut spoons</t>
  </si>
  <si>
    <t>tablespoons</t>
  </si>
  <si>
    <t>Medium coconut spoons</t>
  </si>
  <si>
    <t>tablespoons</t>
  </si>
  <si>
    <t>Medium coconut spoons</t>
  </si>
  <si>
    <t>large coconut serving spoons</t>
  </si>
  <si>
    <t>Medium coconut spoons</t>
  </si>
  <si>
    <t>tablespoons</t>
  </si>
  <si>
    <t>large coconut serving spoons</t>
  </si>
  <si>
    <t>Medium coconut spoons</t>
  </si>
  <si>
    <t>tablespoons</t>
  </si>
  <si>
    <t>Medium coconut spoons</t>
  </si>
  <si>
    <t>tablespoons</t>
  </si>
  <si>
    <t>Medium coconut spoons</t>
  </si>
  <si>
    <t>tablespoons</t>
  </si>
  <si>
    <t>Medium coconut spoons</t>
  </si>
  <si>
    <t>tablespoons</t>
  </si>
  <si>
    <t>Medium coconut spoons</t>
  </si>
  <si>
    <t>tablespoons</t>
  </si>
  <si>
    <t>Medium coconut spoons</t>
  </si>
  <si>
    <t>large coconut serving spoons</t>
  </si>
  <si>
    <t>tablespoons</t>
  </si>
  <si>
    <t>Medium coconut spoons</t>
  </si>
  <si>
    <t>Medium coconut spoons</t>
  </si>
  <si>
    <t>tablespoons</t>
  </si>
  <si>
    <t>1/4 palm size pieces</t>
  </si>
  <si>
    <t>Medium</t>
  </si>
  <si>
    <t>Medium coconut spoons</t>
  </si>
  <si>
    <t>tablespoons</t>
  </si>
  <si>
    <t>Medium coconut spoons</t>
  </si>
  <si>
    <t>teaspoons</t>
  </si>
  <si>
    <t>Medium coconut spoons</t>
  </si>
  <si>
    <t>tablespoons</t>
  </si>
  <si>
    <t>large coconut serving spoons</t>
  </si>
  <si>
    <t>standard pieces</t>
  </si>
  <si>
    <t>1/4 palm size pieces</t>
  </si>
  <si>
    <t>Medium coconut spoons</t>
  </si>
  <si>
    <t>tablespoons</t>
  </si>
  <si>
    <t>Medium coconut spoons</t>
  </si>
  <si>
    <t>tablespoons</t>
  </si>
  <si>
    <t>Medium coconut spoons</t>
  </si>
  <si>
    <t>tablespoons</t>
  </si>
  <si>
    <t>Medium coconut spoons</t>
  </si>
  <si>
    <t>tablespoons</t>
  </si>
  <si>
    <t>Medium coconut spoons</t>
  </si>
  <si>
    <t>tablespoons</t>
  </si>
  <si>
    <t>Medium coconut spoons</t>
  </si>
  <si>
    <t>tablespoons</t>
  </si>
  <si>
    <t>Medium coconut spoons</t>
  </si>
  <si>
    <t>tablespoons</t>
  </si>
  <si>
    <t>Medium coconut spoons</t>
  </si>
  <si>
    <t>tablespoons</t>
  </si>
  <si>
    <t>1/4 palm size pieces</t>
  </si>
  <si>
    <t>1/2 palm size pieces</t>
  </si>
  <si>
    <t>Full palm size pieces</t>
  </si>
  <si>
    <t>1/2 palm size pieces</t>
  </si>
  <si>
    <t>1/4 palm size pieces</t>
  </si>
  <si>
    <t>1/2 palm size pieces</t>
  </si>
  <si>
    <t>1/4 palm size pieces</t>
  </si>
  <si>
    <t>Full palm size pieces</t>
  </si>
  <si>
    <t>1/2 palm size pieces</t>
  </si>
  <si>
    <t>2in square</t>
  </si>
  <si>
    <t>Medium coconut spoons</t>
  </si>
  <si>
    <t>tablespoons</t>
  </si>
  <si>
    <t>3in pieces</t>
  </si>
  <si>
    <t>tablespoons</t>
  </si>
  <si>
    <t>large coconut serving spoons</t>
  </si>
  <si>
    <t>Medium coconut spoons</t>
  </si>
  <si>
    <t>standard pieces</t>
  </si>
  <si>
    <t>Medium coconut spoons</t>
  </si>
  <si>
    <t>tablespoons</t>
  </si>
  <si>
    <t>large coconut serving spoons</t>
  </si>
  <si>
    <t>Medium coconut spoons</t>
  </si>
  <si>
    <t>tablespoons</t>
  </si>
  <si>
    <t>tablespoons</t>
  </si>
  <si>
    <t>Full palm size pieces</t>
  </si>
  <si>
    <t>tablespoons</t>
  </si>
  <si>
    <t>Medium coconut spoons</t>
  </si>
  <si>
    <t>tablespoons</t>
  </si>
  <si>
    <t>Medium coconut spoons</t>
  </si>
  <si>
    <t>tablespoons</t>
  </si>
  <si>
    <t>Medium coconut spoons</t>
  </si>
  <si>
    <t>tablespoons</t>
  </si>
  <si>
    <t>Medium coconut spoons</t>
  </si>
  <si>
    <t>tablespoons</t>
  </si>
  <si>
    <t>large coconut serving spoons</t>
  </si>
  <si>
    <t>1/4 loaf</t>
  </si>
  <si>
    <t>Medium slice</t>
  </si>
  <si>
    <t>Thin slice</t>
  </si>
  <si>
    <t>Medium slice</t>
  </si>
  <si>
    <t>1/4 palm size pieces</t>
  </si>
  <si>
    <t>1/4 loaf</t>
  </si>
  <si>
    <t>Medium slice</t>
  </si>
  <si>
    <t>1/2 palm size pieces</t>
  </si>
  <si>
    <t>Full palm size pieces</t>
  </si>
  <si>
    <t>1/4 palm size pieces</t>
  </si>
  <si>
    <t>1/2 palm size pieces</t>
  </si>
  <si>
    <t>1/4 palm size pieces</t>
  </si>
  <si>
    <t>Full palm size pieces</t>
  </si>
  <si>
    <t>1/4 palm size pieces</t>
  </si>
  <si>
    <t>1/2 palm size pieces</t>
  </si>
  <si>
    <t>Full palm size pieces</t>
  </si>
  <si>
    <t>1/2 palm size pieces</t>
  </si>
  <si>
    <t>1/4 palm size pieces</t>
  </si>
  <si>
    <t>Full palm size pieces</t>
  </si>
  <si>
    <t>1/2 palm size pieces</t>
  </si>
  <si>
    <t>1in cube</t>
  </si>
  <si>
    <t>1/4 palm size pieces</t>
  </si>
  <si>
    <t>1/2 palm size pieces</t>
  </si>
  <si>
    <t>2in square</t>
  </si>
  <si>
    <t>1/4 palm size pieces</t>
  </si>
  <si>
    <t>Full palm size pieces</t>
  </si>
  <si>
    <t>1/2 palm size pieces</t>
  </si>
  <si>
    <t>Full palm size pieces</t>
  </si>
  <si>
    <t>1/4 palm size pieces</t>
  </si>
  <si>
    <t>Full palm size pieces</t>
  </si>
  <si>
    <t>1/2 palm size pieces</t>
  </si>
  <si>
    <t>1/4 palm size pieces</t>
  </si>
  <si>
    <t>Bite-size or 1in square</t>
  </si>
  <si>
    <t>1/2 palm size pieces</t>
  </si>
  <si>
    <t>Full palm size pieces</t>
  </si>
  <si>
    <t>1in cube</t>
  </si>
  <si>
    <t>1/2 palm size pieces</t>
  </si>
  <si>
    <t>Bite-size or 1in square</t>
  </si>
  <si>
    <t>2in square</t>
  </si>
  <si>
    <t>Medium coconut spoons</t>
  </si>
  <si>
    <t>1in cube</t>
  </si>
  <si>
    <t>Bite-size or 1in square</t>
  </si>
  <si>
    <t>Medium coconut spoons</t>
  </si>
  <si>
    <t>1in cube</t>
  </si>
  <si>
    <t>Medium coconut spoons</t>
  </si>
  <si>
    <t>tablespoons</t>
  </si>
  <si>
    <t>2in square</t>
  </si>
  <si>
    <t>tablespoons</t>
  </si>
  <si>
    <t>Medium coconut spoons</t>
  </si>
  <si>
    <t>tablespoons</t>
  </si>
  <si>
    <t>Medium coconut spoons</t>
  </si>
  <si>
    <t>tablespoons</t>
  </si>
  <si>
    <t>Medium coconut spoons</t>
  </si>
  <si>
    <t>tablespoons</t>
  </si>
  <si>
    <t>large coconut serving spoons</t>
  </si>
  <si>
    <t>tablespoons</t>
  </si>
  <si>
    <t>grams</t>
  </si>
  <si>
    <t>2in square</t>
  </si>
  <si>
    <t>4in square</t>
  </si>
  <si>
    <t>6in square</t>
  </si>
  <si>
    <t>2in square</t>
  </si>
  <si>
    <t>6in square</t>
  </si>
  <si>
    <t>1/4 palm size pieces</t>
  </si>
  <si>
    <t>Full palm size pieces</t>
  </si>
  <si>
    <t>1/2 palm size pieces</t>
  </si>
  <si>
    <t>Medium</t>
  </si>
  <si>
    <t>Medium coconut spoons</t>
  </si>
  <si>
    <t>teaspoons</t>
  </si>
  <si>
    <t>1/4 palm size pieces</t>
  </si>
  <si>
    <t>Full palm size pieces</t>
  </si>
  <si>
    <t>1/2 palm size pieces</t>
  </si>
  <si>
    <t>1/4 palm size pieces</t>
  </si>
  <si>
    <t>tablespoons</t>
  </si>
  <si>
    <t>Medium coconut spoons</t>
  </si>
  <si>
    <t>tablespoons</t>
  </si>
  <si>
    <t>Medium coconut spoons</t>
  </si>
  <si>
    <t>tablespoons</t>
  </si>
  <si>
    <t>Medium coconut spoons</t>
  </si>
  <si>
    <t>tablespoons</t>
  </si>
  <si>
    <t>Medium coconut spoons</t>
  </si>
  <si>
    <t>tablespoons</t>
  </si>
  <si>
    <t>Full palm size pieces</t>
  </si>
  <si>
    <t>standard pieces</t>
  </si>
  <si>
    <t>teaspoons</t>
  </si>
  <si>
    <t>https://fdc.nal.usda.gov/fdc-app.html#/food-details/168156/nutrients</t>
  </si>
  <si>
    <t>FRUIT AND MILK DRINK</t>
  </si>
  <si>
    <t>APPLE JUICE, UNSWEETENED (100% JUICE)</t>
  </si>
  <si>
    <t>RASAM W/ VEGETABLES &amp; DAL</t>
  </si>
  <si>
    <t>TILAPIA, FRESH, TEMPERED</t>
  </si>
  <si>
    <t>KIDNEY BEANS, BOILED &amp; TEMPERED</t>
  </si>
  <si>
    <t>GREEN GRAM, SPLIT, BOILED &amp; TEMPERED</t>
  </si>
  <si>
    <t>MILK, LOW FAT, FROM POWDER</t>
  </si>
  <si>
    <t>MISTAKEN PASS 1 ADD</t>
  </si>
  <si>
    <t>https://fdc.nal.usda.gov/fdc-app.html#/food-details/324653/nutrients</t>
  </si>
  <si>
    <t>https://fdc.nal.usda.gov/fdc-app.html#/food-details/1099113/nutrients</t>
  </si>
  <si>
    <t>https://fdc.nal.usda.gov/fdc-app.html#/food-details/1099076/nutrients</t>
  </si>
  <si>
    <t>https://fdc.nal.usda.gov/fdc-app.html#/food-details/1100522/nutrients</t>
  </si>
  <si>
    <t>https://fdc.nal.usda.gov/fdc-app.html#/food-details/1102736/nutrients</t>
  </si>
  <si>
    <t>https://fdc.nal.usda.gov/fdc-app.html#/food-details/1103367/nutrients</t>
  </si>
  <si>
    <t>https://fdc.nal.usda.gov/fdc-app.html#/food-details/1103290/nutrients</t>
  </si>
  <si>
    <t>1 cup = 65 g; 1 tablespoon = 12 g</t>
  </si>
  <si>
    <t>Full/ Medium = 20 g</t>
  </si>
  <si>
    <t>Note</t>
  </si>
  <si>
    <t xml:space="preserve">FAOINFOODS_DensityDatabase_v2.0/Spirits, 45% alcohol (whiskey) </t>
  </si>
  <si>
    <t>FAOINFOODS_DensityDatabase_v2.0/Beer, light</t>
  </si>
  <si>
    <t>The arak's abv is ~40% to 63% (https://en.wikipedia.org/wiki/Arak_(drink)); I entered the density of liquor with similar abv "Spirits, 45% alcohol (whiskey) 0.939"</t>
  </si>
  <si>
    <t xml:space="preserve">~4% abv (https://asianinspirations.com.au/food-knowledge/toddy-coconut-alcohol/). I cannot find the density recorded for this type of liquor, so I quote the beer here. </t>
  </si>
  <si>
    <t>1 cup = 245 g</t>
  </si>
  <si>
    <t>https://fdc.nal.usda.gov/fdc-app.html#/food-details/174831/measures</t>
  </si>
  <si>
    <t>FAOINFOODS_DensityDatabase_v2.0/Milk shake, fruit and other</t>
  </si>
  <si>
    <t>x</t>
  </si>
  <si>
    <t>1 oz= 30 g</t>
  </si>
  <si>
    <t>FAOINFOODS_DensityDatabase_v2.0/Fruit juice</t>
  </si>
  <si>
    <t>1 oz = 30.8 g</t>
  </si>
  <si>
    <t>https://fdc.nal.usda.gov/fdc-app.html#/food-details/1877214/nutrients</t>
  </si>
  <si>
    <t>https://fdc.nal.usda.gov/fdc-app.html#/food-details/1882331/nutrients</t>
  </si>
  <si>
    <t>FAOINFOODS_DensityDatabase_v2.0/orange juice</t>
  </si>
  <si>
    <t>FAOINFOODS_DensityDatabase_v2.0/Sports drink, COCA-COLA, POWERADE, lemonlime
flavored, ready-to-drink</t>
  </si>
  <si>
    <t>FAOINFOODS_DensityDatabase_v2.0/Coffee, brewed</t>
  </si>
  <si>
    <t>FAOINFOODS_DensityDatabase_v2.0/Tea, liquid</t>
  </si>
  <si>
    <t>https://fdc.nal.usda.gov/fdc-app.html#/food-details/1100746/nutrients</t>
  </si>
  <si>
    <t>https://fdc.nal.usda.gov/fdc-app.html#/food-details/1100744/nutrients</t>
  </si>
  <si>
    <t>https://fdc.nal.usda.gov/fdc-app.html#/food-details/1101518/nutrients</t>
  </si>
  <si>
    <t>https://fdc.nal.usda.gov/fdc-app.html#/food-details/1102518/nutrients</t>
  </si>
  <si>
    <t>* FAO shows the quantity not specified as 267 g.</t>
  </si>
  <si>
    <t>https://fdc.nal.usda.gov/fdc-app.html#/food-details/1102421/nutrients</t>
  </si>
  <si>
    <t>https://fdc.nal.usda.gov/fdc-app.html#/food-details/171414/nutrients</t>
  </si>
  <si>
    <t>1 tbsp = 16g</t>
  </si>
  <si>
    <t>https://fdc.nal.usda.gov/fdc-app.html#/food-details/170497/nutrients</t>
  </si>
  <si>
    <t>1 pepper = 45g</t>
  </si>
  <si>
    <t>We would assume the same portion size for thin and thick.</t>
  </si>
  <si>
    <t>FDC gives 1 roti = 40 g.</t>
  </si>
  <si>
    <t>3 thin</t>
  </si>
  <si>
    <t>same as wheat</t>
  </si>
  <si>
    <t>small = 16g, 1 table spoon = 11g</t>
  </si>
  <si>
    <t>x</t>
    <phoneticPr fontId="4" type="noConversion"/>
  </si>
  <si>
    <t>Medium coconut spoons</t>
    <phoneticPr fontId="4" type="noConversion"/>
  </si>
  <si>
    <t>WHITE RICE, MEDIUM GRAIN, PARBOILED, STEAMED OR BOILED</t>
    <phoneticPr fontId="4" type="noConversion"/>
  </si>
  <si>
    <t>https://fdc.nal.usda.gov/fdc-app.html#/food-details/168930/nutrients</t>
  </si>
  <si>
    <t>1 cup = 186g</t>
    <phoneticPr fontId="4" type="noConversion"/>
  </si>
  <si>
    <t>https://fdc.nal.usda.gov/fdc-app.html#/food-details/168875/nutrients</t>
  </si>
  <si>
    <t>COCONUT SAMBOL, WITHOUT COCONUT OIL</t>
    <phoneticPr fontId="4" type="noConversion"/>
  </si>
  <si>
    <t>BISCUIT, CREAM CRACKERS</t>
    <phoneticPr fontId="4" type="noConversion"/>
  </si>
  <si>
    <t>COCONUT SAMBOL, W/ COCONUT OIL</t>
    <phoneticPr fontId="4" type="noConversion"/>
  </si>
  <si>
    <t>SEENI/KATHALI BANANA, RIPE</t>
    <phoneticPr fontId="4" type="noConversion"/>
  </si>
  <si>
    <t>POTATO, W/ COCONUT MILK</t>
    <phoneticPr fontId="4" type="noConversion"/>
  </si>
  <si>
    <t>RED LENTILS, SPLIT, BOILED &amp; TEMPERED, W/ COCONUT MILK</t>
    <phoneticPr fontId="4" type="noConversion"/>
  </si>
  <si>
    <t>CHILI SAMBOL, W/ ONION</t>
    <phoneticPr fontId="4" type="noConversion"/>
  </si>
  <si>
    <t>Not be able to find, so I quote the most common biscuit here, cream crackers, one biscuit = 20 g</t>
    <phoneticPr fontId="4" type="noConversion"/>
  </si>
  <si>
    <t>Not be able to find, so I quote the most common biscuit here, one biscuit = 5 g</t>
    <phoneticPr fontId="4" type="noConversion"/>
  </si>
  <si>
    <t>POTATO, TEMPERED</t>
    <phoneticPr fontId="4" type="noConversion"/>
  </si>
  <si>
    <t>BRINJAL, W/ COCONUT MILK</t>
    <phoneticPr fontId="4" type="noConversion"/>
  </si>
  <si>
    <t>MANGO,RIPE</t>
    <phoneticPr fontId="4" type="noConversion"/>
  </si>
  <si>
    <t>CASSAVA, W/ COCONUT MILK</t>
    <phoneticPr fontId="4" type="noConversion"/>
  </si>
  <si>
    <t>https://fdc.nal.usda.gov/fdc-app.html#/food-details/746782/nutrients</t>
  </si>
  <si>
    <t>1 cup = 249g</t>
    <phoneticPr fontId="4" type="noConversion"/>
  </si>
  <si>
    <t>LONG BEANS, W/ COCONUT MILK</t>
    <phoneticPr fontId="4" type="noConversion"/>
  </si>
  <si>
    <t>https://fdc.nal.usda.gov/fdc-app.html#/food-details/172185/nutrients</t>
  </si>
  <si>
    <t>1 large = 61 g</t>
    <phoneticPr fontId="4" type="noConversion"/>
  </si>
  <si>
    <t>GOTUKOLA, FRESH OR WATER-COOKED MALLUM W/SCRAPED COCONUT</t>
    <phoneticPr fontId="4" type="noConversion"/>
  </si>
  <si>
    <t>DRUMSTICK LEAVES, TEMPERED MALLUM W/ SCRAPED COCONUT</t>
    <phoneticPr fontId="4" type="noConversion"/>
  </si>
  <si>
    <t>MUKUNUWENNA, FRESH OR WATER-COOKED MALLUM W/ SCRAPED COCONUT</t>
    <phoneticPr fontId="4" type="noConversion"/>
  </si>
  <si>
    <t>CASSAVA LEAVES, TEMPERED MALLUM W/ SCRAPED COCONUT</t>
    <phoneticPr fontId="4" type="noConversion"/>
  </si>
  <si>
    <t>CHICKEN MEAT W/ BONE, TEMPERED</t>
    <phoneticPr fontId="4" type="noConversion"/>
  </si>
  <si>
    <t>CURD, COW'S MILK, PLAIN, UNSWEETENED</t>
    <phoneticPr fontId="4" type="noConversion"/>
  </si>
  <si>
    <t>CASSAVA ROOT, FRESH,BOILED</t>
    <phoneticPr fontId="4" type="noConversion"/>
  </si>
  <si>
    <t>LADIES FINGERS, TEMPERED</t>
    <phoneticPr fontId="4" type="noConversion"/>
  </si>
  <si>
    <t>1 tablespoons = 25g</t>
    <phoneticPr fontId="4" type="noConversion"/>
  </si>
  <si>
    <t>https://fdc.nal.usda.gov/fdc-app.html#/food-details/173944/measures</t>
  </si>
  <si>
    <t>https://fdc.nal.usda.gov/fdc-app.html#/food-details/171866/nutrients</t>
  </si>
  <si>
    <t>https://glomark.lk/calton-biscuit-viskiringha-230g/p/12365</t>
  </si>
  <si>
    <t>Assume there are ten pieces in one bag.</t>
    <phoneticPr fontId="4" type="noConversion"/>
  </si>
  <si>
    <t>https://fdc.nal.usda.gov/fdc-app.html#/food-details/168484/nutrients</t>
  </si>
  <si>
    <t>https://fdc.nal.usda.gov/fdc-app.html#/food-details/171278/nutrients</t>
  </si>
  <si>
    <t>1 cup = 244g</t>
    <phoneticPr fontId="4" type="noConversion"/>
  </si>
  <si>
    <t>https://fdc.nal.usda.gov/fdc-app.html#/food-details/171280/nutrients</t>
  </si>
  <si>
    <t>https://fdc.nal.usda.gov/fdc-app.html#/food-details/746776/nutrients</t>
  </si>
  <si>
    <t>1 cup = 246g</t>
    <phoneticPr fontId="4" type="noConversion"/>
  </si>
  <si>
    <t>https://fdc.nal.usda.gov/fdc-app.html#/food-details/1097520/nutrients</t>
  </si>
  <si>
    <t>Soya meat, 1 tablespoons = 16g</t>
    <phoneticPr fontId="4" type="noConversion"/>
  </si>
  <si>
    <t>DUCK EGG, WHOLE, BOILED</t>
    <phoneticPr fontId="4" type="noConversion"/>
  </si>
  <si>
    <t>https://fdc.nal.usda.gov/fdc-app.html#/food-details/172189/nutrients</t>
  </si>
  <si>
    <t>EGG, WHITE ONLY, BOILED</t>
    <phoneticPr fontId="4" type="noConversion"/>
  </si>
  <si>
    <t>https://fdc.nal.usda.gov/fdc-app.html#/food-details/1100199/nutrients</t>
  </si>
  <si>
    <t>EGG, YOLK ONLY, BOILED</t>
    <phoneticPr fontId="4" type="noConversion"/>
  </si>
  <si>
    <t>https://fdc.nal.usda.gov/fdc-app.html#/food-details/1100205/nutrients</t>
  </si>
  <si>
    <t>MAIZE ON THE COB, BOILED</t>
    <phoneticPr fontId="4" type="noConversion"/>
  </si>
  <si>
    <t>LADIES FINGERS, W/ COCONUT MILK</t>
    <phoneticPr fontId="4" type="noConversion"/>
  </si>
  <si>
    <t>DRUMSTICKS, BOILED, W/ COCONUT MILK</t>
    <phoneticPr fontId="4" type="noConversion"/>
  </si>
  <si>
    <t>CHICK PEAS, BOILED &amp; TEMPERED</t>
    <phoneticPr fontId="4" type="noConversion"/>
  </si>
  <si>
    <t>COWPEAS, WHOLE, BOILED, W/ COCONUT MILK</t>
    <phoneticPr fontId="4" type="noConversion"/>
  </si>
  <si>
    <t>ASH PLANTAIN,BOILED, W/ COCONUT MILK</t>
    <phoneticPr fontId="4" type="noConversion"/>
  </si>
  <si>
    <t>DRUMSTICK LEAVES, FRESH OR WATER-COOKED MALLUM W/ SCRAPED COCONUT</t>
    <phoneticPr fontId="4" type="noConversion"/>
  </si>
  <si>
    <t>RIDGE GOURD, W/ COCONUT MILK</t>
    <phoneticPr fontId="4" type="noConversion"/>
  </si>
  <si>
    <t>RUSKS, PLAIN</t>
    <phoneticPr fontId="4" type="noConversion"/>
  </si>
  <si>
    <t>CARROT, W/ COCONUT MILK</t>
    <phoneticPr fontId="4" type="noConversion"/>
  </si>
  <si>
    <t>VADE (FRITTERS), BLACK GRAM</t>
    <phoneticPr fontId="4" type="noConversion"/>
  </si>
  <si>
    <t>CABBAGE LEAVES, TEMPERED MALLUM W/ SCRAPED COCONUT</t>
    <phoneticPr fontId="4" type="noConversion"/>
  </si>
  <si>
    <t>GREEN BEANS, BOILED, W/ COCONUT MILK</t>
    <phoneticPr fontId="4" type="noConversion"/>
  </si>
  <si>
    <t>SAMBAAR, W/ COCONUT MILK</t>
    <phoneticPr fontId="4" type="noConversion"/>
  </si>
  <si>
    <t>AMARANTH LEAVES, TEMPERED MALLUM W/ SCRAPED COCONUT</t>
    <phoneticPr fontId="4" type="noConversion"/>
  </si>
  <si>
    <t>CABBAGE, W/ COCONUT MILK</t>
    <phoneticPr fontId="4" type="noConversion"/>
  </si>
  <si>
    <t>BRINJAL AND DRIED FISH, TEMPERED</t>
    <phoneticPr fontId="4" type="noConversion"/>
  </si>
  <si>
    <t>LADIES FINGERS, TEMPERED, W/ COCONUT MILK</t>
    <phoneticPr fontId="4" type="noConversion"/>
  </si>
  <si>
    <t>COCKTAIL MIX</t>
    <phoneticPr fontId="4" type="noConversion"/>
  </si>
  <si>
    <t>DHODOL</t>
    <phoneticPr fontId="4" type="noConversion"/>
  </si>
  <si>
    <t>PLANTAIN FLOWER, TEMPERED, W/ SCRAPED COCONUT</t>
    <phoneticPr fontId="4" type="noConversion"/>
  </si>
  <si>
    <t>BOTTLE GOURD, W/ COCONUT MILK</t>
    <phoneticPr fontId="4" type="noConversion"/>
  </si>
  <si>
    <t>CHINESE ROLL, FISH</t>
    <phoneticPr fontId="4" type="noConversion"/>
  </si>
  <si>
    <t>x one slides = 8g</t>
    <phoneticPr fontId="4" type="noConversion"/>
  </si>
  <si>
    <t>Medium slides = 55g</t>
    <phoneticPr fontId="4" type="noConversion"/>
  </si>
  <si>
    <t>BITTER GOURD, TEMPERED</t>
    <phoneticPr fontId="4" type="noConversion"/>
  </si>
  <si>
    <t>one tablespoons = 18g</t>
    <phoneticPr fontId="4" type="noConversion"/>
  </si>
  <si>
    <t>SESAME BALL</t>
    <phoneticPr fontId="4" type="noConversion"/>
  </si>
  <si>
    <t>PLANTAIN FLOWER, TEMPERED</t>
    <phoneticPr fontId="4" type="noConversion"/>
  </si>
  <si>
    <t>MUSHROOM, TEMPERED</t>
    <phoneticPr fontId="4" type="noConversion"/>
  </si>
  <si>
    <t>MUKUNUWENNA, TEMPERED</t>
    <phoneticPr fontId="4" type="noConversion"/>
  </si>
  <si>
    <t>PUMPKIN, TEMPERED</t>
    <phoneticPr fontId="4" type="noConversion"/>
  </si>
  <si>
    <t>WINGED BEANS, TEMPERED</t>
    <phoneticPr fontId="4" type="noConversion"/>
  </si>
  <si>
    <t>RICE PORRIDGE W/ COCONUT MILK</t>
    <phoneticPr fontId="4" type="noConversion"/>
  </si>
  <si>
    <t>CASSAVA LEAVES, FRESH OR WATER-COOKED MALLUM W/ SCRAPED COCONUT</t>
    <phoneticPr fontId="4" type="noConversion"/>
  </si>
  <si>
    <t>BEET ROOT, BOILED, W/ COCONUT MILK</t>
    <phoneticPr fontId="4" type="noConversion"/>
  </si>
  <si>
    <t>PEANUT,DRY,ROASTED</t>
    <phoneticPr fontId="4" type="noConversion"/>
  </si>
  <si>
    <t>DATES,DRIED</t>
    <phoneticPr fontId="4" type="noConversion"/>
  </si>
  <si>
    <t>TOMATO, TEMPERED, W/ COCONUT MILK</t>
    <phoneticPr fontId="4" type="noConversion"/>
  </si>
  <si>
    <t>SNAKE GOURD, W/ COCONUT MILK</t>
    <phoneticPr fontId="4" type="noConversion"/>
  </si>
  <si>
    <t>DRUMSTICKS, BOILED</t>
    <phoneticPr fontId="4" type="noConversion"/>
  </si>
  <si>
    <t>one tablespoons = 20g</t>
    <phoneticPr fontId="4" type="noConversion"/>
  </si>
  <si>
    <t>SPINACH, BOILED, W/ COCONUT MILK</t>
    <phoneticPr fontId="4" type="noConversion"/>
  </si>
  <si>
    <t>KANKUN, TEMPERED</t>
    <phoneticPr fontId="4" type="noConversion"/>
  </si>
  <si>
    <t>CARROT, SALAD W/ SCRAPED COCONUT</t>
    <phoneticPr fontId="4" type="noConversion"/>
  </si>
  <si>
    <t>FRIED RICE W/ CHICKEN &amp; VEGETABLES</t>
    <phoneticPr fontId="4" type="noConversion"/>
  </si>
  <si>
    <t>CASSAVA ROOT, FRESH, DEEP-FRIED</t>
    <phoneticPr fontId="4" type="noConversion"/>
  </si>
  <si>
    <t>BANANA, KOLIKUTTU, RIPE</t>
    <phoneticPr fontId="4" type="noConversion"/>
  </si>
  <si>
    <t>https://fdc.nal.usda.gov/fdc-app.html#/food-details/746758/nutrients</t>
  </si>
  <si>
    <t>PEANUT,BOILED</t>
    <phoneticPr fontId="4" type="noConversion"/>
  </si>
  <si>
    <t>ASH PLANTAIN, DEEP-FRIED</t>
    <phoneticPr fontId="4" type="noConversion"/>
  </si>
  <si>
    <t>https://fdc.nal.usda.gov/fdc-app.html#/food-details/168199/nutrients</t>
  </si>
  <si>
    <t>small slides = 8g</t>
    <phoneticPr fontId="4" type="noConversion"/>
  </si>
  <si>
    <t>FAOINFOODS_DensityDatabase_v2.0/Wine, white, sweet</t>
  </si>
  <si>
    <t>FAOINFOODS_DensityDatabase_v2.0/Fruit juice drinks, ready to drink</t>
  </si>
  <si>
    <t>FAOINFOODS_DensityDatabase_v2.0/Fruit juice drinks</t>
  </si>
  <si>
    <t>https://fdc.nal.usda.gov/fdc-app.html#/food-details/1102767/portions</t>
  </si>
  <si>
    <t>https://fdc.nal.usda.gov/fdc-app.html#/food-details/1101639/portions</t>
  </si>
  <si>
    <t>FAOINFOODS_DensityDatabase_v2.0/Soft drinks, cola type</t>
  </si>
  <si>
    <t>https://fdc.nal.usda.gov/fdc-app.html#/food-details/173199/nutrients</t>
  </si>
  <si>
    <t>https://fdc.nal.usda.gov/fdc-app.html#/food-details/1104321/nutrients</t>
  </si>
  <si>
    <t>Assumed equal to half a medium slice</t>
  </si>
  <si>
    <t>Assumed equal to one quarter of a medium slice</t>
  </si>
  <si>
    <t>Assumed equal to a medium slice</t>
  </si>
  <si>
    <t>Assumed equal to a thin slice</t>
  </si>
  <si>
    <t>Assumed equivalent to the more common white bread</t>
  </si>
  <si>
    <t>Wayamba_PortionSizeMeasurements_220802_COMPLETE.xlsx/Bread/"1/4 loaf"</t>
  </si>
  <si>
    <t>Wayamba_PortionSizeMeasurements_220802_COMPLETE.xlsx/Bread/Thin slice</t>
  </si>
  <si>
    <t>Wayamba_PortionSizeMeasurements_220802_COMPLETE.xlsx/Bread/Thick slice</t>
  </si>
  <si>
    <t>Wayamba_PortionSizeMeasurements_220802_COMPLETE.xlsx/Bread/Medium slice</t>
  </si>
  <si>
    <t>Assumed equivalent to the more common white bread; assumed equal to medium slice</t>
  </si>
  <si>
    <t>Assumed equal to standard piece</t>
  </si>
  <si>
    <t>Assumed equal to white bread</t>
  </si>
  <si>
    <t>Check with Wayamba. Or could use USDA thin slice white bread 22g (https://fdc.nal.usda.gov/fdc-app.html#/food-details/1100621/portions)</t>
  </si>
  <si>
    <t>Assumed equal to 3" diameter piece</t>
  </si>
  <si>
    <t>Assumed based on area ratio of 8" diameter : 6" diameter circle</t>
  </si>
  <si>
    <t>Assumed equal to half of 3" diameter piece</t>
  </si>
  <si>
    <t>Assumed equal to 8" diameter piece; Assumed based on area ratio of 8" diameter : 6" diameter circle</t>
  </si>
  <si>
    <t>Assumed equal to one quarter of 3" diameter piece</t>
  </si>
  <si>
    <t>Assumed based on area ratio of 4" square to 3" diameter circle (16:7.07)</t>
  </si>
  <si>
    <t>Assumed equal to 6" diameter piece</t>
  </si>
  <si>
    <t>Assumed equal to 3" diameter, thin parata</t>
  </si>
  <si>
    <t>Assumed based on area ratio of 6" circle to 8" circle (16:9)</t>
  </si>
  <si>
    <t>Assumed ratio of 1.5 thick:thin coconut roti</t>
  </si>
  <si>
    <t>https://fdc.nal.usda.gov/fdc-app.html#/food-details/174677/measures</t>
  </si>
  <si>
    <t>Assume the small size orange is 100 g.</t>
    <phoneticPr fontId="4" type="noConversion"/>
  </si>
  <si>
    <t>https://fdc.nal.usda.gov/fdc-app.html#/food-details/167754/nutrients</t>
  </si>
  <si>
    <t>https://fdc.nal.usda.gov/fdc-app.html#/food-details/167746/measures</t>
  </si>
  <si>
    <t>GUAVA,PINK FLESH,RAW</t>
    <phoneticPr fontId="4" type="noConversion"/>
  </si>
  <si>
    <t>PINEAPPLE, RIPE, RAW</t>
    <phoneticPr fontId="4" type="noConversion"/>
  </si>
  <si>
    <t>we assume the medium slice = full palm size</t>
    <phoneticPr fontId="4" type="noConversion"/>
  </si>
  <si>
    <t>MUSK MELON, RIPE, RAW</t>
    <phoneticPr fontId="4" type="noConversion"/>
  </si>
  <si>
    <t>https://fdc.nal.usda.gov/fdc-app.html#/food-details/746770/nutrients</t>
  </si>
  <si>
    <t>https://fdc.nal.usda.gov/fdc-app.html#/food-details/167765/nutrients</t>
  </si>
  <si>
    <t>https://fdc.nal.usda.gov/fdc-app.html#/food-details/170169/measures</t>
  </si>
  <si>
    <t>https://fdc.nal.usda.gov/fdc-app.html#/food-details/171726/measures</t>
  </si>
  <si>
    <t>https://fdc.nal.usda.gov/fdc-app.html#/food-details/168449/nutrients</t>
  </si>
  <si>
    <t>We assume the medium size is the standard size with seed</t>
    <phoneticPr fontId="4" type="noConversion"/>
  </si>
  <si>
    <t>https://fdc.nal.usda.gov/fdc-app.html#/food-details/174988/nutrients</t>
  </si>
  <si>
    <t>PASSION FRUIT, RAW</t>
    <phoneticPr fontId="4" type="noConversion"/>
  </si>
  <si>
    <t>https://fdc.nal.usda.gov/fdc-app.html#/food-details/169108/measures</t>
  </si>
  <si>
    <t>POMEGRANATE,RAW</t>
    <phoneticPr fontId="4" type="noConversion"/>
  </si>
  <si>
    <t>https://fdc.nal.usda.gov/fdc-app.html#/food-details/169134/measures</t>
  </si>
  <si>
    <t>RAMBUTAN, RAW</t>
    <phoneticPr fontId="4" type="noConversion"/>
  </si>
  <si>
    <t>https://fdc.nal.usda.gov/fdc-app.html#/food-details/168167/nutrients</t>
  </si>
  <si>
    <t>SOURSOP, RAW</t>
    <phoneticPr fontId="4" type="noConversion"/>
  </si>
  <si>
    <t>https://fdc.nal.usda.gov/fdc-app.html#/food-details/167761/nutrients</t>
  </si>
  <si>
    <t>PIGEON PEAS, SPLIT, BOILED &amp; TEMPERED</t>
    <phoneticPr fontId="4" type="noConversion"/>
  </si>
  <si>
    <t>1 CUP = 168G</t>
    <phoneticPr fontId="4" type="noConversion"/>
  </si>
  <si>
    <t>1 cup = 184g</t>
    <phoneticPr fontId="4" type="noConversion"/>
  </si>
  <si>
    <t>1 tbsp = 16g</t>
    <phoneticPr fontId="4" type="noConversion"/>
  </si>
  <si>
    <t>BLACK GRAM, SPLIT, BOILED &amp; TEMPERED</t>
    <phoneticPr fontId="4" type="noConversion"/>
  </si>
  <si>
    <t>RED LENTILS, SPLIT, BOILED</t>
    <phoneticPr fontId="4" type="noConversion"/>
  </si>
  <si>
    <t>CASHEWS, W/ COCONUT MILK</t>
    <phoneticPr fontId="4" type="noConversion"/>
  </si>
  <si>
    <t>LIVER,CALF,TEMPERED</t>
    <phoneticPr fontId="4" type="noConversion"/>
  </si>
  <si>
    <t>MILK POWDER, WHOLE (FULL FAT)</t>
  </si>
  <si>
    <t>GINGER, FRESH, GRATED</t>
  </si>
  <si>
    <t>MALTED DRINK MIX, POWDER ONLY</t>
  </si>
  <si>
    <t>SPICES &amp; SEASONINGS, NO OR MINIMAL CALORIC VALUE</t>
  </si>
  <si>
    <t>RABBIT FISH, FRESH, BOILED, W/ COCONUT MILK</t>
  </si>
  <si>
    <t>DRUMSTICK LEAVES, BOILED, W/ COCONUT MILK</t>
  </si>
  <si>
    <t>LADIES FINGERS AND DRIED FISH, TEMPERED</t>
  </si>
  <si>
    <t>SILVER-BIDDY, FRESH, BOILED, W/ COCONUT MILK</t>
  </si>
  <si>
    <t>TILAPIA, FRESH, TEMPERED &amp; BOILED</t>
  </si>
  <si>
    <t>SKIPJACK TUNA, DRIED, TEMPERED</t>
  </si>
  <si>
    <t>MUKUNUWENNA, TEMPERED, W/ SCRAPED COCONUT</t>
  </si>
  <si>
    <t>SEER FISH, FRESH, BOILED, W/ COCONUT MILK</t>
  </si>
  <si>
    <t>PONGAL</t>
  </si>
  <si>
    <t>SWEETENED CONDENSED MILK</t>
  </si>
  <si>
    <t>LONG BEANS, BOILED, W/ SCRAPED COCONUT</t>
  </si>
  <si>
    <t>LONG BEANS, TEMPERED, W/ SCRAPED COCONUT</t>
  </si>
  <si>
    <t>TUNA, FRESH, BOILED, W/ COCONUT MILK</t>
  </si>
  <si>
    <t>SAILFISH, FRESH, BOILED, W/ COCONUT MILK</t>
  </si>
  <si>
    <t>HALMASSA ANCHOVY (SPRAT), DRIED, FRIED</t>
  </si>
  <si>
    <t>TUNA, FRESH, BOILED</t>
  </si>
  <si>
    <t>RAY, DRIED, TEMPERED</t>
  </si>
  <si>
    <t>SOY MEAT, BOILED, W/ COCONUT MILK</t>
  </si>
  <si>
    <t>TUNA, DRIED, TEMPERED</t>
  </si>
  <si>
    <t>MATURE JACKFRUIT, TEMPERED</t>
  </si>
  <si>
    <t>KOLUKKATTA / MOTHAGAM</t>
  </si>
  <si>
    <t>ml</t>
  </si>
  <si>
    <t>PATTY, FISH</t>
  </si>
  <si>
    <t>PATTY, EGG</t>
  </si>
  <si>
    <t>WOOD APPLE</t>
  </si>
  <si>
    <t>PATTY, VEGETABLE</t>
  </si>
  <si>
    <t>MATURE JACKFRUIT, BOILED &amp; TEMPERED</t>
  </si>
  <si>
    <t>COCONUT MILK, FRESH</t>
  </si>
  <si>
    <t>ASH PLANTAIN, TEMPERED &amp; BOILED, W/ COCONUT MILK</t>
  </si>
  <si>
    <t>SCAD (BOLLA), FRESH, FRIED</t>
  </si>
  <si>
    <t>BREAD FRUIT, BOILED AND TEMPERED</t>
  </si>
  <si>
    <t>BETEL / ARECA NUT</t>
  </si>
  <si>
    <t>TREACLE</t>
  </si>
  <si>
    <t>ONION, RAW</t>
  </si>
  <si>
    <t>BISCUIT, CREAM CRACKERS</t>
  </si>
  <si>
    <t>LAVARIYA</t>
  </si>
  <si>
    <t>CHICKEN GIZZARDS, TEMPERED</t>
  </si>
  <si>
    <t>LOTUS ROOT, W/ COCONUT  MILK</t>
  </si>
  <si>
    <t>COCONUT OIL</t>
  </si>
  <si>
    <t>LOTUS SEED, DRY</t>
  </si>
  <si>
    <t>NOODLES,W/ VEGETABLES &amp; EGG, W/ COCONUT OIL</t>
  </si>
  <si>
    <t>DUCK MEAT, TEMPERED</t>
  </si>
  <si>
    <t>WANDU APPA</t>
  </si>
  <si>
    <t>SHARK, FRESH, DEEP-FRIED</t>
  </si>
  <si>
    <t>BEE HONEY</t>
  </si>
  <si>
    <t>GHEE</t>
  </si>
  <si>
    <t>https://fdc.nal.usda.gov/fdc-app.html#/food-details/2064696/nutrients</t>
  </si>
  <si>
    <t>5.3 oz = 150g</t>
    <phoneticPr fontId="4" type="noConversion"/>
  </si>
  <si>
    <t>https://fdc.nal.usda.gov/fdc-app.html#/food-details/746784/measures</t>
  </si>
  <si>
    <t>MALTED DRINK MIX, POWDER ONLY</t>
    <phoneticPr fontId="4" type="noConversion"/>
  </si>
  <si>
    <t>https://fdc.nal.usda.gov/fdc-app.html#/food-details/174867/measures</t>
  </si>
  <si>
    <t>SPICES &amp; SEASONINGS, NO OR MINIMAL CALORIC VALUE</t>
    <phoneticPr fontId="4" type="noConversion"/>
  </si>
  <si>
    <t>https://fdc.nal.usda.gov/fdc-app.html#/food-details/171331/measures</t>
  </si>
  <si>
    <t>We assume it's same as the plain noodle.</t>
    <phoneticPr fontId="4" type="noConversion"/>
  </si>
  <si>
    <t>1 cup = 245g</t>
    <phoneticPr fontId="4" type="noConversion"/>
  </si>
  <si>
    <t>AMARANTH LEAVES, BOILED, W/ COCONUT MILK</t>
    <phoneticPr fontId="4" type="noConversion"/>
  </si>
  <si>
    <t>AMBARELLA, TEMPERED, W/ COCONUT MILK</t>
    <phoneticPr fontId="4" type="noConversion"/>
  </si>
  <si>
    <t>.</t>
  </si>
  <si>
    <t>CHINESE ROLL, VEGETABLE</t>
  </si>
  <si>
    <t>pieces</t>
  </si>
  <si>
    <t>tablespoons or medium coconut spoons</t>
  </si>
  <si>
    <t>pieces or serving spoons</t>
  </si>
  <si>
    <t>mL</t>
  </si>
  <si>
    <t>LEMON OR LIME JUICE,FRESH, W/ WATER &amp; SUGAR</t>
  </si>
  <si>
    <t>PAPAYA, GREEN, TEMPERED CURRY</t>
  </si>
  <si>
    <t>https://fdc.nal.usda.gov/fdc-app.html#/food-details/171331/nutrients</t>
  </si>
  <si>
    <t>We assume it's the same as boild eggs</t>
    <phoneticPr fontId="4" type="noConversion"/>
  </si>
  <si>
    <t>Assumed equal to 1/2 standard piece</t>
  </si>
  <si>
    <t>Assumed equal to 6" diameter, thin parata</t>
  </si>
  <si>
    <t>Assumed equal to 6" diameter, thin roti</t>
  </si>
  <si>
    <t>Assumed equal to 6" diameter, thin coconut roti</t>
  </si>
  <si>
    <t>Assumed equal to large string hopper</t>
  </si>
  <si>
    <t>Assumed equal to medium string hopper</t>
  </si>
  <si>
    <t>Assumed equal to 3 large string hoppers</t>
  </si>
  <si>
    <t>Assumed equal to medium idli</t>
  </si>
  <si>
    <t>Pittu mold external diameter is 2.25" (amazon listings), so assumed cooked food diameter is 1"</t>
  </si>
  <si>
    <t>Assumed equal to 3in piece</t>
  </si>
  <si>
    <t>Assumed equal to two 3in pieces</t>
  </si>
  <si>
    <t>Assumed equal to one-half 3in piece</t>
  </si>
  <si>
    <t>Assumed equal to one and a half 3in pieces</t>
  </si>
  <si>
    <t>Assumed equal to full palm size piece</t>
  </si>
  <si>
    <t>Assumed spherical portion, 3.5cm diameter, based on online recipe shown with hands for scale</t>
  </si>
  <si>
    <t>Assumed equal to 1/4 volume of full palm size piece</t>
  </si>
  <si>
    <t>Estimated density of dough.  Online recipe gives 2:1 water to flour (https://www.facebook.com/notes/i-love-sri-lankan-food/kurakkan-thalapa/1719297978347413/, Accessed 20 Nov 22)</t>
  </si>
  <si>
    <t>https://fdc.nal.usda.gov/fdc-app.html#/food-details/2345725/nutrients</t>
  </si>
  <si>
    <t>Assumed equal to 1 tbsp</t>
  </si>
  <si>
    <t>Assumed equal to 2 tbsp</t>
  </si>
  <si>
    <t>Assumed equal to 4 tbsp</t>
  </si>
  <si>
    <t>Assumed equal to one half medium fruit</t>
  </si>
  <si>
    <t>Assumed equal to 1/8 of a medium fruit</t>
  </si>
  <si>
    <t>https://fdc.nal.usda.gov/fdc-app.html#/food-details/2341143/nutrients</t>
  </si>
  <si>
    <t>Assumed equal to a single-serve cup</t>
  </si>
  <si>
    <t>https://fdc.nal.usda.gov/fdc-app.html#/food-details/2341057/portions</t>
  </si>
  <si>
    <t xml:space="preserve">Estimated density of dough.  </t>
  </si>
  <si>
    <t>https://fdc.nal.usda.gov/fdc-app.html#/food-details/2341088/portions</t>
  </si>
  <si>
    <t>https://fdc.nal.usda.gov/fdc-app.html#/food-details/168540/nutrients</t>
  </si>
  <si>
    <t>Assumed same as boiled</t>
  </si>
  <si>
    <t>https://fdc.nal.usda.gov/fdc-app.html#/food-details/169998/nutrients</t>
  </si>
  <si>
    <t>Assumed equal to two standard pieces</t>
  </si>
  <si>
    <t>We assume the small size is the standard size</t>
  </si>
  <si>
    <t>https://fdc.nal.usda.gov/fdc-app.html#/food-details/169422/nutrients</t>
  </si>
  <si>
    <t>direct weighing of US sample</t>
  </si>
  <si>
    <t>https://fdc.nal.usda.gov/fdc-app.html#/food-details/170149/nutrients</t>
  </si>
  <si>
    <t>Assumed equal to 1/4 cup</t>
  </si>
  <si>
    <t>https://fdc.nal.usda.gov/fdc-app.html#/food-details/170556/nutrients</t>
  </si>
  <si>
    <t>Assumed equal to 1/8 cup (1 heaping tablespoon, 1 cup = 129g)</t>
  </si>
  <si>
    <t>Assumed equal to 2 standard pieces</t>
  </si>
  <si>
    <t>Assumed equal to small piece</t>
  </si>
  <si>
    <t>Assumed equal to 1/2 small piece</t>
  </si>
  <si>
    <t>We assume the medium is the standard size</t>
  </si>
  <si>
    <t>Assumed equal to standard piece (medium size)</t>
  </si>
  <si>
    <t>Assumed equal to medium piece</t>
  </si>
  <si>
    <t>Assumed equal to 2 medium pieces</t>
  </si>
  <si>
    <t>Assumed equal to 2 small pieces</t>
  </si>
  <si>
    <t>Assumed equal to 1/2 medium piece</t>
  </si>
  <si>
    <t>Assumed equal to 18 tbsp</t>
  </si>
  <si>
    <t>Google search of kithul jaggery images showed packets of approx. 10 round pieces labeled 250g or approx. 20 pieces labeled 500g</t>
  </si>
  <si>
    <t>Assumed density of 1 g/ml</t>
  </si>
  <si>
    <t>https://fdc.nal.usda.gov/fdc-app.html#/food-details/2345398/nutrients</t>
  </si>
  <si>
    <t>Assumed equal to 3 tbsp</t>
  </si>
  <si>
    <t>https://fdc.nal.usda.gov/fdc-app.html#/food-details/2345458/portions</t>
  </si>
  <si>
    <t>https://fdc.nal.usda.gov/fdc-app.html#/food-details/169231/nutrients</t>
  </si>
  <si>
    <t>Assumed equal to 1/2 cup raw ginger, sliced</t>
  </si>
  <si>
    <t>Assumed equal to 1/4 cup raw ginger, sliced</t>
  </si>
  <si>
    <t>Assumed equal to medium slice</t>
  </si>
  <si>
    <t>Assumed equal to 1/4 medium slice</t>
  </si>
  <si>
    <t>Assumed equal to 2 medium slices</t>
  </si>
  <si>
    <t>Assumed equal to 1.5 medium slices</t>
  </si>
  <si>
    <t>Assumed equal to 3 medium slices</t>
  </si>
  <si>
    <t>Assumed equal to small slice</t>
  </si>
  <si>
    <t>Assumed equal to a small slice</t>
  </si>
  <si>
    <t>Assumed equal to 2 small slices</t>
  </si>
  <si>
    <t>Assumed equal to 3 small slices</t>
  </si>
  <si>
    <t>Assumed equal to 1/2 small slice</t>
  </si>
  <si>
    <t>Assumed equal to 4 small slices</t>
  </si>
  <si>
    <t>Wayamba Food Data/REMAKE-PortionConversionTableTemplate1/CASSAVA,BOILED</t>
  </si>
  <si>
    <t>Wayamba Food Data/REMAKE-PortionConversionTableTemplate1/Vegetables/CASSAVA,CURRY,W/COCONUT MILK</t>
  </si>
  <si>
    <t>Wayamba Food Data/REMAKE-PortionConversionTableTemplate1/LEEKS,CURRY,W/COCONUT MILK</t>
  </si>
  <si>
    <t>Wayamba Food Data/REMAKE-PortionConversionTableTemplate1/LEEKS,POTATOES,CURRY,W/COCONUT MILK</t>
  </si>
  <si>
    <t>Wayamba Food Data/REMAKE-PortionConversionTableTemplate1/LEEKS,W/COCONUT SCRAPED,W/COCONUT OIL</t>
  </si>
  <si>
    <t>Wayamba Food Data/REMAKE-PortionConversionTableTemplate1/Cereals &amp; products/BUN - TEA</t>
  </si>
  <si>
    <t>Wayamba Food Data/REMAKE-PortionConversionTableTemplate1/Cereals &amp; products/BUN - SUGAR</t>
  </si>
  <si>
    <t>Wayamba Food Data/REMAKE-PortionConversionTableTemplate1/Cereals &amp; products/BUN - JAM</t>
  </si>
  <si>
    <t>Wayamba Food Data/REMAKE-PortionConversionTableTemplate1/Cereals &amp; products/BUN,CREAM</t>
  </si>
  <si>
    <t>Wayamba Food Data/REMAKE-PortionConversionTableTemplate1/BUN - KIMBULA</t>
  </si>
  <si>
    <t>Wayamba Food Data/REMAKE-PortionConversionTableTemplate1/Sweets/PAPADUM</t>
  </si>
  <si>
    <t>Wayamba Food Data/REMAKE-PortionConversionTableTemplate1/Cereals &amp; products/PARATA</t>
  </si>
  <si>
    <t>Wayamba Food Data/REMAKE-PortionConversionTableTemplate1/Cereals &amp; products/ROTI,VEGETABLE</t>
  </si>
  <si>
    <t>Wayamba Food Data/REMAKE-PortionConversionTableTemplate1/Cereals &amp; products/THOSEI</t>
  </si>
  <si>
    <t>Wayamba Food Data/REMAKE-PortionConversionTableTemplate1/Cereals &amp; products/HOPPERS,EGG</t>
  </si>
  <si>
    <t>Wayamba Food Data/REMAKE-PortionConversionTableTemplate1/Cereals &amp; products/HOPPERS,PLAIN</t>
  </si>
  <si>
    <t>Wayamba Food Data/REMAKE-PortionConversionTableTemplate1/Cereals &amp; products/STRING HOPPERS,RICE FLOUR</t>
  </si>
  <si>
    <t>Wayamba Food Data/REMAKE-PortionConversionTableTemplate1/ Cereals and products/IDLI</t>
  </si>
  <si>
    <t>Wayamba Food Data/REMAKE-PortionConversionTableTemplate1/ Cereals and products/PITTU</t>
  </si>
  <si>
    <t>Wayamba Food Data/REMAKE-PortionConversionTableTemplate1/Milk and milk product/ butter</t>
  </si>
  <si>
    <t>Wayamba Food Data/REMAKE-PortionConversionTableTemplate1/CHICKEN,GRAVY,W/COCONUT MILK</t>
  </si>
  <si>
    <t>Wayamba Food Data/REMAKE-PortionConversionTableTemplate1/KIRIHODI</t>
  </si>
  <si>
    <t>Wayamba Food Data/REMAKE-PortionConversionTableTemplate1/JAM</t>
  </si>
  <si>
    <t>Wayamba Food Data/REMAKE-PortionConversionTableTemplate1/SPRATS,DEEP FRIED</t>
  </si>
  <si>
    <t>Wayamba Food Data/REMAKE-PortionConversionTableTemplate1/onion sambol</t>
  </si>
  <si>
    <t>Wayamba Food Data/REMAKE-PortionConversionTableTemplate1/COCONUT,SCRAPED</t>
  </si>
  <si>
    <t>Wayamba Food Data/REMAKE-PortionConversionTableTemplate1/SPRATS,CURRY,W/COCONUT MILK</t>
  </si>
  <si>
    <t>Wayamba Food Data/REMAKE-PortionConversionTableTemplate1/FISH,DEEP FRIED</t>
  </si>
  <si>
    <t>Wayamba Food Data/REMAKE-PortionConversionTableTemplate1/FISH,INLAND,DEEP FRIED</t>
  </si>
  <si>
    <t>Wayamba Food Data/REMAKE-PortionConversionTableTemplate1/Fruit/BANANA - KOLIKUTTU</t>
  </si>
  <si>
    <t>Wayamba Food Data/REMAKE-PortionConversionTableTemplate1/Fruit/BANANA - SEENI</t>
  </si>
  <si>
    <t>Wayamba Food Data/REMAKE-PortionConversionTableTemplate1/Orange</t>
  </si>
  <si>
    <t>Wayamba Food Data/REMAKE-PortionConversionTableTemplate1/guava</t>
  </si>
  <si>
    <t>Wayamba Food Data/REMAKE-PortionConversionTableTemplate1/JAK FRUIT - RIPE</t>
  </si>
  <si>
    <t>Wayamba Food Data/REMAKE-PortionConversionTableTemplate1/PINEAPPLE</t>
  </si>
  <si>
    <t>Wayamba Food Data/REMAKE-PortionConversionTableTemplate1/Fruit/Mango</t>
  </si>
  <si>
    <t>Wayamba Food Data/REMAKE-PortionConversionTableTemplate1/PAPAYA</t>
  </si>
  <si>
    <t>Wayamba Food Data/REMAKE-PortionConversionTableTemplate1/Grape</t>
  </si>
  <si>
    <t>Wayamba Food Data/REMAKE-PortionConversionTableTemplate1/WOODAPPLE</t>
  </si>
  <si>
    <t>Wayamba Food Data/REMAKE-PortionConversionTableTemplate1/BEANS,CURRY,W/COCONUT MILK</t>
  </si>
  <si>
    <t>Wayamba Food Data/REMAKE-PortionConversionTableTemplate1/EGG,CHICKEN,BOILED</t>
  </si>
  <si>
    <t>Wayamba Food Data/REMAKE-PortionConversionTableTemplate1/EGG,CHICKEN,FRIED</t>
  </si>
  <si>
    <t>Wayamba Food Data/REMAKE-PortionConversionTableTemplate1/ICE CREAM; https://fdc.nal.usda.gov/fdc-app.html#/food-details/168809/nutrients</t>
  </si>
  <si>
    <t>Wayamba Food Data/REMAKE-PortionConversionTableTemplate1/ICE CREAM</t>
  </si>
  <si>
    <t>Wayamba Food Data/REMAKE-PortionConversionTableTemplate1/ICE CREAM; https://fdc.nal.usda.gov/fdc-app.html#/food-details/167575/nutrients</t>
  </si>
  <si>
    <t>Wayamba Food Data/REMAKE-PortionConversionTableTemplate1/NOODLES,WHEAT FLOUR</t>
  </si>
  <si>
    <t>Wayamba Food Data/REMAKE-PortionConversionTableTemplate1/Biscuits/BISCUIT,BUTTER CAROL</t>
  </si>
  <si>
    <t>Wayamba Food Data/REMAKE-PortionConversionTableTemplate1/Biscuits/BISCUIT,CHOCOLATE</t>
  </si>
  <si>
    <t>Wayamba Food Data/REMAKE-PortionConversionTableTemplate1/Biscuits/BISCUIT,CREAM CRACKER</t>
  </si>
  <si>
    <t>Wayamba Food Data/REMAKE-PortionConversionTableTemplate1/Biscuits/BISCUIT,GINGER</t>
  </si>
  <si>
    <t>Wayamba Food Data/REMAKE-PortionConversionTableTemplate1/Biscuits/BISCUIT,WAFFERS</t>
  </si>
  <si>
    <t>Wayamba Food Data/REMAKE-PortionConversionTableTemplate1/Biscuits/BISCUIT,TIKIRI MARIE</t>
  </si>
  <si>
    <t>Wayamba Food Data/REMAKE-PortionConversionTableTemplate1/Biscuits/BISCUIT,LEMON PUFF</t>
  </si>
  <si>
    <t>Wayamba Food Data/REMAKE-PortionConversionTableTemplate1/CAKE,CHOCOLATE</t>
  </si>
  <si>
    <t>Wayamba Food Data/REMAKE-PortionConversionTableTemplate1/CAKE,COCONUT</t>
  </si>
  <si>
    <t>Wayamba Food Data/REMAKE-PortionConversionTableTemplate1/CAKE,WEDDING</t>
  </si>
  <si>
    <t>Wayamba Food Data/REMAKE-PortionConversionTableTemplate1/CAKE,BUTTER</t>
  </si>
  <si>
    <t>Wayamba Food Data/REMAKE-PortionConversionTableTemplate1/CAKE,ICING</t>
  </si>
  <si>
    <t>Wayamba Food Data/REMAKE-PortionConversionTableTemplate1/TALA KERALI</t>
  </si>
  <si>
    <t>Wayamba Food Data/REMAKE-PortionConversionTableTemplate1/TOFFEE</t>
  </si>
  <si>
    <t>Wayamba Food Data/REMAKE-PortionConversionTableTemplate1/PEANUT,ROASTED</t>
  </si>
  <si>
    <t>Wayamba Food Data/REMAKE-PortionConversionTableTemplate1/ROLLS</t>
  </si>
  <si>
    <t>Wayamba Food Data/REMAKE-PortionConversionTableTemplate1/MURUKKU,BITE MIXTURE</t>
  </si>
  <si>
    <t>Wayamba Food Data/REMAKE-PortionConversionTableTemplate1/MURUKKU</t>
  </si>
  <si>
    <t>Wayamba Food Data/REMAKE-PortionConversionTableTemplate1/Sweets/WADE,DHAL</t>
  </si>
  <si>
    <t>Wayamba Food Data/REMAKE-PortionConversionTableTemplate1/Cereals and Cereal Products/PASTRY, FISH</t>
  </si>
  <si>
    <t>Wayamba Food Data/REMAKE-PortionConversionTableTemplate1/Sweets/ AGGALA</t>
  </si>
  <si>
    <t>Wayamba Food Data/REMAKE-PortionConversionTableTemplate1/ALUWA</t>
  </si>
  <si>
    <t>Wayamba Food Data/REMAKE-PortionConversionTableTemplate1/KEVUM,MUNG KEVUM</t>
  </si>
  <si>
    <t>Wayamba Food Data/REMAKE-PortionConversionTableTemplate1/PAN CAKE</t>
  </si>
  <si>
    <t>Wayamba Food Data/REMAKE-PortionConversionTableTemplate1/WATALAPPAN</t>
  </si>
  <si>
    <t>Wayamba Food Data/REMAKE-PortionConversionTableTemplate1/Sweets/ WELI THALAPA</t>
  </si>
  <si>
    <t>Wayamba Food Data/REMAKE-PortionConversionTableTemplate1/BRINJAL,W/COCONUT OIL</t>
  </si>
  <si>
    <t>Wayamba Food Data/REMAKE-PortionConversionTableTemplate1/BRINJAL,CURRY,W/COCONUT MILK</t>
  </si>
  <si>
    <t>Wayamba Food Data/REMAKE-PortionConversionTableTemplate1/BRINJAL,MOJU</t>
  </si>
  <si>
    <t>Wayamba Food Data/REMAKE-PortionConversionTableTemplate1/TOMATOES,CURRY,W/COCONUT MILK</t>
  </si>
  <si>
    <t>Wayamba Food Data/REMAKE-PortionConversionTableTemplate1/DRUMSTICKS</t>
  </si>
  <si>
    <t>Wayamba Food Data/REMAKE-PortionConversionTableTemplate1/DRUMSTICKS LEAVES,W/SCRAPED COCONUT</t>
  </si>
  <si>
    <t>Wayamba Food Data/REMAKE-PortionConversionTableTemplate1/LADIES FINGERS,CURRY,W/COCONUT MILK</t>
  </si>
  <si>
    <t>Wayamba Food Data/REMAKE-PortionConversionTableTemplate1/BEANS,W/COCONUT OIL</t>
  </si>
  <si>
    <t>Wayamba Food Data/REMAKE-PortionConversionTableTemplate1/Vegetables/LONG BEANS,W/COCONUT OIL</t>
  </si>
  <si>
    <t>Wayamba Food Data/REMAKE-PortionConversionTableTemplate1/Vegetables/LONG BEANS,CURRY,W/COCONUT MILK</t>
  </si>
  <si>
    <t>Wayamba Food Data/REMAKE-PortionConversionTableTemplate1/Cereals &amp; products/BREAD FRUIT,CURRY,W/COCOCNUT MILK</t>
  </si>
  <si>
    <t>Wayamba Food Data/REMAKE-PortionConversionTableTemplate1/KESELMUWA,CURRY,W/COCONUT MILK</t>
  </si>
  <si>
    <t>Wayamba Food Data/REMAKE-PortionConversionTableTemplate1/BITTER GOURD,CURRY,W/COCONUT MILK</t>
  </si>
  <si>
    <t>Wayamba Food Data/REMAKE-PortionConversionTableTemplate1/BITTER GOURD,W/COCONUT OIL</t>
  </si>
  <si>
    <t>Wayamba Food Data/REMAKE-PortionConversionTableTemplate1/SNAKE GOURD,CURRY,W/COCONUT MILK</t>
  </si>
  <si>
    <t>Wayamba Food Data/REMAKE-PortionConversionTableTemplate1/PUMPKIN,CURRY,W/COCONUT MILK</t>
  </si>
  <si>
    <t>Wayamba Food Data/REMAKE-PortionConversionTableTemplate1/KOHILA LEAVE,CURRY,W/COCONUT MILK</t>
  </si>
  <si>
    <t>Wayamba Food Data/REMAKE-PortionConversionTableTemplate1/CABBAGE,CURRY,W/COCONUT MILK</t>
  </si>
  <si>
    <t>Wayamba Food Data/REMAKE-PortionConversionTableTemplate1/CASSAVA,CURRY,W/COCONUT MILK</t>
  </si>
  <si>
    <t>Wayamba Food Data/REMAKE-PortionConversionTableTemplate1/Vegetables/BEET ROOT,CURRY,W/COCONUT MILK</t>
  </si>
  <si>
    <t>Wayamba Food Data/REMAKE-PortionConversionTableTemplate1/BEET ROOT,CURRY,W/COCONUT MILK</t>
  </si>
  <si>
    <t>Wayamba Food Data/REMAKE-PortionConversionTableTemplate1/CARROT,CURRY,W/COCOCNUT MILK</t>
  </si>
  <si>
    <t>Wayamba Food Data/REMAKE-PortionConversionTableTemplate1/CASSAVA,BOILED; https://fdc.nal.usda.gov/fdc-app.html#/food-details/2345064/nutrients</t>
  </si>
  <si>
    <t>Assumed equal to small slice, or 1/4 palm size piece</t>
  </si>
  <si>
    <t>Assumed equal to 1.25 tbsp</t>
  </si>
  <si>
    <t>Wayamba Food Data/REMAKE-PortionConversionTableTemplate1/MILK RICE</t>
  </si>
  <si>
    <t>Assumed equal to 1/3 tbsp</t>
  </si>
  <si>
    <t>Assumed equal to beans curry w/ coconut milk</t>
  </si>
  <si>
    <t>Assumed equal to 3 tbsp beans curry w/ coconut milk</t>
  </si>
  <si>
    <t>Assumed equal to 4 tbsp beans curry w/ coconut milk</t>
  </si>
  <si>
    <t>Assumed equal to beans w/ coconut oil</t>
  </si>
  <si>
    <t>Wayamba Food Data/REMAKE-PortionConversionTableTemplate1/Vegetables/POTATOES,CABBAGE,CURRY,W/COCONUT MILK</t>
  </si>
  <si>
    <t>Wayamba Food Data/REMAKE-PortionConversionTableTemplate1/Vegetables/POTATOES,BOILED</t>
  </si>
  <si>
    <t>Assumed equal to 2 tbsp potato and cabbage curry w/ coconut milk</t>
  </si>
  <si>
    <t>Assumed equal to 1 tbsp potato and cabbage curry w/ coconut milk</t>
  </si>
  <si>
    <t>Assumed equal to 1/2 cup</t>
  </si>
  <si>
    <t>Assumed equal to 0.5 tbsp</t>
  </si>
  <si>
    <t>Assumed equal to 0.5 tbsp potato and cabbage curry w/ coconut milk</t>
  </si>
  <si>
    <t>Assumed equal to 1.25 tbsp potato and cabbage curry w/ coconut milk</t>
  </si>
  <si>
    <t>Wayamba Food Data/REMAKE-PortionConversionTableTemplate1/Vegetables/POTATOES,W/COCONUT OIL</t>
  </si>
  <si>
    <t>Assumed piece depth 1.5cm; assumed 1/2 palm size piece equal to large slice</t>
  </si>
  <si>
    <t>Assumed equal to 1 tbsp cassava w/ coconut milk</t>
  </si>
  <si>
    <t>https://fdc.nal.usda.gov/fdc-app.html#/food-details/169321/measures</t>
  </si>
  <si>
    <t>Wayamba Food Data/REMAKE-PortionConversionTableTemplate1/POLOS,CURRY,W/COCONUT MILK</t>
  </si>
  <si>
    <t>Wayamba Food Data/REMAKE-PortionConversionTableTemplate1/JAK,BOILED</t>
  </si>
  <si>
    <t>Wayamba Food Data/REMAKE-PortionConversionTableTemplate1/JAK,CURRY,W/COCONUT MILK</t>
  </si>
  <si>
    <t>Assumed equal to 1 tbsp boiled jackfruit</t>
  </si>
  <si>
    <t>Wayamba Food Data/REMAKE-PortionConversionTableTemplate1/JAK,BOILED,W/SCRAPED COCONUT</t>
  </si>
  <si>
    <t>Assumed equal to 1 tbsp mature jackfruit, boiled, w/ scraped coconut</t>
  </si>
  <si>
    <t>Wayamba Food Data/REMAKE-PortionConversionTableTemplate1/Vegetables/ASH PLANTAIN,CURRY,W/COCONUT MILK</t>
  </si>
  <si>
    <t>Assumed equal to 1/8 cup (1 cup = 118g)</t>
  </si>
  <si>
    <t>Assumed equal to 1/4 cup (1 cup = 118g)</t>
  </si>
  <si>
    <t>Assumed equal to 1 cup</t>
  </si>
  <si>
    <t>Wayamba Food Data/REMAKE-PortionConversionTableTemplate1/Vegetables/LADIES FINGERS,W/COCONUT OIL</t>
  </si>
  <si>
    <t>Assumed equal to 1 tbsp ladies fingers curry w/ coconut milk</t>
  </si>
  <si>
    <t>Assumed equal to 1 tbsp ladies fingers w/ coconut oil</t>
  </si>
  <si>
    <t>Assumed equal to 1 tbsp brinjal curry w/ coconut milk</t>
  </si>
  <si>
    <t>Assumed equal to 1 tbsp brinjal w/ coconut oil</t>
  </si>
  <si>
    <t>Wayamba Food Data/REMAKE-PortionConversionTableTemplate1/CUCUMBER,CURRY,W/COCONUT MILK</t>
  </si>
  <si>
    <t>Assumed equal to 1/3 small slice cassava, boiled</t>
  </si>
  <si>
    <t>Assumed equal to 2 large slices cassava, boiled</t>
  </si>
  <si>
    <t>Wayamba Food Data/REMAKE-PortionConversionTableTemplate1/CARROT,SALAD,W/SCRAPED COCONUT</t>
  </si>
  <si>
    <t>Assumed equal to 1 tbsp carrot salad w/ scraped coconut</t>
  </si>
  <si>
    <t>Wayamba Food Data/REMAKE-PortionConversionTableTemplate1/CUCUMBER, RAW</t>
  </si>
  <si>
    <t>Assumed equal to 8 small slices</t>
  </si>
  <si>
    <t>Wayamba Food Data/REMAKE-PortionConversionTableTemplate1/Sweets/LAVARIYA</t>
  </si>
  <si>
    <t>https://www.grocerylanka.com/products/kandy-foods-wandu-400g</t>
  </si>
  <si>
    <t>Commercial product labeled 6 pieces = 400g</t>
  </si>
  <si>
    <t>Assumed equal to medium aggala</t>
  </si>
  <si>
    <t>Assumed equal to standard piece of aluwa</t>
  </si>
  <si>
    <t>Assumed equal to 4 standard pieces of aluwa</t>
  </si>
  <si>
    <t>Wayamba Food Data/REMAKE-PortionConversionTableTemplate1/HALAPA</t>
  </si>
  <si>
    <t>Wayamba Food Data/REMAKE-PortionConversionTableTemplate1/Sweets/KEVUM, ATHIRASA</t>
  </si>
  <si>
    <t>https://fdc.nal.usda.gov/fdc-app.html#/food-details/2341085/portions</t>
  </si>
  <si>
    <t>Assumed equal to large coconut serving spoon</t>
  </si>
  <si>
    <t>Assumed equal to standard piece of pancake roll</t>
  </si>
  <si>
    <t>Assumed equal to 2 standard pieces of pancake roll</t>
  </si>
  <si>
    <t>Assumed equal to 1/2 medium slice</t>
  </si>
  <si>
    <t>https://fdc.nal.usda.gov/fdc-app.html#/food-details/169926/nutrients</t>
  </si>
  <si>
    <t>https://fdc.nal.usda.gov/fdc-app.html#/food-details/174687/nutrients</t>
  </si>
  <si>
    <t>Assumed equal to 4 medium slices</t>
  </si>
  <si>
    <t>Assumed equal to large slice</t>
  </si>
  <si>
    <t>Assumed equal to 2 large slices</t>
  </si>
  <si>
    <t>https://fdc.nal.usda.gov/fdc-app.html#/food-details/2344737/nutrients</t>
  </si>
  <si>
    <t>https://fdc.nal.usda.gov/fdc-app.html#/food-details/169910/nutrients</t>
  </si>
  <si>
    <t>Wayamba Food Data/REMAKE-PortionConversionTableTemplate1/APPLE - RED</t>
  </si>
  <si>
    <t>Wayamba Food Data/REMAKE-PortionConversionTableTemplate1/APPLE - GREEN</t>
  </si>
  <si>
    <t>https://fdc.nal.usda.gov/fdc-app.html#/food-details/2344711/portions</t>
  </si>
  <si>
    <t>Assumed equal to 1/8 slice of whole fruit</t>
  </si>
  <si>
    <t>Wayamba Food Data/REMAKE-PortionConversionTableTemplate1/GOOSEBERRY</t>
  </si>
  <si>
    <t>Assumed equal to 1 gooseberry</t>
  </si>
  <si>
    <t>https://www.ncbi.nlm.nih.gov/pmc/articles/PMC9168099/</t>
  </si>
  <si>
    <t>https://vikaspedia.in/agriculture/crop-production/package-of-practices/fruits-1/amla</t>
  </si>
  <si>
    <t>Assumed equal to medium banana</t>
  </si>
  <si>
    <t>https://fdc.nal.usda.gov/fdc-app.html#/food-details/173944/nutrients</t>
  </si>
  <si>
    <t>Assumed equal to 2/3 medium banana</t>
  </si>
  <si>
    <t>Wayamba Food Data/REMAKE-PortionConversionTableTemplate1/Fruit/BANANA - AMBUL</t>
  </si>
  <si>
    <t>Assumed equal to average of small and large guava</t>
  </si>
  <si>
    <t>Wayamba Food Data/REMAKE-PortionConversionTableTemplate1/AVACADO</t>
  </si>
  <si>
    <t>Assumed equal to 1/2 small fruit</t>
  </si>
  <si>
    <t>Wayamba Food Data/REMAKE-PortionConversionTableTemplate1/CUSTARD APPLE</t>
  </si>
  <si>
    <t>https://fdc.nal.usda.gov/fdc-app.html#/food-details/173953/nutrients</t>
  </si>
  <si>
    <t>https://fdc.nal.usda.gov/fdc-app.html#/food-details/2344707/nutrients</t>
  </si>
  <si>
    <t>https://fdc.nal.usda.gov/fdc-app.html#/food-details/2344782/nutrients</t>
  </si>
  <si>
    <t>https://www.bobsredmill.com/shredded-coconut.html</t>
  </si>
  <si>
    <t>https://fdc.nal.usda.gov/fdc-app.html#/food-details/173454/measures</t>
  </si>
  <si>
    <t>https://fdc.nal.usda.gov/fdc-app.html#/food-details/169231/measures</t>
  </si>
  <si>
    <t>Not counted into nutrient intake</t>
  </si>
  <si>
    <t>Wayamba Food Data/REMAKE-PortionConversionTableTemplate1/POWDER,NESTOMALT</t>
  </si>
  <si>
    <t>https://fdc.nal.usda.gov/fdc-app.html#/food-details/2345402/portions</t>
  </si>
  <si>
    <t>Assumed equal to 1 tbsp bread fruit curry w/ coconut milk</t>
  </si>
  <si>
    <t>Assumed equal to 1 tbsp potatoes w/ coconut oil</t>
  </si>
  <si>
    <t>Wayamba Food Data/REMAKE-PortionConversionTableTemplate1/Vegetables/POTATOES,DEEP FRIED</t>
  </si>
  <si>
    <t>https://fdc.nal.usda.gov/fdc-app.html#/food-details/2344952/portions</t>
  </si>
  <si>
    <t>Assumed equal to 2 tbsp kiri hodi</t>
  </si>
  <si>
    <t>Assumed equal to small piece potato, boiled</t>
  </si>
  <si>
    <t>Assumed equal to medium slice potato, boiled</t>
  </si>
  <si>
    <t>https://fdc.nal.usda.gov/fdc-app.html#/food-details/170457/measures</t>
  </si>
  <si>
    <t>https://fdc.nal.usda.gov/fdc-app.html#/food-details/170000/measures</t>
  </si>
  <si>
    <t>Assumed equal to 2 tsp</t>
  </si>
  <si>
    <t>Assumed equal to 2 tsp soya meat curry w/ coconut milk</t>
  </si>
  <si>
    <t>Assumed equal to half a small slice</t>
  </si>
  <si>
    <t>https://fdc.nal.usda.gov/fdc-app.html#/food-details/2341642/portions</t>
  </si>
  <si>
    <t>Assumed equal to 1.25 cubic inches</t>
  </si>
  <si>
    <t>Assumed equal to 2.5 cubic inches</t>
  </si>
  <si>
    <t>Assumed equal to 5 cubic inches</t>
  </si>
  <si>
    <t>Assumed equal to 1 cubic inch</t>
  </si>
  <si>
    <t>https://fdc.nal.usda.gov/; Average density of (2342009, 2342310, 2341883, 2342308)</t>
  </si>
  <si>
    <t>Assumed equal to 1/4 palm size piece</t>
  </si>
  <si>
    <t>Assumed equal to 1 medium crab</t>
  </si>
  <si>
    <t>Assumed equal to 0.5 medium crab</t>
  </si>
  <si>
    <t>https://fdc.nal.usda.gov/fdc-app.html#/food-details/2341884/nutrients</t>
  </si>
  <si>
    <t>Assumed depth 1.5cm</t>
  </si>
  <si>
    <t>Assumed equal to medium coconut spoon</t>
  </si>
  <si>
    <t>Assumed average of large and small pieces</t>
  </si>
  <si>
    <t>Assumed equal to 4 large pieces</t>
  </si>
  <si>
    <t>Assumed equal to large piece</t>
  </si>
  <si>
    <t>https://fdc.nal.usda.gov/fdc-app.html#/food-details/2342994/portions</t>
  </si>
  <si>
    <t>Assumed equal to 1 tsp</t>
  </si>
  <si>
    <t>Assumed equal to 8 tbsp</t>
  </si>
  <si>
    <t>https://fdc.nal.usda.gov/fdc-app.html#/food-details/2343044/portions</t>
  </si>
  <si>
    <t>https://fdc.nal.usda.gov/fdc-app.html#/food-details/2345739/portions</t>
  </si>
  <si>
    <t>Wayamba Food Data/REMAKE-PortionConversionTableTemplate1/COCONUT SAMBOL</t>
  </si>
  <si>
    <t>Wayamba Food Data/REMAKE-PortionConversionTableTemplate1/LUNU MIRIS</t>
  </si>
  <si>
    <t>Wayamba Food Data/REMAKE-PortionConversionTableTemplate1/COCONUT SAMBOL,W/COCONUT OIL</t>
  </si>
  <si>
    <t>https://fdc.nal.usda.gov/fdc-app.html#/food-details/2345652/portions</t>
  </si>
  <si>
    <t>Wayamba Food Data/REMAKE-PortionConversionTableTemplate1/TREACLE, COCONUT</t>
  </si>
  <si>
    <t>https://fdc.nal.usda.gov/fdc-app.html#/food-details/2345843/portions</t>
  </si>
  <si>
    <t>https://fdc.nal.usda.gov/fdc-app.html#/food-details/2345841/portions</t>
  </si>
  <si>
    <t>Wayamba Food Data/REMAKE-PortionConversionTableTemplate1/FISH,MALDIVE,SAMBOL</t>
  </si>
  <si>
    <t>Wayamba Food Data/REMAKE-PortionConversionTableTemplate1/BITTER GOURD,SAMBOL,W/COCONUT OIL</t>
  </si>
  <si>
    <t>Assumed equal to 8 tbsp bitter gourd sambol</t>
  </si>
  <si>
    <t>Assumed equal to bitter gourd sambol</t>
  </si>
  <si>
    <t>Assumed equal to 4 tbsp bitter gourd sambol</t>
  </si>
  <si>
    <t>Assumed equal to 0.5 tbsp bitter gourd sambol</t>
  </si>
  <si>
    <t>https://fdc.nal.usda.gov/fdc-app.html#/food-details/2345538/portions</t>
  </si>
  <si>
    <t>Wayamba Food Data/REMAKE-PortionConversionTableTemplate1/CAPSICUM,CURRY,W/ COCONUT MILK</t>
  </si>
  <si>
    <t>https://fdc.nal.usda.gov/fdc-app.html#/food-details/2345234/portions</t>
  </si>
  <si>
    <t>Assumed equal to capsicum curry w/ coconut milk</t>
  </si>
  <si>
    <t>Assumed equal to brinjal w/ coconut oil</t>
  </si>
  <si>
    <t>Assumed equal to brinjal curry w/ coconut milk</t>
  </si>
  <si>
    <t>TURKEY BERRY (THIBBATU), TEMPERED</t>
  </si>
  <si>
    <t xml:space="preserve">Wayamba Food Data/REMAKE-PortionConversionTableTemplate1/TIBBATU,W/COCONUT SCRAPED </t>
  </si>
  <si>
    <t>Assumed equal to 1 tbsp tibbatu w/ scraped coconut</t>
  </si>
  <si>
    <t>TURKEY BERRY (THIBBATU), TEMPERED, W/ SCRAPED COCONUT</t>
  </si>
  <si>
    <t>Assumed equal to 0.5 tbsp tibbatu w/ scraped coconut</t>
  </si>
  <si>
    <t>Assumed equal to 8 tbsp tibbatu w/ scraped coconut</t>
  </si>
  <si>
    <t>Assumed equal to 4 tbsp beans w/ coconut oil</t>
  </si>
  <si>
    <t>Assumed equal to 1 tbsp beans curry w/ coconut milk</t>
  </si>
  <si>
    <t>Wayamba Food Data/REMAKE-PortionConversionTableTemplate1/LADIES FINGERS,W/COCONUT OIL</t>
  </si>
  <si>
    <t>Assumed equal to 4 tbsp ladies fingers curry w/ coconut milk</t>
  </si>
  <si>
    <t>Assumed equal to winged beans w/ scraped coconut and coconut oil</t>
  </si>
  <si>
    <t>Wayamba Food Data/REMAKE-PortionConversionTableTemplate1/WINGEDBEAN,CURRY,W/COCONUT MILK</t>
  </si>
  <si>
    <t>Wayamba Food Data/REMAKE-PortionConversionTableTemplate1/LONG BEANS,W/COCONUT OIL</t>
  </si>
  <si>
    <t>Assumed equal to long beans w/ coconut oil</t>
  </si>
  <si>
    <t>Assumed equal to 4 tbsp long beans w/ coconut oil</t>
  </si>
  <si>
    <t>https://fdc.nal.usda.gov/fdc-app.html#/food-details/2341861/portions</t>
  </si>
  <si>
    <t>Assumed heaping factor of 1.25</t>
  </si>
  <si>
    <t>Assumed equal to water</t>
  </si>
  <si>
    <t>https://fdc.nal.usda.gov/fdc-app.html#/food-details/2346126/portions</t>
  </si>
  <si>
    <t>Assumed equal to tea cup</t>
  </si>
  <si>
    <t xml:space="preserve">Assumed equal to small </t>
  </si>
  <si>
    <t>science</t>
  </si>
  <si>
    <t>https://fdc.nal.usda.gov/fdc-app.html#/food-details/2342226/portions</t>
  </si>
  <si>
    <t>https://fdc.nal.usda.gov/fdc-app.html#/food-details/2344436/portions</t>
  </si>
  <si>
    <t>Wayamba Food Data/REMAKE-PortionConversionTableTemplate1/MARGARINE,ASTRA</t>
  </si>
  <si>
    <t>https://fdc.nal.usda.gov/fdc-app.html#/food-details/2345707/portions</t>
  </si>
  <si>
    <t>1 fresh pepper = 15g; water content is 89.9 percent, so dried chili = 15 * 0.11</t>
  </si>
  <si>
    <t>1 cup fresh pepper = 150; water content is 89.9 percent, so 1mL dried chili = (150/237)* 0.11</t>
  </si>
  <si>
    <t>https://fdc.nal.usda.gov/fdc-app.html#/food-details/2345501/portions</t>
  </si>
  <si>
    <t>https://fdc.nal.usda.gov/fdc-app.html#/food-details/2342624/portions</t>
  </si>
  <si>
    <t>Wayamba Food Data/REMAKE-PortionConversionTableTemplate1/TOMATOES,SALAD</t>
  </si>
  <si>
    <t>Wayamba Food Data/REMAKE-PortionConversionTableTemplate1/CUCUMBER ,SALAD</t>
  </si>
  <si>
    <t>Wayamba Food Data/REMAKE-PortionConversionTableTemplate1/VEGETABLE SALAD</t>
  </si>
  <si>
    <t>Wayamba Food Data/REMAKE-PortionConversionTableTemplate1/CARROT,BEET,SALAD</t>
  </si>
  <si>
    <t>Assumed equal to large</t>
  </si>
  <si>
    <t>Assumed equal to medium</t>
  </si>
  <si>
    <t>Assumed equal to small</t>
  </si>
  <si>
    <t>Assumed equal to 0.5 small</t>
  </si>
  <si>
    <t>Assumed equal to 2 small</t>
  </si>
  <si>
    <t>Assumed equal to 2 large</t>
  </si>
  <si>
    <t>Assumed equal to 4 small</t>
  </si>
  <si>
    <t>Assumed equal to 8 small</t>
  </si>
  <si>
    <t>Assumed to equal 8 tbsp</t>
  </si>
  <si>
    <t>Assumed to equal medium coconut spoon</t>
  </si>
  <si>
    <t>Assumed to equal small slice</t>
  </si>
  <si>
    <t>Assumed to equal 1 tbsp</t>
  </si>
  <si>
    <t>Assumed to equal large coconut spoon</t>
  </si>
  <si>
    <t>Assumed equal to 6 tbsp</t>
  </si>
  <si>
    <t>YEAST EXTRACT</t>
  </si>
  <si>
    <t>MANILA TAMARIND, RAW</t>
  </si>
  <si>
    <t>SEA FISH, LARGE, NFS, FRESH, BOILED, W/ COCONUT MILK</t>
  </si>
  <si>
    <t>MURAL (HALFBEAK), FRESH, BOILED, W/ COCONUT MILK</t>
  </si>
  <si>
    <t>RIVER FISH, LARGE, NFS, FRESH, BOILED, W/ COCONUT MILK</t>
  </si>
  <si>
    <t>FISH, LARGE, NFS, DRIED, TEMPERED</t>
  </si>
  <si>
    <t>ASIAN SEA BASS, FRESH, BOILED, W/ COCONUT MILK</t>
  </si>
  <si>
    <t>SEA FISH, LARGE, NFS, FRESH, BOILED</t>
  </si>
  <si>
    <t>AVELEMEEN (MULLET), FRESH, BOILED, W/ COCONUT MILK</t>
  </si>
  <si>
    <t>FISH, LARGE, NFS, DRIED, W/ COCONUT MILK</t>
  </si>
  <si>
    <t>FISH, LARGE, NFS, DRIED, FRIED</t>
  </si>
  <si>
    <t>FISH, LARGE, NFS, FRESH, TEMPERED, W/ COCONUT MILK</t>
  </si>
  <si>
    <t>FISH, LARGE, NFS, FRESH, TEMPERED</t>
  </si>
  <si>
    <t>FISH, LARGE, NFS, FRESH, FRIED</t>
  </si>
  <si>
    <t>FISH, LARGE, NFS, FRESH, COOK METHOD NFS</t>
  </si>
  <si>
    <t>FISH, NFS, DRIED, FRIED</t>
  </si>
  <si>
    <t>FISH, NFS, DRIED, W/ COCONUT MILK</t>
  </si>
  <si>
    <t>FISH, NFS, DRIED, COOK METHOD NFS</t>
  </si>
  <si>
    <t>FISH, NFS, FRESH, BOILED</t>
  </si>
  <si>
    <t>FISH, NFS, FRESH, FRIED</t>
  </si>
  <si>
    <t>FISH, NFS, FRESH, TEMPERED</t>
  </si>
  <si>
    <t>FISH, NFS, FRESH, W/ COCONUT MILK</t>
  </si>
  <si>
    <t>FISH, NFS, FRESH, TEMPERED, W/ COCONUT MILK</t>
  </si>
  <si>
    <t>FISH, NFS, FRESH, COOK METHOD NFS</t>
  </si>
  <si>
    <t>FISH, SMALL, NFS, FRESH, BOILED</t>
  </si>
  <si>
    <t>FISH, SMALL, NFS, FRESH, FRIED</t>
  </si>
  <si>
    <t>FISH, SMALL, NFS, DRIED, MALLUM, TEMPERED, W/ SCRAPED COCONUT</t>
  </si>
  <si>
    <t>FISH, SMALL, NFS, FRESH, W/ COCONUT MILK</t>
  </si>
  <si>
    <t>FISH, SMALL, NFS, FRESH, COOK METHOD NFS</t>
  </si>
  <si>
    <t>CUTTLEFISH, FRESH, TEMPERED, W/ COCONUT MILK</t>
  </si>
  <si>
    <t>SQUID, FRESH, TEMPERED, W/ COCONUT MILK</t>
  </si>
  <si>
    <t>PALMYRA FRUIT, JELLY SEEDS, RAW</t>
  </si>
  <si>
    <t>AMBARELLA, RAW</t>
  </si>
  <si>
    <t>RAMONTCHI</t>
  </si>
  <si>
    <t>CHICK PEAS, SALAD</t>
  </si>
  <si>
    <t>CHICK PEAS, BOILED, W/ SCRAPED COCONUT &amp; SUGAR</t>
  </si>
  <si>
    <t>BLACK GRAM, WHOLE, BOILED &amp; TEMPERED</t>
  </si>
  <si>
    <t>RED LENTILS AND RADDISH, BOILED, W/ COCONUT MILK</t>
  </si>
  <si>
    <t>RED LENTILS AND POTATO, BOILED &amp; TEMPERED</t>
  </si>
  <si>
    <t>RED LENTILS AND CARROTS, BOILED, W/ COCONUT MILK</t>
  </si>
  <si>
    <t>JACK FRUIT SEEDS AND VEGETABLE, NFS, W/ COCONUT MILK</t>
  </si>
  <si>
    <t>JACK FRUIT SEEDS AND VEGETABLE, NFS, TEMPERED</t>
  </si>
  <si>
    <t>LEGUME MALLUM, NFS, W/ SCRAPED COCONUT</t>
  </si>
  <si>
    <t>LEGUME MALLUM, NFS, TEMPERED, W/ SCRAPED COCONUT</t>
  </si>
  <si>
    <t>LEGUMES AND LEAFY GREENS, NFS, W/ COCONUT MILK</t>
  </si>
  <si>
    <t>LEGUMES AND VEGETABLE, NFS, TEMPERED</t>
  </si>
  <si>
    <t>LEGUMES AND VEGETABLE, NFS, TEMPERED, W/ COCONUT MILK</t>
  </si>
  <si>
    <t>LEGUMES AND VEGETABLE, NFS, W/ COCONUT MILK</t>
  </si>
  <si>
    <t>LEGUMES AND WHITE ROOT/TUBER, NFS, W/ COCONUT MILK</t>
  </si>
  <si>
    <t>LEGUMES, NFS, AND DRIED FISH, NFS, TEMPERED</t>
  </si>
  <si>
    <t>LEGUMES, NFS, AND DRIED FISH, NFS, LIGHT TEMPERED, W/ COCONUT MILK</t>
  </si>
  <si>
    <t>VEAL, DEEP-FRIED</t>
  </si>
  <si>
    <t>BEEF AND VEGETABLE, NFS, LIGHT TEMPERED, W/ COCONUT MILK</t>
  </si>
  <si>
    <t>GAME MEAT, NFS, TEMPERED</t>
  </si>
  <si>
    <t>GAME MEAT, NFS, TEMPERED, W/ COCONUT MILK</t>
  </si>
  <si>
    <t>GAME MEAT, NFS, W/ COCONUT MILK</t>
  </si>
  <si>
    <t>SHEEP MEAT, TEMPERED</t>
  </si>
  <si>
    <t>FRUIT FLAVORED MILK DRINK</t>
  </si>
  <si>
    <t>MILK, LOW FAT, FRESH OR UHT</t>
  </si>
  <si>
    <t>CASHEW NUTS, DRIED</t>
  </si>
  <si>
    <t>SWEET FRIED BREAD (WHEAT FLOUR)</t>
  </si>
  <si>
    <t>TURKEY BERRY (THIBBATU) AND LEAFY GREENS, NFS, TEMPERED</t>
  </si>
  <si>
    <t>DRUMSTICKS, BOILED</t>
  </si>
  <si>
    <t>PAPAYA MALLUM, W/ SCRAPED COCONUT</t>
  </si>
  <si>
    <t>MANGO, SEMI-RIPE, BOILED CURRY</t>
  </si>
  <si>
    <t>MANGO, SEMI-RIPE, BOILED CURRY, W/ COCONUT MILK</t>
  </si>
  <si>
    <t>MANGO, SEMI-RIPE, BOILED and TEMPERED CURRY</t>
  </si>
  <si>
    <t>BITTER GOURD AND DRIED FISH, TEMPERED</t>
  </si>
  <si>
    <t>BITTER GOURD, TEMPERED &amp; BOILED, W/ COCONUT MILK</t>
  </si>
  <si>
    <t>SPINY GOURD, TEMPERED</t>
  </si>
  <si>
    <t>SPINY GOURD, TEMPERED, W/ COCONUT MILK</t>
  </si>
  <si>
    <t>GOURD MALLUM, NFS, TEMPERED, W/ SCRAPED COCONUT</t>
  </si>
  <si>
    <t>PUMPKIN, TEMPERED</t>
  </si>
  <si>
    <t>SPINACH, FRESH OR WATER-COOKED MALLUM W/ SCRAPED COCONUT</t>
  </si>
  <si>
    <t>TURNIP LEAVES, TEMPERED</t>
  </si>
  <si>
    <t>DRUMSTICK LEAVES, BOILED</t>
  </si>
  <si>
    <t>GOTUKOLA, TEMPERED</t>
  </si>
  <si>
    <t>LEAVES, NFS, BOILED, W/ COCONUT MILK</t>
  </si>
  <si>
    <t>LEAVES, NFS, FRESH OR WATER-COOKED MALLUM, W/ SCRAPED COCONUT</t>
  </si>
  <si>
    <t>LEAVES, NFS, TEMPERED</t>
  </si>
  <si>
    <t>LEAVES, NFS, TEMPERED MALLUM, W/ SCRAPED COCONUT</t>
  </si>
  <si>
    <t>CARROT AND LEEK, BOILED &amp; TEMPERED, W/ COCONUT MILK</t>
  </si>
  <si>
    <t>RADISH, TEMPERED</t>
  </si>
  <si>
    <t>PURPLE YAM, W/ COCONUT MILK</t>
  </si>
  <si>
    <t>PURPLE YAM, BOILED</t>
  </si>
  <si>
    <t>STARCHY WHITE ROOT/TUBER AND VEGETABLE, NFS, TEMPERED</t>
  </si>
  <si>
    <t>STARCHY WHITE ROOT/TUBER AND VEGETABLE, NFS, TEMPERED, W/ COCONUT MILK</t>
  </si>
  <si>
    <t>STARCHY WHITE ROOT/TUBER AND VEGETABLE, NFS, W/ COCONUT MILK</t>
  </si>
  <si>
    <t>VEGETABLE, NFS, TEMPERED</t>
  </si>
  <si>
    <t>VEGETABLE, NFS, BOILED W/ COCONUT MILK</t>
  </si>
  <si>
    <t>VEGETABLE, NFS, TEMPERED, W/ SCRAPED COCONUT</t>
  </si>
  <si>
    <t>VEGETABLE SOUP</t>
  </si>
  <si>
    <t>VEGETABLE, NFS, AND DRIED FISH MALLUM, LIGHT TEMPERED, W/ SCRAPED COCONUT</t>
  </si>
  <si>
    <t>VEGETABLE, NFS, AND DRIED FISH, SMALL, TEMPERED</t>
  </si>
  <si>
    <t>VEGETABLE, NFS, AND DRIED FISH, SMALL, W/ COCONUT MILK</t>
  </si>
  <si>
    <t>VEGETABLE, NFS, AND DRIED FISH, NFS, TEMPERED</t>
  </si>
  <si>
    <t>VEGETABLE, NFS, AND DRIED FISH, NFS, TEMPERED, W/ COCONUT MILK</t>
  </si>
  <si>
    <t>VEGETABLE, NFS, AND DRIED FISH, NFS, W/ COCONUT MILK</t>
  </si>
  <si>
    <t>LEAFY GREENS, NFS, AND DRIED FISH, NFS, TEMPERED</t>
  </si>
  <si>
    <t>STARCHY WHITE ROOT, NFS, AND DRIED FISH, NFS, TEMPERED</t>
  </si>
  <si>
    <t>STARCHY WHITE ROOT, NFS, AND DRIED FISH, NFS, W/ COCONUT MILK</t>
  </si>
  <si>
    <t/>
  </si>
  <si>
    <t>14</t>
  </si>
  <si>
    <t>Assumed to equal 1 drinking glass</t>
  </si>
  <si>
    <t>Assumed to equal a 4 in square</t>
  </si>
  <si>
    <t>Assumed to equal 3" diameter thin slice</t>
  </si>
  <si>
    <t>Assumed to equal half of a 3" diameter thick slice</t>
  </si>
  <si>
    <t>Assumed to equal full palm size piece</t>
  </si>
  <si>
    <t>Assumed to equal 1/4 palm size piece</t>
  </si>
  <si>
    <t>Assumed to equal thick string hopper</t>
  </si>
  <si>
    <t>https://fdc.nal.usda.gov/fdc-app.html#/food-details/167763/nutrients</t>
  </si>
  <si>
    <t>https://fdc.nal.usda.gov/fdc-app.html#/food-details/1857448/nutrients</t>
  </si>
  <si>
    <t>Assumed to equal 1/4 palm size piece/ 1 tbsp</t>
  </si>
  <si>
    <t>Assumed to equal 4 tbsp</t>
  </si>
  <si>
    <t>Assumed equal small slice</t>
  </si>
  <si>
    <t>Assumed equal to 8 medium</t>
  </si>
  <si>
    <t>Assumed equal to 1/2 palm size piece</t>
  </si>
  <si>
    <t>http://drr.vau.ac.lk/bitstream/handle/123456789/523/Design%2C%20Development%20and%20Performance%20Evaluation%20of%20an%20Abrasion%20Peeling%20Machine%20for%20Ambarella%20%28Spondias%20dulcis%29%20fruits.pdf</t>
  </si>
  <si>
    <t>Wayamba Food Data/REMAKE-PortionConversionTableTemplate1/CEYLON OLIVES</t>
  </si>
  <si>
    <t>Wayamba Food Data/REMAKE-PortionConversionTableTemplate1/PASSION FRUIT</t>
  </si>
  <si>
    <t>FAO Food Density Database</t>
  </si>
  <si>
    <t>Wayamba Food Data/REMAKE-PortionConversionTableTemplate1</t>
  </si>
  <si>
    <t>Average of ambarella, bitter gourd, jak</t>
  </si>
  <si>
    <t>Average of salads and tempered vegetables</t>
  </si>
  <si>
    <t>Assumed a heaping factor of 1.25</t>
  </si>
  <si>
    <t>Estimated from measurements taken during CAJ Tanzania study</t>
  </si>
  <si>
    <t>Assumed 1" cube</t>
  </si>
  <si>
    <t>Assumed standard 3.5 oz bar</t>
  </si>
  <si>
    <t>Assumed 1 oz</t>
  </si>
  <si>
    <t>Assumed 2 oz</t>
  </si>
  <si>
    <t>Assumed equal to 1 almond</t>
  </si>
  <si>
    <t>Assumed heaping factor 2x</t>
  </si>
  <si>
    <t>https://fdc.nal.usda.gov/fdc-app.html#/food-details/171275/nutrients</t>
  </si>
  <si>
    <t>FAO Food Density Database/Mac and cheese</t>
  </si>
  <si>
    <t>FAO Food Density Database/Averaged rice+beans and milk</t>
  </si>
  <si>
    <t>FAO Food Density Database/Breakfast cereal, type rice krispies</t>
  </si>
  <si>
    <t>FAO Food Density Database/Averaged Breakfast cereal, type rice krispies + Breakfast cereal, type frosted flakes</t>
  </si>
  <si>
    <t>https://www.researchgate.net/publication/222784800_Physical_and_Thermal_Properties_of_Ground_Beef_During_Cooking#:~:text=The%20density%20was%20measured%20to,capacities%20than%20the%20holding%20time.</t>
  </si>
  <si>
    <t>Assumed 2 cm thickness</t>
  </si>
  <si>
    <t>Assumed equal to 1 oz</t>
  </si>
  <si>
    <t>Assumed 1.5 cm thick</t>
  </si>
  <si>
    <t>http://csef.usc.edu/History/2005/Projects/J0513.pdf</t>
  </si>
  <si>
    <t>https://www.scirp.org/journal/paperinformation.aspx?paperid=70218</t>
  </si>
  <si>
    <t>Estimated from CAJ Tanzania study measurements</t>
  </si>
  <si>
    <t>FAO Food Density Database/Beef stew, canned</t>
  </si>
  <si>
    <t>https://fdc.nal.usda.gov/fdc-app.html#/food-details/169339/nutrients</t>
  </si>
  <si>
    <t>FAO Food Density Database/Stew, potato + beans + vegetable</t>
  </si>
  <si>
    <t>FAO Food Density Database/Potato chips, pringles</t>
  </si>
  <si>
    <t>FAO Food Density Database/Snacks, puffed, lowfat</t>
  </si>
  <si>
    <t>Assumed equal to 1/2 large coconut sppon</t>
  </si>
  <si>
    <t>Assumed to equal a 1/4 palm size piece</t>
  </si>
  <si>
    <t>Assumed equal to 1/2 standard piece of pancake roll</t>
  </si>
  <si>
    <t>Assumed equal to a full palm size piece</t>
  </si>
  <si>
    <t>Assumed equal to 1/3 cup</t>
  </si>
  <si>
    <t>Average of leaves with scraped coconut</t>
  </si>
  <si>
    <t>Average of leaves with coconut oil</t>
  </si>
  <si>
    <t>Estimated from measurements taken during CAJ Tanzania study; consistent with scarce Wayamba data</t>
  </si>
  <si>
    <t>https://www.fao.org/3/ap815e/ap815e.pdf</t>
  </si>
  <si>
    <t>Assumed average of tbsp and medium coconut spoon</t>
  </si>
  <si>
    <t>Averaged turkey berry, tempered + leafy greens, tempered</t>
  </si>
  <si>
    <t>Assumed equal to 1/2 medium coconut spoon</t>
  </si>
  <si>
    <t>https://fdc.nal.usda.gov/fdc-app.html#/food-details/2447458/nutrients</t>
  </si>
  <si>
    <t>FAO Food Density Database/Stew, potato</t>
  </si>
  <si>
    <t>FAO Food Density Database/Stew, vegetable + potato</t>
  </si>
  <si>
    <t>FAO Food Density Database/Stew, beans/ peas + vegetables</t>
  </si>
  <si>
    <t>https://www.aqua-calc.com/calculate/food-volume-to-weight/substance/vegetable-blank-curry</t>
  </si>
  <si>
    <t>Averaged cassava, ash plantain, jackfruit, breadfruit</t>
  </si>
  <si>
    <t>Wayamba Food Data/REMAKE-PortionConversionTableTemplate1/ONION,W/COCONUT OIL</t>
  </si>
  <si>
    <t>Average of boiled and tempered vegetables</t>
  </si>
  <si>
    <t>https://www.aqua-calc.com/calculate/food-weight-to-volume/substance/herb-blank-roasted-blank-potatoes-coma-and-blank-upc-column--blank-011110111487</t>
  </si>
  <si>
    <t>Tea cup assumed equal to 6.0 ounces (177.5 ml).</t>
  </si>
  <si>
    <t>Column headers from 'Portion size conversions' sheet</t>
  </si>
  <si>
    <t>Definition</t>
  </si>
  <si>
    <t>Food item identification code from the tablet 24-hour recall.  See srilankafoods.xlsx as primary reference.</t>
  </si>
  <si>
    <t>Food item description from the tablet 24-hour recall.  See srilankafoods.xlsx as primary reference.</t>
  </si>
  <si>
    <t>Utensil, piece size or other unit of measurement used to report the portion in the tablet 24-hour recall.  See srilankafoods.xlsx and form definition as primary references</t>
  </si>
  <si>
    <t>Grams per mL for the drfoodlistcode.  Used for some foods to obtain the conversion factor.</t>
  </si>
  <si>
    <t>Conversion factor.  Grams per portion unit for the combination of drfoodlistcode and drportionunit.  Used in data processing to estimate portion consumed in grams.</t>
  </si>
  <si>
    <t>Assumed volume (mL) of drportionunit used in obtaining the conversion factor.  Based primarily on Wayamba local utensil data.</t>
  </si>
  <si>
    <t>Piece weight (g) of items for which conversion factor was estimated by discrete pieces.</t>
  </si>
  <si>
    <t>Conversion source.  Source of data used to obtain conversion factor.</t>
  </si>
  <si>
    <t>Notes on assumptions or adjustments used to obtain conversion factor.</t>
  </si>
  <si>
    <t>Assumed to equal 6 tbsp</t>
  </si>
  <si>
    <t>MALDIVES FISH, DRY</t>
  </si>
  <si>
    <t>https://www.ebay.com/itm/204213209433?_trkparms=amclksrc%3DITM%26aid%3D1110006%26algo%3DHOMESPLICE.SIM%26ao%3D1%26asc%3D250318%26meid%3D32749da8cc8b4d2aae0ac3ace1445467%26pid%3D101195%26rk%3D3%26rkt%3D12%26sd%3D155494299769%26itm%3D204213209433%26pmt%3D1%26noa%3D0%26pg%3D2047675%26algv%3DSimplAMLv11WebTrimmedV3MskuWithGreedyAllKnnRecallsAndCassiniVisualRankerWithIsoCalib%26brand%3DUnbranded&amp;_trksid=p2047675.c101195.m1851&amp;amdata=cksum%3A20421320943332749da8cc8b4d2aae0ac3ace1445467%7Cenc%3AAQAIAAABMK6rTUJOntHw7vMLLLDbL6p8zeUP6C4XOeyNchQZF8EXO%252BRfxbshaufWAglNaihumbrJ6dF0yHaS5lUPSbUjY0%252BZSjmwE7AFeiluMty99ChbaggYFHsYHraove0KDowfXW9WiZ0bR6ULacA2QVy6npOjfFuYDhQmpWVnSbsXBxJXbkGzDt0mX5WtCWz7n49ZPyCQdrnEa70K2OuTrXkSu1AaPwRc6LxowHCFAtEaXUwOL9pSKXHrvcXJsDxsB3pRcA%252FAAy%252FA5riQx3ATuDTX7YYCjzysJThuQqnt9o0fcu1iLZZx%252BHH1YJ4yGb8QNSQO6RhY88GFxjTcKSDRn4q7lXefs3QKYMo75zRKsJD%252B5aBXQpeWOpHbRUIqEx2sv2%252FTKM%252FbOMu7Ter%252F%252ByIlhSjCjDc%253D%7Campid%3APL_CLK%7Cclp%3A2047675</t>
  </si>
  <si>
    <t>COCONUT WATER, BOTTLED, SWEETENED</t>
  </si>
  <si>
    <t>COOLING DRINK,CHINESE,INFUSION</t>
  </si>
  <si>
    <t>PRAWN &amp; POTATO, BOILED, W/ COCONUT MILK</t>
  </si>
  <si>
    <t>MANDARIN</t>
  </si>
  <si>
    <t>CEYLON OLIVE, FRESH</t>
  </si>
  <si>
    <t>PIGEON PEAS, SPLIT, BOILED &amp; TEMPERED, W/ COCONUT MILK</t>
  </si>
  <si>
    <t>BLACK GRAM, WHOLE, BOILED</t>
  </si>
  <si>
    <t>RICE PORRIDGE W/ CARROTS &amp; LEEKS</t>
  </si>
  <si>
    <t>CRISPS, POTATO</t>
  </si>
  <si>
    <t>BITTER GOURD, BOILED CURRY</t>
  </si>
  <si>
    <t>LEMON OR LIME JUICE,FRESH, W/ WATER (NO SWEETENER)</t>
  </si>
  <si>
    <t>DRIED PALMYRA SPROUTS</t>
  </si>
  <si>
    <t>SUNFLOWER SEEDS, DRY</t>
  </si>
  <si>
    <t>COFFEE FLAVORED MILK DRINK</t>
  </si>
  <si>
    <t>MANGOSTEEN, RAW</t>
  </si>
  <si>
    <t>Assumed equal to 9 1/4 palm sized pieces/ 9 tbsp</t>
  </si>
  <si>
    <t>30% edible yield: https://gms.ctahr.hawaii.edu/gs/handler/getmedia.ashx?moid=3071&amp;dt=2&amp;g=12</t>
  </si>
  <si>
    <t>https://medcraveonline.com/HIJ/thinning-intensities-to-increase-the-size-and-weight-of-mangosteen-fruits-garcinia-mangostana-l.html</t>
  </si>
  <si>
    <t>Assumed equal to 1.5 full palm size pieces</t>
  </si>
  <si>
    <t>Assumed equal to full palm size pieces</t>
  </si>
  <si>
    <t>Dried yield = 0.545 of raw weight: http://www.ijirset.com/upload/2021/march/127_NUTRITIONAL_NC.pdf</t>
  </si>
  <si>
    <t>1 piece = 50 g, assumed to equal large coconut serving spoon: https://aarogyamastu.in/product/organically-grown-palmyra-tuber-palmyra-sprout-5-pieces/</t>
  </si>
  <si>
    <t>Assumed to equal 2/3 of large coconut serving spoon</t>
  </si>
  <si>
    <t>Version date 14 May 2024</t>
  </si>
  <si>
    <t>Portion conversion estimation table for R5N study in Sri Lanka</t>
  </si>
  <si>
    <r>
      <t>Developed by Mia Zhong,</t>
    </r>
    <r>
      <rPr>
        <vertAlign val="superscript"/>
        <sz val="11"/>
        <color theme="1"/>
        <rFont val="Arial"/>
        <family val="2"/>
        <scheme val="minor"/>
      </rPr>
      <t>1</t>
    </r>
    <r>
      <rPr>
        <sz val="11"/>
        <color rgb="FF000000"/>
        <rFont val="Arial"/>
        <family val="2"/>
        <scheme val="minor"/>
      </rPr>
      <t xml:space="preserve"> and Caroline Joyce,</t>
    </r>
    <r>
      <rPr>
        <vertAlign val="superscript"/>
        <sz val="11"/>
        <color rgb="FF000000"/>
        <rFont val="Arial"/>
        <family val="2"/>
        <scheme val="minor"/>
      </rPr>
      <t>1</t>
    </r>
    <r>
      <rPr>
        <sz val="11"/>
        <color rgb="FF000000"/>
        <rFont val="Arial"/>
        <family val="2"/>
        <scheme val="minor"/>
      </rPr>
      <t xml:space="preserve"> with input from Bess Caswell, PhD</t>
    </r>
    <r>
      <rPr>
        <vertAlign val="superscript"/>
        <sz val="11"/>
        <color theme="1"/>
        <rFont val="Arial"/>
        <family val="2"/>
        <scheme val="minor"/>
      </rPr>
      <t>2</t>
    </r>
    <r>
      <rPr>
        <sz val="11"/>
        <color rgb="FF000000"/>
        <rFont val="Arial"/>
        <family val="2"/>
        <scheme val="minor"/>
      </rPr>
      <t xml:space="preserve">
</t>
    </r>
    <r>
      <rPr>
        <vertAlign val="superscript"/>
        <sz val="11"/>
        <color theme="1"/>
        <rFont val="Arial"/>
        <family val="2"/>
        <scheme val="minor"/>
      </rPr>
      <t xml:space="preserve">1 </t>
    </r>
    <r>
      <rPr>
        <sz val="11"/>
        <color rgb="FF000000"/>
        <rFont val="Arial"/>
        <family val="2"/>
        <scheme val="minor"/>
      </rPr>
      <t xml:space="preserve">University of California, Davis
</t>
    </r>
    <r>
      <rPr>
        <vertAlign val="superscript"/>
        <sz val="11"/>
        <color theme="1"/>
        <rFont val="Arial"/>
        <family val="2"/>
        <scheme val="minor"/>
      </rPr>
      <t xml:space="preserve">2 </t>
    </r>
    <r>
      <rPr>
        <sz val="11"/>
        <color rgb="FF000000"/>
        <rFont val="Arial"/>
        <family val="2"/>
        <scheme val="minor"/>
      </rPr>
      <t>USDA Agricultural Research Service</t>
    </r>
  </si>
  <si>
    <t>- Contains factors for converting to grams amounts consumed as reported by study participants in the R5N program evaluation, conducted in five districts of Sri Lanka, 2020 - 2024
- Links to phone-based 24-hour dietary recal used in the R5N program evaluation</t>
  </si>
  <si>
    <t>Other URLs</t>
  </si>
  <si>
    <t>Other online sources for portion conversion estimates are listed by the full URL in the "convsource" column.  Access dates 2021 - 2023</t>
  </si>
  <si>
    <t>Wayamba Food Data</t>
  </si>
  <si>
    <t>Previously unpublished data compiled by Wayamba University of Sri Lanka, primarily through weighing of local samples</t>
  </si>
  <si>
    <t>Charrondiere UR, Haytowitz D, Stadlmayr B (2012).  FAO/INFOODS Density Database Version 2.0 (2012). Food and Agriculture Organization of the United Nations (FAO).</t>
  </si>
  <si>
    <t>U.S. Department of Agriculture, Agricultural Research Service, Beltsville Human Nutrition Research Center. FoodData Central. https://fdc.nal.usda.gov/.</t>
  </si>
  <si>
    <t>https://fdc.nal.usda.gov</t>
  </si>
  <si>
    <t>Conversion Sources, as indicated in the 'convsource' column in the Portion size conversions sheet: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</si>
</sst>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1"/>
      <name val="Calibri"/>
      <family val="2"/>
    </font>
    <font>
      <u/>
      <sz val="11"/>
      <color theme="10"/>
      <name val="Calibri"/>
      <family val="2"/>
    </font>
    <font>
      <sz val="11"/>
      <color rgb="FF202124"/>
      <name val="Calibri"/>
      <family val="2"/>
    </font>
    <font>
      <sz val="11"/>
      <color rgb="FF040C28"/>
      <name val="Calibri"/>
      <family val="2"/>
    </font>
    <font>
      <b/>
      <sz val="10"/>
      <color rgb="FF000000"/>
      <name val="Arial"/>
      <family val="2"/>
      <scheme val="minor"/>
    </font>
    <font>
      <sz val="11"/>
      <color rgb="FFFF0000"/>
      <name val="Calibri"/>
      <family val="2"/>
    </font>
    <font>
      <sz val="11"/>
      <color rgb="FFFF9999"/>
      <name val="Calibri"/>
      <family val="2"/>
    </font>
    <font>
      <b/>
      <sz val="11"/>
      <color theme="1"/>
      <name val="Arial"/>
      <family val="2"/>
      <scheme val="minor"/>
    </font>
    <font>
      <sz val="14"/>
      <color theme="4"/>
      <name val="Arial"/>
      <family val="2"/>
      <scheme val="minor"/>
    </font>
    <font>
      <sz val="14"/>
      <color theme="1"/>
      <name val="Arial"/>
      <family val="2"/>
      <scheme val="minor"/>
    </font>
    <font>
      <vertAlign val="superscript"/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vertAlign val="superscript"/>
      <sz val="11"/>
      <color rgb="FF000000"/>
      <name val="Arial"/>
      <family val="2"/>
      <scheme val="minor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0" fontId="7" fillId="0" borderId="1"/>
    <xf numFmtId="0" fontId="1" fillId="0" borderId="1"/>
  </cellStyleXfs>
  <cellXfs count="48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" fontId="2" fillId="0" borderId="1" xfId="0" applyNumberFormat="1" applyFont="1" applyBorder="1" applyAlignment="1">
      <alignment horizontal="left"/>
    </xf>
    <xf numFmtId="1" fontId="2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left"/>
    </xf>
    <xf numFmtId="0" fontId="7" fillId="0" borderId="0" xfId="1" applyFont="1" applyFill="1" applyBorder="1" applyAlignment="1">
      <alignment horizontal="left"/>
    </xf>
    <xf numFmtId="0" fontId="8" fillId="0" borderId="0" xfId="1" applyFont="1" applyFill="1" applyBorder="1" applyAlignment="1">
      <alignment horizontal="left"/>
    </xf>
    <xf numFmtId="0" fontId="8" fillId="0" borderId="0" xfId="1" applyFont="1" applyFill="1" applyAlignment="1">
      <alignment horizontal="left"/>
    </xf>
    <xf numFmtId="0" fontId="9" fillId="0" borderId="0" xfId="0" applyFont="1" applyAlignment="1">
      <alignment horizontal="left"/>
    </xf>
    <xf numFmtId="2" fontId="2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left"/>
    </xf>
    <xf numFmtId="0" fontId="2" fillId="3" borderId="0" xfId="0" applyFont="1" applyFill="1" applyAlignment="1">
      <alignment horizontal="left"/>
    </xf>
    <xf numFmtId="2" fontId="2" fillId="0" borderId="0" xfId="0" applyNumberFormat="1" applyFont="1" applyAlignment="1">
      <alignment horizontal="left" vertical="top" shrinkToFit="1"/>
    </xf>
    <xf numFmtId="1" fontId="7" fillId="0" borderId="1" xfId="0" applyNumberFormat="1" applyFont="1" applyBorder="1" applyAlignment="1">
      <alignment horizontal="left"/>
    </xf>
    <xf numFmtId="0" fontId="7" fillId="0" borderId="0" xfId="0" applyFont="1" applyAlignment="1">
      <alignment horizontal="left" vertical="top"/>
    </xf>
    <xf numFmtId="0" fontId="11" fillId="0" borderId="0" xfId="0" applyFont="1"/>
    <xf numFmtId="0" fontId="10" fillId="0" borderId="0" xfId="0" applyFont="1" applyAlignment="1">
      <alignment horizontal="left"/>
    </xf>
    <xf numFmtId="0" fontId="7" fillId="0" borderId="1" xfId="0" applyFont="1" applyBorder="1" applyAlignment="1">
      <alignment horizontal="left"/>
    </xf>
    <xf numFmtId="1" fontId="7" fillId="0" borderId="0" xfId="0" applyNumberFormat="1" applyFont="1" applyAlignment="1">
      <alignment horizontal="left"/>
    </xf>
    <xf numFmtId="2" fontId="7" fillId="0" borderId="0" xfId="0" applyNumberFormat="1" applyFont="1" applyAlignment="1">
      <alignment horizontal="left"/>
    </xf>
    <xf numFmtId="164" fontId="7" fillId="0" borderId="0" xfId="0" applyNumberFormat="1" applyFont="1" applyAlignment="1">
      <alignment horizontal="left"/>
    </xf>
    <xf numFmtId="1" fontId="7" fillId="0" borderId="1" xfId="2" applyNumberFormat="1" applyAlignment="1">
      <alignment horizontal="left"/>
    </xf>
    <xf numFmtId="0" fontId="7" fillId="0" borderId="0" xfId="2" applyBorder="1" applyAlignment="1">
      <alignment horizontal="left"/>
    </xf>
    <xf numFmtId="1" fontId="7" fillId="0" borderId="0" xfId="2" applyNumberFormat="1" applyBorder="1" applyAlignment="1">
      <alignment horizontal="left"/>
    </xf>
    <xf numFmtId="0" fontId="7" fillId="0" borderId="1" xfId="2" applyAlignment="1">
      <alignment horizontal="left"/>
    </xf>
    <xf numFmtId="0" fontId="12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3" fillId="0" borderId="0" xfId="0" applyFont="1" applyAlignment="1">
      <alignment horizontal="left"/>
    </xf>
    <xf numFmtId="0" fontId="7" fillId="2" borderId="0" xfId="0" applyFont="1" applyFill="1" applyAlignment="1">
      <alignment horizontal="left"/>
    </xf>
    <xf numFmtId="1" fontId="2" fillId="2" borderId="0" xfId="0" applyNumberFormat="1" applyFont="1" applyFill="1" applyAlignment="1">
      <alignment horizontal="left"/>
    </xf>
    <xf numFmtId="0" fontId="6" fillId="0" borderId="0" xfId="1" applyAlignment="1">
      <alignment horizontal="left"/>
    </xf>
    <xf numFmtId="0" fontId="15" fillId="0" borderId="1" xfId="3" applyFont="1" applyAlignment="1">
      <alignment vertical="center"/>
    </xf>
    <xf numFmtId="0" fontId="1" fillId="0" borderId="1" xfId="3" applyAlignment="1">
      <alignment vertical="center"/>
    </xf>
    <xf numFmtId="0" fontId="16" fillId="0" borderId="1" xfId="3" applyFont="1" applyAlignment="1">
      <alignment horizontal="center" vertical="center"/>
    </xf>
    <xf numFmtId="0" fontId="1" fillId="0" borderId="1" xfId="3" quotePrefix="1" applyAlignment="1">
      <alignment horizontal="left" vertical="center" wrapText="1"/>
    </xf>
    <xf numFmtId="0" fontId="14" fillId="0" borderId="1" xfId="3" applyFont="1" applyAlignment="1">
      <alignment vertical="center"/>
    </xf>
    <xf numFmtId="0" fontId="1" fillId="0" borderId="1" xfId="3" applyFont="1" applyAlignment="1">
      <alignment horizontal="left" vertical="center" wrapText="1"/>
    </xf>
    <xf numFmtId="0" fontId="11" fillId="0" borderId="0" xfId="0" applyFont="1" applyAlignment="1">
      <alignment wrapText="1"/>
    </xf>
    <xf numFmtId="0" fontId="2" fillId="0" borderId="2" xfId="0" applyFont="1" applyBorder="1" applyAlignment="1">
      <alignment horizontal="left"/>
    </xf>
    <xf numFmtId="0" fontId="5" fillId="0" borderId="2" xfId="0" applyFont="1" applyBorder="1"/>
    <xf numFmtId="0" fontId="7" fillId="0" borderId="2" xfId="0" applyFont="1" applyBorder="1" applyAlignment="1">
      <alignment horizontal="left"/>
    </xf>
    <xf numFmtId="1" fontId="3" fillId="0" borderId="2" xfId="0" applyNumberFormat="1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2" fillId="0" borderId="2" xfId="0" applyFont="1" applyBorder="1"/>
    <xf numFmtId="0" fontId="1" fillId="0" borderId="2" xfId="3" applyBorder="1" applyAlignment="1">
      <alignment vertical="center"/>
    </xf>
  </cellXfs>
  <cellStyles count="4">
    <cellStyle name="Hyperlink" xfId="1" builtinId="8"/>
    <cellStyle name="Normal" xfId="0" builtinId="0"/>
    <cellStyle name="Normal 2" xfId="2" xr:uid="{933FC8E2-70F7-4882-BFA4-A0FBD205C035}"/>
    <cellStyle name="Normal 3" xfId="3" xr:uid="{76F96583-824F-45F6-B15D-E68803E89D50}"/>
  </cellStyles>
  <dxfs count="1">
    <dxf>
      <font>
        <color auto="1"/>
      </font>
      <fill>
        <patternFill>
          <bgColor rgb="FFFF9999"/>
        </patternFill>
      </fill>
    </dxf>
  </dxfs>
  <tableStyles count="0" defaultTableStyle="TableStyleMedium2" defaultPivotStyle="PivotStyleLight16"/>
  <colors>
    <mruColors>
      <color rgb="FFFF9999"/>
      <color rgb="FFCC99FF"/>
      <color rgb="FFD3F1D3"/>
      <color rgb="FFDFF5DF"/>
      <color rgb="FFD5F5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uimin (Mia) Zhong" id="{63ACF799-0883-114A-907B-D14689812C04}" userId="S::miazhong@ucdavis.edu::ed65a52e-b654-40da-82c0-62c296b1320e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61" dT="2022-07-09T23:36:24.73" personId="{63ACF799-0883-114A-907B-D14689812C04}" id="{7EB1E80A-E12F-4044-9FA5-FBF8952CEF57}">
    <text>I quote the similar fish here</text>
  </threadedComment>
  <threadedComment ref="A168" dT="2022-07-09T21:48:50.92" personId="{63ACF799-0883-114A-907B-D14689812C04}" id="{AE79BDF0-DB46-4B1B-920A-E29BC5F7EA73}">
    <text>Quote the FISH,TRENCHED SARDINELLA,CURRY,W/COCONUT MILK.</text>
  </threadedComment>
  <threadedComment ref="A410" dT="2022-07-09T21:48:50.92" personId="{63ACF799-0883-114A-907B-D14689812C04}" id="{CC8FF4D3-2170-4076-AFB1-0818216DD67E}">
    <text>Quote the FISH,TRENCHED SARDINELLA,CURRY,W/COCONUT MILK.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497" dT="2022-07-09T23:36:24.73" personId="{63ACF799-0883-114A-907B-D14689812C04}" id="{67D7A574-6E9F-B64D-9F2F-EDD95771D6B6}">
    <text>I quote the similar fish here</text>
  </threadedComment>
  <threadedComment ref="H504" dT="2022-07-09T21:48:50.92" personId="{63ACF799-0883-114A-907B-D14689812C04}" id="{78594516-EEDF-6D4B-9090-C66127E7A87C}">
    <text>Quote the FISH,TRENCHED SARDINELLA,CURRY,W/COCONUT MILK.</text>
  </threadedComment>
  <threadedComment ref="C529" dT="2022-06-24T18:20:26.10" personId="{63ACF799-0883-114A-907B-D14689812C04}" id="{EE0FDBAC-95DF-0142-BA92-89469E1A15C2}">
    <text>Unit is not work with this item</text>
  </threadedComment>
  <threadedComment ref="C641" dT="2022-07-09T23:08:31.97" personId="{63ACF799-0883-114A-907B-D14689812C04}" id="{E6D1F840-C71F-D641-95C6-45BD13AF894B}">
    <text xml:space="preserve">This unit would make more sense for curry/soup. </text>
  </threadedComment>
  <threadedComment ref="G645" dT="2022-07-09T23:06:54.99" personId="{63ACF799-0883-114A-907B-D14689812C04}" id="{4E04AB03-E020-8244-807F-1FF02EB279F4}">
    <text>In Wayanba dataset, there is 17 g for small slides, which do not apply the unit here. Should I quote other fish curry?</text>
  </threadedComment>
  <threadedComment ref="H747" dT="2022-07-09T21:48:50.92" personId="{63ACF799-0883-114A-907B-D14689812C04}" id="{74285C4B-283E-5143-8EE2-8F04ABAAE86F}">
    <text>Quote the FISH,TRENCHED SARDINELLA,CURRY,W/COCONUT MILK.</text>
  </threadedComment>
  <threadedComment ref="C753" dT="2022-07-09T21:58:55.70" personId="{63ACF799-0883-114A-907B-D14689812C04}" id="{E0EF79F0-D662-4145-9EC8-3EE53060124B}">
    <text>Question about this unit here</text>
  </threadedComment>
  <threadedComment ref="C761" dT="2022-07-09T22:01:15.29" personId="{63ACF799-0883-114A-907B-D14689812C04}" id="{871BFDAA-F08F-D146-A521-3DDAA1F36127}">
    <text>Question about the unit here</text>
  </threadedComment>
  <threadedComment ref="C995" dT="2022-07-09T03:30:55.44" personId="{63ACF799-0883-114A-907B-D14689812C04}" id="{4E0A3B11-DDA4-664B-8BFF-9C329BEDF7A7}">
    <text xml:space="preserve">I use one cup (8 oz) and calculate to the tablespoons (0.5 oz) here. </text>
  </threadedComment>
  <threadedComment ref="C999" dT="2022-07-09T03:21:34.73" personId="{63ACF799-0883-114A-907B-D14689812C04}" id="{3E5155DB-8C12-3B43-A5F7-B1231776BDD3}">
    <text xml:space="preserve">There is weight for medium, but not large/small. </text>
  </threadedComment>
  <threadedComment ref="C1001" dT="2022-07-09T03:22:35.81" personId="{63ACF799-0883-114A-907B-D14689812C04}" id="{52B14DDE-9B43-E94B-89C7-0F9CE1ECEF57}">
    <text>It maybe the curry prawn? Tablespoons would make more sense.</text>
  </threadedComment>
  <threadedComment ref="C1003" dT="2022-07-09T03:18:15.84" personId="{63ACF799-0883-114A-907B-D14689812C04}" id="{6A8C009B-1FBF-9B43-833F-E8AB9482C0C4}">
    <text>Large tablespoons?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mments" Target="../comments2.xml"/><Relationship Id="rId3" Type="http://schemas.openxmlformats.org/officeDocument/2006/relationships/hyperlink" Target="https://glomark.lk/calton-biscuit-viskiringha-230g/p/12365" TargetMode="External"/><Relationship Id="rId7" Type="http://schemas.openxmlformats.org/officeDocument/2006/relationships/vmlDrawing" Target="../drawings/vmlDrawing2.vml"/><Relationship Id="rId2" Type="http://schemas.openxmlformats.org/officeDocument/2006/relationships/hyperlink" Target="https://fdc.nal.usda.gov/fdc-app.html" TargetMode="External"/><Relationship Id="rId1" Type="http://schemas.openxmlformats.org/officeDocument/2006/relationships/hyperlink" Target="https://fdc.nal.usda.gov/fdc-app.html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www.aqua-calc.com/calculate/food-volume-to-weight/substance/vegetable-blank-curry" TargetMode="External"/><Relationship Id="rId4" Type="http://schemas.openxmlformats.org/officeDocument/2006/relationships/hyperlink" Target="https://fdc.nal.usda.gov/fdc-app.html" TargetMode="External"/><Relationship Id="rId9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AD597-EE14-4245-97FF-32A6D01DC78B}">
  <dimension ref="A1:I2153"/>
  <sheetViews>
    <sheetView tabSelected="1" zoomScaleNormal="100" workbookViewId="0">
      <selection activeCell="A7" sqref="A7:H7"/>
    </sheetView>
  </sheetViews>
  <sheetFormatPr defaultColWidth="9.28515625" defaultRowHeight="14.25" x14ac:dyDescent="0.2"/>
  <cols>
    <col min="1" max="1" width="32" style="35" customWidth="1"/>
    <col min="2" max="2" width="151.7109375" style="35" customWidth="1"/>
    <col min="3" max="9" width="9.5703125" style="35" customWidth="1"/>
    <col min="10" max="16384" width="9.28515625" style="35"/>
  </cols>
  <sheetData>
    <row r="1" spans="1:9" ht="14.45" customHeight="1" x14ac:dyDescent="0.2">
      <c r="A1" s="34" t="s">
        <v>3240</v>
      </c>
      <c r="B1" s="34"/>
      <c r="C1" s="34"/>
      <c r="D1" s="34"/>
      <c r="E1" s="34"/>
      <c r="F1" s="34"/>
      <c r="G1" s="34"/>
      <c r="H1" s="34"/>
      <c r="I1" s="34"/>
    </row>
    <row r="2" spans="1:9" ht="14.45" customHeight="1" x14ac:dyDescent="0.2">
      <c r="A2" s="34"/>
      <c r="B2" s="34"/>
      <c r="C2" s="34"/>
      <c r="D2" s="34"/>
      <c r="E2" s="34"/>
      <c r="F2" s="34"/>
      <c r="G2" s="34"/>
      <c r="H2" s="34"/>
      <c r="I2" s="34"/>
    </row>
    <row r="3" spans="1:9" ht="14.45" customHeight="1" x14ac:dyDescent="0.2">
      <c r="A3" s="35" t="s">
        <v>3239</v>
      </c>
      <c r="B3" s="36"/>
      <c r="C3" s="36"/>
      <c r="D3" s="36"/>
      <c r="E3" s="36"/>
      <c r="F3" s="36"/>
      <c r="G3" s="36"/>
      <c r="H3" s="36"/>
      <c r="I3" s="36"/>
    </row>
    <row r="4" spans="1:9" ht="14.45" customHeight="1" x14ac:dyDescent="0.2">
      <c r="B4" s="36"/>
      <c r="C4" s="36"/>
      <c r="D4" s="36"/>
      <c r="E4" s="36"/>
      <c r="F4" s="36"/>
      <c r="G4" s="36"/>
      <c r="H4" s="36"/>
      <c r="I4" s="36"/>
    </row>
    <row r="5" spans="1:9" ht="63.75" customHeight="1" x14ac:dyDescent="0.2">
      <c r="A5" s="39" t="s">
        <v>3241</v>
      </c>
      <c r="B5" s="39"/>
      <c r="C5" s="39"/>
      <c r="D5" s="39"/>
      <c r="E5" s="39"/>
      <c r="F5" s="39"/>
      <c r="G5" s="39"/>
      <c r="H5" s="39"/>
      <c r="I5" s="36"/>
    </row>
    <row r="6" spans="1:9" ht="14.45" customHeight="1" x14ac:dyDescent="0.2">
      <c r="B6" s="36"/>
      <c r="C6" s="36"/>
      <c r="D6" s="36"/>
      <c r="E6" s="36"/>
      <c r="F6" s="36"/>
      <c r="G6" s="36"/>
      <c r="H6" s="36"/>
      <c r="I6" s="36"/>
    </row>
    <row r="7" spans="1:9" ht="109.5" customHeight="1" x14ac:dyDescent="0.2">
      <c r="A7" s="37" t="s">
        <v>3242</v>
      </c>
      <c r="B7" s="37"/>
      <c r="C7" s="37"/>
      <c r="D7" s="37"/>
      <c r="E7" s="37"/>
      <c r="F7" s="37"/>
      <c r="G7" s="37"/>
      <c r="H7" s="37"/>
    </row>
    <row r="9" spans="1:9" customFormat="1" ht="25.5" x14ac:dyDescent="0.2">
      <c r="A9" s="40" t="s">
        <v>3202</v>
      </c>
      <c r="B9" s="18" t="s">
        <v>3203</v>
      </c>
    </row>
    <row r="10" spans="1:9" customFormat="1" ht="15" x14ac:dyDescent="0.25">
      <c r="A10" s="41" t="s">
        <v>38</v>
      </c>
      <c r="B10" s="42" t="s">
        <v>3204</v>
      </c>
    </row>
    <row r="11" spans="1:9" customFormat="1" ht="15" x14ac:dyDescent="0.25">
      <c r="A11" s="43" t="s">
        <v>39</v>
      </c>
      <c r="B11" s="42" t="s">
        <v>3205</v>
      </c>
    </row>
    <row r="12" spans="1:9" customFormat="1" ht="15" x14ac:dyDescent="0.25">
      <c r="A12" s="41" t="s">
        <v>1279</v>
      </c>
      <c r="B12" s="42" t="s">
        <v>3206</v>
      </c>
    </row>
    <row r="13" spans="1:9" customFormat="1" ht="15" x14ac:dyDescent="0.25">
      <c r="A13" s="44" t="s">
        <v>33</v>
      </c>
      <c r="B13" s="42" t="s">
        <v>3208</v>
      </c>
    </row>
    <row r="14" spans="1:9" customFormat="1" ht="15" x14ac:dyDescent="0.25">
      <c r="A14" s="45" t="s">
        <v>34</v>
      </c>
      <c r="B14" s="42" t="s">
        <v>3207</v>
      </c>
    </row>
    <row r="15" spans="1:9" customFormat="1" ht="15" x14ac:dyDescent="0.25">
      <c r="A15" s="44" t="s">
        <v>35</v>
      </c>
      <c r="B15" s="42" t="s">
        <v>3209</v>
      </c>
    </row>
    <row r="16" spans="1:9" customFormat="1" ht="15" x14ac:dyDescent="0.25">
      <c r="A16" s="45" t="s">
        <v>36</v>
      </c>
      <c r="B16" s="42" t="s">
        <v>3210</v>
      </c>
    </row>
    <row r="17" spans="1:2" customFormat="1" ht="15" x14ac:dyDescent="0.25">
      <c r="A17" s="45" t="s">
        <v>37</v>
      </c>
      <c r="B17" s="42" t="s">
        <v>3211</v>
      </c>
    </row>
    <row r="18" spans="1:2" customFormat="1" ht="15" x14ac:dyDescent="0.25">
      <c r="A18" s="45" t="s">
        <v>2412</v>
      </c>
      <c r="B18" s="42" t="s">
        <v>3212</v>
      </c>
    </row>
    <row r="20" spans="1:2" ht="15" x14ac:dyDescent="0.2">
      <c r="A20" s="38" t="s">
        <v>3250</v>
      </c>
    </row>
    <row r="21" spans="1:2" ht="15" x14ac:dyDescent="0.25">
      <c r="A21" s="41" t="s">
        <v>3249</v>
      </c>
      <c r="B21" s="46" t="s">
        <v>3248</v>
      </c>
    </row>
    <row r="22" spans="1:2" ht="15" x14ac:dyDescent="0.25">
      <c r="A22" s="41" t="s">
        <v>3151</v>
      </c>
      <c r="B22" s="46" t="s">
        <v>3247</v>
      </c>
    </row>
    <row r="23" spans="1:2" ht="15" x14ac:dyDescent="0.25">
      <c r="A23" s="41" t="s">
        <v>3245</v>
      </c>
      <c r="B23" s="47" t="s">
        <v>3246</v>
      </c>
    </row>
    <row r="24" spans="1:2" ht="15" x14ac:dyDescent="0.25">
      <c r="A24" s="41" t="s">
        <v>3243</v>
      </c>
      <c r="B24" s="47" t="s">
        <v>3244</v>
      </c>
    </row>
    <row r="25" spans="1:2" x14ac:dyDescent="0.2">
      <c r="A25"/>
    </row>
    <row r="26" spans="1:2" x14ac:dyDescent="0.2">
      <c r="A26"/>
    </row>
    <row r="27" spans="1:2" x14ac:dyDescent="0.2">
      <c r="A27"/>
    </row>
    <row r="28" spans="1:2" x14ac:dyDescent="0.2">
      <c r="A28"/>
    </row>
    <row r="29" spans="1:2" x14ac:dyDescent="0.2">
      <c r="A29"/>
    </row>
    <row r="30" spans="1:2" x14ac:dyDescent="0.2">
      <c r="A30"/>
    </row>
    <row r="31" spans="1:2" x14ac:dyDescent="0.2">
      <c r="A31"/>
    </row>
    <row r="32" spans="1:2" x14ac:dyDescent="0.2">
      <c r="A32"/>
    </row>
    <row r="33" spans="1:1" x14ac:dyDescent="0.2">
      <c r="A33"/>
    </row>
    <row r="34" spans="1:1" x14ac:dyDescent="0.2">
      <c r="A34"/>
    </row>
    <row r="35" spans="1:1" x14ac:dyDescent="0.2">
      <c r="A35"/>
    </row>
    <row r="36" spans="1:1" x14ac:dyDescent="0.2">
      <c r="A36"/>
    </row>
    <row r="37" spans="1:1" x14ac:dyDescent="0.2">
      <c r="A37"/>
    </row>
    <row r="38" spans="1:1" x14ac:dyDescent="0.2">
      <c r="A38"/>
    </row>
    <row r="39" spans="1:1" x14ac:dyDescent="0.2">
      <c r="A39"/>
    </row>
    <row r="40" spans="1:1" x14ac:dyDescent="0.2">
      <c r="A40"/>
    </row>
    <row r="41" spans="1:1" x14ac:dyDescent="0.2">
      <c r="A41"/>
    </row>
    <row r="42" spans="1:1" x14ac:dyDescent="0.2">
      <c r="A42"/>
    </row>
    <row r="43" spans="1:1" x14ac:dyDescent="0.2">
      <c r="A43"/>
    </row>
    <row r="44" spans="1:1" x14ac:dyDescent="0.2">
      <c r="A44"/>
    </row>
    <row r="45" spans="1:1" x14ac:dyDescent="0.2">
      <c r="A45"/>
    </row>
    <row r="46" spans="1:1" x14ac:dyDescent="0.2">
      <c r="A46"/>
    </row>
    <row r="47" spans="1:1" x14ac:dyDescent="0.2">
      <c r="A47"/>
    </row>
    <row r="48" spans="1:1" x14ac:dyDescent="0.2">
      <c r="A48"/>
    </row>
    <row r="49" spans="1:1" x14ac:dyDescent="0.2">
      <c r="A49"/>
    </row>
    <row r="50" spans="1:1" x14ac:dyDescent="0.2">
      <c r="A50"/>
    </row>
    <row r="51" spans="1:1" x14ac:dyDescent="0.2">
      <c r="A51"/>
    </row>
    <row r="52" spans="1:1" x14ac:dyDescent="0.2">
      <c r="A52"/>
    </row>
    <row r="53" spans="1:1" x14ac:dyDescent="0.2">
      <c r="A53"/>
    </row>
    <row r="54" spans="1:1" x14ac:dyDescent="0.2">
      <c r="A54"/>
    </row>
    <row r="55" spans="1:1" x14ac:dyDescent="0.2">
      <c r="A55"/>
    </row>
    <row r="56" spans="1:1" x14ac:dyDescent="0.2">
      <c r="A56"/>
    </row>
    <row r="57" spans="1:1" x14ac:dyDescent="0.2">
      <c r="A57"/>
    </row>
    <row r="58" spans="1:1" x14ac:dyDescent="0.2">
      <c r="A58"/>
    </row>
    <row r="59" spans="1:1" x14ac:dyDescent="0.2">
      <c r="A59"/>
    </row>
    <row r="60" spans="1:1" x14ac:dyDescent="0.2">
      <c r="A60"/>
    </row>
    <row r="61" spans="1:1" x14ac:dyDescent="0.2">
      <c r="A61"/>
    </row>
    <row r="62" spans="1:1" x14ac:dyDescent="0.2">
      <c r="A62"/>
    </row>
    <row r="63" spans="1:1" x14ac:dyDescent="0.2">
      <c r="A63"/>
    </row>
    <row r="64" spans="1:1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  <row r="91" spans="1:1" x14ac:dyDescent="0.2">
      <c r="A91"/>
    </row>
    <row r="92" spans="1:1" x14ac:dyDescent="0.2">
      <c r="A92"/>
    </row>
    <row r="93" spans="1:1" x14ac:dyDescent="0.2">
      <c r="A93"/>
    </row>
    <row r="94" spans="1:1" x14ac:dyDescent="0.2">
      <c r="A94"/>
    </row>
    <row r="95" spans="1:1" x14ac:dyDescent="0.2">
      <c r="A95"/>
    </row>
    <row r="96" spans="1:1" x14ac:dyDescent="0.2">
      <c r="A96"/>
    </row>
    <row r="97" spans="1:1" x14ac:dyDescent="0.2">
      <c r="A97"/>
    </row>
    <row r="98" spans="1:1" x14ac:dyDescent="0.2">
      <c r="A98"/>
    </row>
    <row r="99" spans="1:1" x14ac:dyDescent="0.2">
      <c r="A99"/>
    </row>
    <row r="100" spans="1:1" x14ac:dyDescent="0.2">
      <c r="A100"/>
    </row>
    <row r="101" spans="1:1" x14ac:dyDescent="0.2">
      <c r="A101"/>
    </row>
    <row r="102" spans="1:1" x14ac:dyDescent="0.2">
      <c r="A102"/>
    </row>
    <row r="103" spans="1:1" x14ac:dyDescent="0.2">
      <c r="A103"/>
    </row>
    <row r="104" spans="1:1" x14ac:dyDescent="0.2">
      <c r="A104"/>
    </row>
    <row r="105" spans="1:1" x14ac:dyDescent="0.2">
      <c r="A105"/>
    </row>
    <row r="106" spans="1:1" x14ac:dyDescent="0.2">
      <c r="A106"/>
    </row>
    <row r="107" spans="1:1" x14ac:dyDescent="0.2">
      <c r="A107"/>
    </row>
    <row r="108" spans="1:1" x14ac:dyDescent="0.2">
      <c r="A108"/>
    </row>
    <row r="109" spans="1:1" x14ac:dyDescent="0.2">
      <c r="A109"/>
    </row>
    <row r="110" spans="1:1" x14ac:dyDescent="0.2">
      <c r="A110"/>
    </row>
    <row r="111" spans="1:1" x14ac:dyDescent="0.2">
      <c r="A111"/>
    </row>
    <row r="112" spans="1:1" x14ac:dyDescent="0.2">
      <c r="A112"/>
    </row>
    <row r="113" spans="1:1" x14ac:dyDescent="0.2">
      <c r="A113"/>
    </row>
    <row r="114" spans="1:1" x14ac:dyDescent="0.2">
      <c r="A114"/>
    </row>
    <row r="115" spans="1:1" x14ac:dyDescent="0.2">
      <c r="A115"/>
    </row>
    <row r="116" spans="1:1" x14ac:dyDescent="0.2">
      <c r="A116"/>
    </row>
    <row r="117" spans="1:1" x14ac:dyDescent="0.2">
      <c r="A117"/>
    </row>
    <row r="118" spans="1:1" x14ac:dyDescent="0.2">
      <c r="A118"/>
    </row>
    <row r="119" spans="1:1" x14ac:dyDescent="0.2">
      <c r="A119"/>
    </row>
    <row r="120" spans="1:1" x14ac:dyDescent="0.2">
      <c r="A120"/>
    </row>
    <row r="121" spans="1:1" x14ac:dyDescent="0.2">
      <c r="A121"/>
    </row>
    <row r="122" spans="1:1" x14ac:dyDescent="0.2">
      <c r="A122"/>
    </row>
    <row r="123" spans="1:1" x14ac:dyDescent="0.2">
      <c r="A123"/>
    </row>
    <row r="124" spans="1:1" x14ac:dyDescent="0.2">
      <c r="A124"/>
    </row>
    <row r="125" spans="1:1" x14ac:dyDescent="0.2">
      <c r="A125"/>
    </row>
    <row r="126" spans="1:1" x14ac:dyDescent="0.2">
      <c r="A126"/>
    </row>
    <row r="127" spans="1:1" x14ac:dyDescent="0.2">
      <c r="A127"/>
    </row>
    <row r="128" spans="1:1" x14ac:dyDescent="0.2">
      <c r="A128"/>
    </row>
    <row r="129" spans="1:1" x14ac:dyDescent="0.2">
      <c r="A129"/>
    </row>
    <row r="130" spans="1:1" x14ac:dyDescent="0.2">
      <c r="A130"/>
    </row>
    <row r="131" spans="1:1" x14ac:dyDescent="0.2">
      <c r="A131"/>
    </row>
    <row r="132" spans="1:1" x14ac:dyDescent="0.2">
      <c r="A132"/>
    </row>
    <row r="133" spans="1:1" x14ac:dyDescent="0.2">
      <c r="A133"/>
    </row>
    <row r="134" spans="1:1" x14ac:dyDescent="0.2">
      <c r="A134"/>
    </row>
    <row r="135" spans="1:1" x14ac:dyDescent="0.2">
      <c r="A135"/>
    </row>
    <row r="136" spans="1:1" x14ac:dyDescent="0.2">
      <c r="A136"/>
    </row>
    <row r="137" spans="1:1" x14ac:dyDescent="0.2">
      <c r="A137"/>
    </row>
    <row r="138" spans="1:1" x14ac:dyDescent="0.2">
      <c r="A138"/>
    </row>
    <row r="139" spans="1:1" x14ac:dyDescent="0.2">
      <c r="A139"/>
    </row>
    <row r="140" spans="1:1" x14ac:dyDescent="0.2">
      <c r="A140"/>
    </row>
    <row r="141" spans="1:1" x14ac:dyDescent="0.2">
      <c r="A141"/>
    </row>
    <row r="142" spans="1:1" x14ac:dyDescent="0.2">
      <c r="A142"/>
    </row>
    <row r="143" spans="1:1" x14ac:dyDescent="0.2">
      <c r="A143"/>
    </row>
    <row r="144" spans="1:1" x14ac:dyDescent="0.2">
      <c r="A144"/>
    </row>
    <row r="145" spans="1:1" x14ac:dyDescent="0.2">
      <c r="A145"/>
    </row>
    <row r="146" spans="1:1" x14ac:dyDescent="0.2">
      <c r="A146"/>
    </row>
    <row r="147" spans="1:1" x14ac:dyDescent="0.2">
      <c r="A147"/>
    </row>
    <row r="148" spans="1:1" x14ac:dyDescent="0.2">
      <c r="A148"/>
    </row>
    <row r="149" spans="1:1" x14ac:dyDescent="0.2">
      <c r="A149"/>
    </row>
    <row r="150" spans="1:1" x14ac:dyDescent="0.2">
      <c r="A150"/>
    </row>
    <row r="151" spans="1:1" x14ac:dyDescent="0.2">
      <c r="A151"/>
    </row>
    <row r="152" spans="1:1" x14ac:dyDescent="0.2">
      <c r="A152"/>
    </row>
    <row r="153" spans="1:1" x14ac:dyDescent="0.2">
      <c r="A153"/>
    </row>
    <row r="154" spans="1:1" x14ac:dyDescent="0.2">
      <c r="A154"/>
    </row>
    <row r="155" spans="1:1" x14ac:dyDescent="0.2">
      <c r="A155"/>
    </row>
    <row r="156" spans="1:1" x14ac:dyDescent="0.2">
      <c r="A156"/>
    </row>
    <row r="157" spans="1:1" x14ac:dyDescent="0.2">
      <c r="A157"/>
    </row>
    <row r="158" spans="1:1" x14ac:dyDescent="0.2">
      <c r="A158"/>
    </row>
    <row r="159" spans="1:1" x14ac:dyDescent="0.2">
      <c r="A159"/>
    </row>
    <row r="160" spans="1:1" x14ac:dyDescent="0.2">
      <c r="A160"/>
    </row>
    <row r="161" spans="1:1" x14ac:dyDescent="0.2">
      <c r="A161"/>
    </row>
    <row r="162" spans="1:1" x14ac:dyDescent="0.2">
      <c r="A162"/>
    </row>
    <row r="163" spans="1:1" x14ac:dyDescent="0.2">
      <c r="A163"/>
    </row>
    <row r="164" spans="1:1" x14ac:dyDescent="0.2">
      <c r="A164"/>
    </row>
    <row r="165" spans="1:1" x14ac:dyDescent="0.2">
      <c r="A165"/>
    </row>
    <row r="166" spans="1:1" x14ac:dyDescent="0.2">
      <c r="A166"/>
    </row>
    <row r="167" spans="1:1" x14ac:dyDescent="0.2">
      <c r="A167"/>
    </row>
    <row r="168" spans="1:1" x14ac:dyDescent="0.2">
      <c r="A168"/>
    </row>
    <row r="169" spans="1:1" x14ac:dyDescent="0.2">
      <c r="A169"/>
    </row>
    <row r="170" spans="1:1" x14ac:dyDescent="0.2">
      <c r="A170"/>
    </row>
    <row r="171" spans="1:1" x14ac:dyDescent="0.2">
      <c r="A171"/>
    </row>
    <row r="172" spans="1:1" x14ac:dyDescent="0.2">
      <c r="A172"/>
    </row>
    <row r="173" spans="1:1" x14ac:dyDescent="0.2">
      <c r="A173"/>
    </row>
    <row r="174" spans="1:1" x14ac:dyDescent="0.2">
      <c r="A174"/>
    </row>
    <row r="175" spans="1:1" x14ac:dyDescent="0.2">
      <c r="A175"/>
    </row>
    <row r="176" spans="1:1" x14ac:dyDescent="0.2">
      <c r="A176"/>
    </row>
    <row r="177" spans="1:1" x14ac:dyDescent="0.2">
      <c r="A177"/>
    </row>
    <row r="178" spans="1:1" x14ac:dyDescent="0.2">
      <c r="A178"/>
    </row>
    <row r="179" spans="1:1" x14ac:dyDescent="0.2">
      <c r="A179"/>
    </row>
    <row r="180" spans="1:1" x14ac:dyDescent="0.2">
      <c r="A180"/>
    </row>
    <row r="181" spans="1:1" x14ac:dyDescent="0.2">
      <c r="A181"/>
    </row>
    <row r="182" spans="1:1" x14ac:dyDescent="0.2">
      <c r="A182"/>
    </row>
    <row r="183" spans="1:1" x14ac:dyDescent="0.2">
      <c r="A183"/>
    </row>
    <row r="184" spans="1:1" x14ac:dyDescent="0.2">
      <c r="A184"/>
    </row>
    <row r="185" spans="1:1" x14ac:dyDescent="0.2">
      <c r="A185"/>
    </row>
    <row r="186" spans="1:1" x14ac:dyDescent="0.2">
      <c r="A186"/>
    </row>
    <row r="187" spans="1:1" x14ac:dyDescent="0.2">
      <c r="A187"/>
    </row>
    <row r="188" spans="1:1" x14ac:dyDescent="0.2">
      <c r="A188"/>
    </row>
    <row r="189" spans="1:1" x14ac:dyDescent="0.2">
      <c r="A189"/>
    </row>
    <row r="190" spans="1:1" x14ac:dyDescent="0.2">
      <c r="A190"/>
    </row>
    <row r="191" spans="1:1" x14ac:dyDescent="0.2">
      <c r="A191"/>
    </row>
    <row r="192" spans="1:1" x14ac:dyDescent="0.2">
      <c r="A192"/>
    </row>
    <row r="193" spans="1:1" x14ac:dyDescent="0.2">
      <c r="A193"/>
    </row>
    <row r="194" spans="1:1" x14ac:dyDescent="0.2">
      <c r="A194"/>
    </row>
    <row r="195" spans="1:1" x14ac:dyDescent="0.2">
      <c r="A195"/>
    </row>
    <row r="196" spans="1:1" x14ac:dyDescent="0.2">
      <c r="A196"/>
    </row>
    <row r="197" spans="1:1" x14ac:dyDescent="0.2">
      <c r="A197"/>
    </row>
    <row r="198" spans="1:1" x14ac:dyDescent="0.2">
      <c r="A198"/>
    </row>
    <row r="199" spans="1:1" x14ac:dyDescent="0.2">
      <c r="A199"/>
    </row>
    <row r="200" spans="1:1" x14ac:dyDescent="0.2">
      <c r="A200"/>
    </row>
    <row r="201" spans="1:1" x14ac:dyDescent="0.2">
      <c r="A201"/>
    </row>
    <row r="202" spans="1:1" x14ac:dyDescent="0.2">
      <c r="A202"/>
    </row>
    <row r="203" spans="1:1" x14ac:dyDescent="0.2">
      <c r="A203"/>
    </row>
    <row r="204" spans="1:1" x14ac:dyDescent="0.2">
      <c r="A204"/>
    </row>
    <row r="205" spans="1:1" x14ac:dyDescent="0.2">
      <c r="A205"/>
    </row>
    <row r="206" spans="1:1" x14ac:dyDescent="0.2">
      <c r="A206"/>
    </row>
    <row r="207" spans="1:1" x14ac:dyDescent="0.2">
      <c r="A207"/>
    </row>
    <row r="208" spans="1:1" x14ac:dyDescent="0.2">
      <c r="A208"/>
    </row>
    <row r="209" spans="1:1" x14ac:dyDescent="0.2">
      <c r="A209"/>
    </row>
    <row r="210" spans="1:1" x14ac:dyDescent="0.2">
      <c r="A210"/>
    </row>
    <row r="211" spans="1:1" x14ac:dyDescent="0.2">
      <c r="A211"/>
    </row>
    <row r="212" spans="1:1" x14ac:dyDescent="0.2">
      <c r="A212"/>
    </row>
    <row r="213" spans="1:1" x14ac:dyDescent="0.2">
      <c r="A213"/>
    </row>
    <row r="214" spans="1:1" x14ac:dyDescent="0.2">
      <c r="A214"/>
    </row>
    <row r="215" spans="1:1" x14ac:dyDescent="0.2">
      <c r="A215"/>
    </row>
    <row r="216" spans="1:1" x14ac:dyDescent="0.2">
      <c r="A216"/>
    </row>
    <row r="217" spans="1:1" x14ac:dyDescent="0.2">
      <c r="A217"/>
    </row>
    <row r="218" spans="1:1" x14ac:dyDescent="0.2">
      <c r="A218"/>
    </row>
    <row r="219" spans="1:1" x14ac:dyDescent="0.2">
      <c r="A219"/>
    </row>
    <row r="220" spans="1:1" x14ac:dyDescent="0.2">
      <c r="A220"/>
    </row>
    <row r="221" spans="1:1" x14ac:dyDescent="0.2">
      <c r="A221"/>
    </row>
    <row r="222" spans="1:1" x14ac:dyDescent="0.2">
      <c r="A222"/>
    </row>
    <row r="223" spans="1:1" x14ac:dyDescent="0.2">
      <c r="A223"/>
    </row>
    <row r="224" spans="1:1" x14ac:dyDescent="0.2">
      <c r="A224"/>
    </row>
    <row r="225" spans="1:1" x14ac:dyDescent="0.2">
      <c r="A225"/>
    </row>
    <row r="226" spans="1:1" x14ac:dyDescent="0.2">
      <c r="A226"/>
    </row>
    <row r="227" spans="1:1" x14ac:dyDescent="0.2">
      <c r="A227"/>
    </row>
    <row r="228" spans="1:1" x14ac:dyDescent="0.2">
      <c r="A228"/>
    </row>
    <row r="229" spans="1:1" x14ac:dyDescent="0.2">
      <c r="A229"/>
    </row>
    <row r="230" spans="1:1" x14ac:dyDescent="0.2">
      <c r="A230"/>
    </row>
    <row r="231" spans="1:1" x14ac:dyDescent="0.2">
      <c r="A231"/>
    </row>
    <row r="232" spans="1:1" x14ac:dyDescent="0.2">
      <c r="A232"/>
    </row>
    <row r="233" spans="1:1" x14ac:dyDescent="0.2">
      <c r="A233"/>
    </row>
    <row r="234" spans="1:1" x14ac:dyDescent="0.2">
      <c r="A234"/>
    </row>
    <row r="235" spans="1:1" x14ac:dyDescent="0.2">
      <c r="A235"/>
    </row>
    <row r="236" spans="1:1" x14ac:dyDescent="0.2">
      <c r="A236"/>
    </row>
    <row r="237" spans="1:1" x14ac:dyDescent="0.2">
      <c r="A237"/>
    </row>
    <row r="238" spans="1:1" x14ac:dyDescent="0.2">
      <c r="A238"/>
    </row>
    <row r="239" spans="1:1" x14ac:dyDescent="0.2">
      <c r="A239"/>
    </row>
    <row r="240" spans="1:1" x14ac:dyDescent="0.2">
      <c r="A240"/>
    </row>
    <row r="241" spans="1:1" x14ac:dyDescent="0.2">
      <c r="A241"/>
    </row>
    <row r="242" spans="1:1" x14ac:dyDescent="0.2">
      <c r="A242"/>
    </row>
    <row r="243" spans="1:1" x14ac:dyDescent="0.2">
      <c r="A243"/>
    </row>
    <row r="244" spans="1:1" x14ac:dyDescent="0.2">
      <c r="A244"/>
    </row>
    <row r="245" spans="1:1" x14ac:dyDescent="0.2">
      <c r="A245"/>
    </row>
    <row r="246" spans="1:1" x14ac:dyDescent="0.2">
      <c r="A246"/>
    </row>
    <row r="247" spans="1:1" x14ac:dyDescent="0.2">
      <c r="A247"/>
    </row>
    <row r="248" spans="1:1" x14ac:dyDescent="0.2">
      <c r="A248"/>
    </row>
    <row r="249" spans="1:1" x14ac:dyDescent="0.2">
      <c r="A249"/>
    </row>
    <row r="250" spans="1:1" x14ac:dyDescent="0.2">
      <c r="A250"/>
    </row>
    <row r="251" spans="1:1" x14ac:dyDescent="0.2">
      <c r="A251"/>
    </row>
    <row r="252" spans="1:1" x14ac:dyDescent="0.2">
      <c r="A252"/>
    </row>
    <row r="253" spans="1:1" x14ac:dyDescent="0.2">
      <c r="A253"/>
    </row>
    <row r="254" spans="1:1" x14ac:dyDescent="0.2">
      <c r="A254"/>
    </row>
    <row r="255" spans="1:1" x14ac:dyDescent="0.2">
      <c r="A255"/>
    </row>
    <row r="256" spans="1:1" x14ac:dyDescent="0.2">
      <c r="A256"/>
    </row>
    <row r="257" spans="1:1" x14ac:dyDescent="0.2">
      <c r="A257"/>
    </row>
    <row r="258" spans="1:1" x14ac:dyDescent="0.2">
      <c r="A258"/>
    </row>
    <row r="259" spans="1:1" x14ac:dyDescent="0.2">
      <c r="A259"/>
    </row>
    <row r="260" spans="1:1" x14ac:dyDescent="0.2">
      <c r="A260"/>
    </row>
    <row r="261" spans="1:1" x14ac:dyDescent="0.2">
      <c r="A261"/>
    </row>
    <row r="262" spans="1:1" x14ac:dyDescent="0.2">
      <c r="A262"/>
    </row>
    <row r="263" spans="1:1" x14ac:dyDescent="0.2">
      <c r="A263"/>
    </row>
    <row r="264" spans="1:1" x14ac:dyDescent="0.2">
      <c r="A264"/>
    </row>
    <row r="265" spans="1:1" x14ac:dyDescent="0.2">
      <c r="A265"/>
    </row>
    <row r="266" spans="1:1" x14ac:dyDescent="0.2">
      <c r="A266"/>
    </row>
    <row r="267" spans="1:1" x14ac:dyDescent="0.2">
      <c r="A267"/>
    </row>
    <row r="268" spans="1:1" x14ac:dyDescent="0.2">
      <c r="A268"/>
    </row>
    <row r="269" spans="1:1" x14ac:dyDescent="0.2">
      <c r="A269"/>
    </row>
    <row r="270" spans="1:1" x14ac:dyDescent="0.2">
      <c r="A270"/>
    </row>
    <row r="271" spans="1:1" x14ac:dyDescent="0.2">
      <c r="A271"/>
    </row>
    <row r="272" spans="1:1" x14ac:dyDescent="0.2">
      <c r="A272"/>
    </row>
    <row r="273" spans="1:1" x14ac:dyDescent="0.2">
      <c r="A273"/>
    </row>
    <row r="274" spans="1:1" x14ac:dyDescent="0.2">
      <c r="A274"/>
    </row>
    <row r="275" spans="1:1" x14ac:dyDescent="0.2">
      <c r="A275"/>
    </row>
    <row r="276" spans="1:1" x14ac:dyDescent="0.2">
      <c r="A276"/>
    </row>
    <row r="277" spans="1:1" x14ac:dyDescent="0.2">
      <c r="A277"/>
    </row>
    <row r="278" spans="1:1" x14ac:dyDescent="0.2">
      <c r="A278"/>
    </row>
    <row r="279" spans="1:1" x14ac:dyDescent="0.2">
      <c r="A279"/>
    </row>
    <row r="280" spans="1:1" x14ac:dyDescent="0.2">
      <c r="A280"/>
    </row>
    <row r="281" spans="1:1" x14ac:dyDescent="0.2">
      <c r="A281"/>
    </row>
    <row r="282" spans="1:1" x14ac:dyDescent="0.2">
      <c r="A282"/>
    </row>
    <row r="283" spans="1:1" x14ac:dyDescent="0.2">
      <c r="A283"/>
    </row>
    <row r="284" spans="1:1" x14ac:dyDescent="0.2">
      <c r="A284"/>
    </row>
    <row r="285" spans="1:1" x14ac:dyDescent="0.2">
      <c r="A285"/>
    </row>
    <row r="286" spans="1:1" x14ac:dyDescent="0.2">
      <c r="A286"/>
    </row>
    <row r="287" spans="1:1" x14ac:dyDescent="0.2">
      <c r="A287"/>
    </row>
    <row r="288" spans="1:1" x14ac:dyDescent="0.2">
      <c r="A288"/>
    </row>
    <row r="289" spans="1:1" x14ac:dyDescent="0.2">
      <c r="A289"/>
    </row>
    <row r="290" spans="1:1" x14ac:dyDescent="0.2">
      <c r="A290"/>
    </row>
    <row r="291" spans="1:1" x14ac:dyDescent="0.2">
      <c r="A291"/>
    </row>
    <row r="292" spans="1:1" x14ac:dyDescent="0.2">
      <c r="A292"/>
    </row>
    <row r="293" spans="1:1" x14ac:dyDescent="0.2">
      <c r="A293"/>
    </row>
    <row r="294" spans="1:1" x14ac:dyDescent="0.2">
      <c r="A294"/>
    </row>
    <row r="295" spans="1:1" x14ac:dyDescent="0.2">
      <c r="A295"/>
    </row>
    <row r="296" spans="1:1" x14ac:dyDescent="0.2">
      <c r="A296"/>
    </row>
    <row r="297" spans="1:1" x14ac:dyDescent="0.2">
      <c r="A297"/>
    </row>
    <row r="298" spans="1:1" x14ac:dyDescent="0.2">
      <c r="A298"/>
    </row>
    <row r="299" spans="1:1" x14ac:dyDescent="0.2">
      <c r="A299"/>
    </row>
    <row r="300" spans="1:1" x14ac:dyDescent="0.2">
      <c r="A300"/>
    </row>
    <row r="301" spans="1:1" x14ac:dyDescent="0.2">
      <c r="A301"/>
    </row>
    <row r="302" spans="1:1" x14ac:dyDescent="0.2">
      <c r="A302"/>
    </row>
    <row r="303" spans="1:1" x14ac:dyDescent="0.2">
      <c r="A303"/>
    </row>
    <row r="304" spans="1:1" x14ac:dyDescent="0.2">
      <c r="A304"/>
    </row>
    <row r="305" spans="1:1" x14ac:dyDescent="0.2">
      <c r="A305"/>
    </row>
    <row r="306" spans="1:1" x14ac:dyDescent="0.2">
      <c r="A306"/>
    </row>
    <row r="307" spans="1:1" x14ac:dyDescent="0.2">
      <c r="A307"/>
    </row>
    <row r="308" spans="1:1" x14ac:dyDescent="0.2">
      <c r="A308"/>
    </row>
    <row r="309" spans="1:1" x14ac:dyDescent="0.2">
      <c r="A309"/>
    </row>
    <row r="310" spans="1:1" x14ac:dyDescent="0.2">
      <c r="A310"/>
    </row>
    <row r="311" spans="1:1" x14ac:dyDescent="0.2">
      <c r="A311"/>
    </row>
    <row r="312" spans="1:1" x14ac:dyDescent="0.2">
      <c r="A312"/>
    </row>
    <row r="313" spans="1:1" x14ac:dyDescent="0.2">
      <c r="A313"/>
    </row>
    <row r="314" spans="1:1" x14ac:dyDescent="0.2">
      <c r="A314"/>
    </row>
    <row r="315" spans="1:1" x14ac:dyDescent="0.2">
      <c r="A315"/>
    </row>
    <row r="316" spans="1:1" x14ac:dyDescent="0.2">
      <c r="A316"/>
    </row>
    <row r="317" spans="1:1" x14ac:dyDescent="0.2">
      <c r="A317"/>
    </row>
    <row r="318" spans="1:1" x14ac:dyDescent="0.2">
      <c r="A318"/>
    </row>
    <row r="319" spans="1:1" x14ac:dyDescent="0.2">
      <c r="A319"/>
    </row>
    <row r="320" spans="1:1" x14ac:dyDescent="0.2">
      <c r="A320"/>
    </row>
    <row r="321" spans="1:1" x14ac:dyDescent="0.2">
      <c r="A321"/>
    </row>
    <row r="322" spans="1:1" x14ac:dyDescent="0.2">
      <c r="A322"/>
    </row>
    <row r="323" spans="1:1" x14ac:dyDescent="0.2">
      <c r="A323"/>
    </row>
    <row r="324" spans="1:1" x14ac:dyDescent="0.2">
      <c r="A324"/>
    </row>
    <row r="325" spans="1:1" x14ac:dyDescent="0.2">
      <c r="A325"/>
    </row>
    <row r="326" spans="1:1" x14ac:dyDescent="0.2">
      <c r="A326"/>
    </row>
    <row r="327" spans="1:1" x14ac:dyDescent="0.2">
      <c r="A327"/>
    </row>
    <row r="328" spans="1:1" x14ac:dyDescent="0.2">
      <c r="A328"/>
    </row>
    <row r="329" spans="1:1" x14ac:dyDescent="0.2">
      <c r="A329"/>
    </row>
    <row r="330" spans="1:1" x14ac:dyDescent="0.2">
      <c r="A330"/>
    </row>
    <row r="331" spans="1:1" x14ac:dyDescent="0.2">
      <c r="A331"/>
    </row>
    <row r="332" spans="1:1" x14ac:dyDescent="0.2">
      <c r="A332"/>
    </row>
    <row r="333" spans="1:1" x14ac:dyDescent="0.2">
      <c r="A333"/>
    </row>
    <row r="334" spans="1:1" x14ac:dyDescent="0.2">
      <c r="A334"/>
    </row>
    <row r="335" spans="1:1" x14ac:dyDescent="0.2">
      <c r="A335"/>
    </row>
    <row r="336" spans="1:1" x14ac:dyDescent="0.2">
      <c r="A336"/>
    </row>
    <row r="337" spans="1:1" x14ac:dyDescent="0.2">
      <c r="A337"/>
    </row>
    <row r="338" spans="1:1" x14ac:dyDescent="0.2">
      <c r="A338"/>
    </row>
    <row r="339" spans="1:1" x14ac:dyDescent="0.2">
      <c r="A339"/>
    </row>
    <row r="340" spans="1:1" x14ac:dyDescent="0.2">
      <c r="A340"/>
    </row>
    <row r="341" spans="1:1" x14ac:dyDescent="0.2">
      <c r="A341"/>
    </row>
    <row r="342" spans="1:1" x14ac:dyDescent="0.2">
      <c r="A342"/>
    </row>
    <row r="343" spans="1:1" x14ac:dyDescent="0.2">
      <c r="A343"/>
    </row>
    <row r="344" spans="1:1" x14ac:dyDescent="0.2">
      <c r="A344"/>
    </row>
    <row r="345" spans="1:1" x14ac:dyDescent="0.2">
      <c r="A345"/>
    </row>
    <row r="346" spans="1:1" x14ac:dyDescent="0.2">
      <c r="A346"/>
    </row>
    <row r="347" spans="1:1" x14ac:dyDescent="0.2">
      <c r="A347"/>
    </row>
    <row r="348" spans="1:1" x14ac:dyDescent="0.2">
      <c r="A348"/>
    </row>
    <row r="349" spans="1:1" x14ac:dyDescent="0.2">
      <c r="A349"/>
    </row>
    <row r="350" spans="1:1" x14ac:dyDescent="0.2">
      <c r="A350"/>
    </row>
    <row r="351" spans="1:1" x14ac:dyDescent="0.2">
      <c r="A351"/>
    </row>
    <row r="352" spans="1:1" x14ac:dyDescent="0.2">
      <c r="A352"/>
    </row>
    <row r="353" spans="1:1" x14ac:dyDescent="0.2">
      <c r="A353"/>
    </row>
    <row r="354" spans="1:1" x14ac:dyDescent="0.2">
      <c r="A354"/>
    </row>
    <row r="355" spans="1:1" x14ac:dyDescent="0.2">
      <c r="A355"/>
    </row>
    <row r="356" spans="1:1" x14ac:dyDescent="0.2">
      <c r="A356"/>
    </row>
    <row r="357" spans="1:1" x14ac:dyDescent="0.2">
      <c r="A357"/>
    </row>
    <row r="358" spans="1:1" x14ac:dyDescent="0.2">
      <c r="A358"/>
    </row>
    <row r="359" spans="1:1" x14ac:dyDescent="0.2">
      <c r="A359"/>
    </row>
    <row r="360" spans="1:1" x14ac:dyDescent="0.2">
      <c r="A360"/>
    </row>
    <row r="361" spans="1:1" x14ac:dyDescent="0.2">
      <c r="A361"/>
    </row>
    <row r="362" spans="1:1" x14ac:dyDescent="0.2">
      <c r="A362"/>
    </row>
    <row r="363" spans="1:1" x14ac:dyDescent="0.2">
      <c r="A363"/>
    </row>
    <row r="364" spans="1:1" x14ac:dyDescent="0.2">
      <c r="A364"/>
    </row>
    <row r="365" spans="1:1" x14ac:dyDescent="0.2">
      <c r="A365"/>
    </row>
    <row r="366" spans="1:1" x14ac:dyDescent="0.2">
      <c r="A366"/>
    </row>
    <row r="367" spans="1:1" x14ac:dyDescent="0.2">
      <c r="A367"/>
    </row>
    <row r="368" spans="1:1" x14ac:dyDescent="0.2">
      <c r="A368"/>
    </row>
    <row r="369" spans="1:1" x14ac:dyDescent="0.2">
      <c r="A369"/>
    </row>
    <row r="370" spans="1:1" x14ac:dyDescent="0.2">
      <c r="A370"/>
    </row>
    <row r="371" spans="1:1" x14ac:dyDescent="0.2">
      <c r="A371"/>
    </row>
    <row r="372" spans="1:1" x14ac:dyDescent="0.2">
      <c r="A372"/>
    </row>
    <row r="373" spans="1:1" x14ac:dyDescent="0.2">
      <c r="A373"/>
    </row>
    <row r="374" spans="1:1" x14ac:dyDescent="0.2">
      <c r="A374"/>
    </row>
    <row r="375" spans="1:1" x14ac:dyDescent="0.2">
      <c r="A375"/>
    </row>
    <row r="376" spans="1:1" x14ac:dyDescent="0.2">
      <c r="A376"/>
    </row>
    <row r="377" spans="1:1" x14ac:dyDescent="0.2">
      <c r="A377"/>
    </row>
    <row r="378" spans="1:1" x14ac:dyDescent="0.2">
      <c r="A378"/>
    </row>
    <row r="379" spans="1:1" x14ac:dyDescent="0.2">
      <c r="A379"/>
    </row>
    <row r="380" spans="1:1" x14ac:dyDescent="0.2">
      <c r="A380"/>
    </row>
    <row r="381" spans="1:1" x14ac:dyDescent="0.2">
      <c r="A381"/>
    </row>
    <row r="382" spans="1:1" x14ac:dyDescent="0.2">
      <c r="A382"/>
    </row>
    <row r="383" spans="1:1" x14ac:dyDescent="0.2">
      <c r="A383"/>
    </row>
    <row r="384" spans="1:1" x14ac:dyDescent="0.2">
      <c r="A384"/>
    </row>
    <row r="385" spans="1:1" x14ac:dyDescent="0.2">
      <c r="A385"/>
    </row>
    <row r="386" spans="1:1" x14ac:dyDescent="0.2">
      <c r="A386"/>
    </row>
    <row r="387" spans="1:1" x14ac:dyDescent="0.2">
      <c r="A387"/>
    </row>
    <row r="388" spans="1:1" x14ac:dyDescent="0.2">
      <c r="A388"/>
    </row>
    <row r="389" spans="1:1" x14ac:dyDescent="0.2">
      <c r="A389"/>
    </row>
    <row r="390" spans="1:1" x14ac:dyDescent="0.2">
      <c r="A390"/>
    </row>
    <row r="391" spans="1:1" x14ac:dyDescent="0.2">
      <c r="A391"/>
    </row>
    <row r="392" spans="1:1" x14ac:dyDescent="0.2">
      <c r="A392"/>
    </row>
    <row r="393" spans="1:1" x14ac:dyDescent="0.2">
      <c r="A393"/>
    </row>
    <row r="394" spans="1:1" x14ac:dyDescent="0.2">
      <c r="A394"/>
    </row>
    <row r="395" spans="1:1" x14ac:dyDescent="0.2">
      <c r="A395"/>
    </row>
    <row r="396" spans="1:1" x14ac:dyDescent="0.2">
      <c r="A396"/>
    </row>
    <row r="397" spans="1:1" x14ac:dyDescent="0.2">
      <c r="A397"/>
    </row>
    <row r="398" spans="1:1" x14ac:dyDescent="0.2">
      <c r="A398"/>
    </row>
    <row r="399" spans="1:1" x14ac:dyDescent="0.2">
      <c r="A399"/>
    </row>
    <row r="400" spans="1:1" x14ac:dyDescent="0.2">
      <c r="A400"/>
    </row>
    <row r="401" spans="1:1" x14ac:dyDescent="0.2">
      <c r="A401"/>
    </row>
    <row r="402" spans="1:1" x14ac:dyDescent="0.2">
      <c r="A402"/>
    </row>
    <row r="403" spans="1:1" x14ac:dyDescent="0.2">
      <c r="A403"/>
    </row>
    <row r="404" spans="1:1" x14ac:dyDescent="0.2">
      <c r="A404"/>
    </row>
    <row r="405" spans="1:1" x14ac:dyDescent="0.2">
      <c r="A405"/>
    </row>
    <row r="406" spans="1:1" x14ac:dyDescent="0.2">
      <c r="A406"/>
    </row>
    <row r="407" spans="1:1" x14ac:dyDescent="0.2">
      <c r="A407"/>
    </row>
    <row r="408" spans="1:1" x14ac:dyDescent="0.2">
      <c r="A408"/>
    </row>
    <row r="409" spans="1:1" x14ac:dyDescent="0.2">
      <c r="A409"/>
    </row>
    <row r="410" spans="1:1" x14ac:dyDescent="0.2">
      <c r="A410"/>
    </row>
    <row r="411" spans="1:1" x14ac:dyDescent="0.2">
      <c r="A411"/>
    </row>
    <row r="412" spans="1:1" x14ac:dyDescent="0.2">
      <c r="A412"/>
    </row>
    <row r="413" spans="1:1" x14ac:dyDescent="0.2">
      <c r="A413"/>
    </row>
    <row r="414" spans="1:1" x14ac:dyDescent="0.2">
      <c r="A414"/>
    </row>
    <row r="415" spans="1:1" x14ac:dyDescent="0.2">
      <c r="A415"/>
    </row>
    <row r="416" spans="1:1" x14ac:dyDescent="0.2">
      <c r="A416"/>
    </row>
    <row r="417" spans="1:1" x14ac:dyDescent="0.2">
      <c r="A417"/>
    </row>
    <row r="418" spans="1:1" x14ac:dyDescent="0.2">
      <c r="A418"/>
    </row>
    <row r="419" spans="1:1" x14ac:dyDescent="0.2">
      <c r="A419"/>
    </row>
    <row r="420" spans="1:1" x14ac:dyDescent="0.2">
      <c r="A420"/>
    </row>
    <row r="421" spans="1:1" x14ac:dyDescent="0.2">
      <c r="A421"/>
    </row>
    <row r="422" spans="1:1" x14ac:dyDescent="0.2">
      <c r="A422"/>
    </row>
    <row r="423" spans="1:1" x14ac:dyDescent="0.2">
      <c r="A423"/>
    </row>
    <row r="424" spans="1:1" x14ac:dyDescent="0.2">
      <c r="A424"/>
    </row>
    <row r="425" spans="1:1" x14ac:dyDescent="0.2">
      <c r="A425"/>
    </row>
    <row r="426" spans="1:1" x14ac:dyDescent="0.2">
      <c r="A426"/>
    </row>
    <row r="427" spans="1:1" x14ac:dyDescent="0.2">
      <c r="A427"/>
    </row>
    <row r="428" spans="1:1" x14ac:dyDescent="0.2">
      <c r="A428"/>
    </row>
    <row r="429" spans="1:1" x14ac:dyDescent="0.2">
      <c r="A429"/>
    </row>
    <row r="430" spans="1:1" x14ac:dyDescent="0.2">
      <c r="A430"/>
    </row>
    <row r="431" spans="1:1" x14ac:dyDescent="0.2">
      <c r="A431"/>
    </row>
    <row r="432" spans="1:1" x14ac:dyDescent="0.2">
      <c r="A432"/>
    </row>
    <row r="433" spans="1:1" x14ac:dyDescent="0.2">
      <c r="A433"/>
    </row>
    <row r="434" spans="1:1" x14ac:dyDescent="0.2">
      <c r="A434"/>
    </row>
    <row r="435" spans="1:1" x14ac:dyDescent="0.2">
      <c r="A435"/>
    </row>
    <row r="436" spans="1:1" x14ac:dyDescent="0.2">
      <c r="A436"/>
    </row>
    <row r="437" spans="1:1" x14ac:dyDescent="0.2">
      <c r="A437"/>
    </row>
    <row r="438" spans="1:1" x14ac:dyDescent="0.2">
      <c r="A438"/>
    </row>
    <row r="439" spans="1:1" x14ac:dyDescent="0.2">
      <c r="A439"/>
    </row>
    <row r="440" spans="1:1" x14ac:dyDescent="0.2">
      <c r="A440"/>
    </row>
    <row r="441" spans="1:1" x14ac:dyDescent="0.2">
      <c r="A441"/>
    </row>
    <row r="442" spans="1:1" x14ac:dyDescent="0.2">
      <c r="A442"/>
    </row>
    <row r="443" spans="1:1" x14ac:dyDescent="0.2">
      <c r="A443"/>
    </row>
    <row r="444" spans="1:1" x14ac:dyDescent="0.2">
      <c r="A444"/>
    </row>
    <row r="445" spans="1:1" x14ac:dyDescent="0.2">
      <c r="A445"/>
    </row>
    <row r="446" spans="1:1" x14ac:dyDescent="0.2">
      <c r="A446"/>
    </row>
    <row r="447" spans="1:1" x14ac:dyDescent="0.2">
      <c r="A447"/>
    </row>
    <row r="448" spans="1:1" x14ac:dyDescent="0.2">
      <c r="A448"/>
    </row>
    <row r="449" spans="1:1" x14ac:dyDescent="0.2">
      <c r="A449"/>
    </row>
    <row r="450" spans="1:1" x14ac:dyDescent="0.2">
      <c r="A450"/>
    </row>
    <row r="451" spans="1:1" x14ac:dyDescent="0.2">
      <c r="A451"/>
    </row>
    <row r="452" spans="1:1" x14ac:dyDescent="0.2">
      <c r="A452"/>
    </row>
    <row r="453" spans="1:1" x14ac:dyDescent="0.2">
      <c r="A453"/>
    </row>
    <row r="454" spans="1:1" x14ac:dyDescent="0.2">
      <c r="A454"/>
    </row>
    <row r="455" spans="1:1" x14ac:dyDescent="0.2">
      <c r="A455"/>
    </row>
    <row r="456" spans="1:1" x14ac:dyDescent="0.2">
      <c r="A456"/>
    </row>
    <row r="457" spans="1:1" x14ac:dyDescent="0.2">
      <c r="A457"/>
    </row>
    <row r="458" spans="1:1" x14ac:dyDescent="0.2">
      <c r="A458"/>
    </row>
    <row r="459" spans="1:1" x14ac:dyDescent="0.2">
      <c r="A459"/>
    </row>
    <row r="460" spans="1:1" x14ac:dyDescent="0.2">
      <c r="A460"/>
    </row>
    <row r="461" spans="1:1" x14ac:dyDescent="0.2">
      <c r="A461"/>
    </row>
    <row r="462" spans="1:1" x14ac:dyDescent="0.2">
      <c r="A462"/>
    </row>
    <row r="463" spans="1:1" x14ac:dyDescent="0.2">
      <c r="A463"/>
    </row>
    <row r="464" spans="1:1" x14ac:dyDescent="0.2">
      <c r="A464"/>
    </row>
    <row r="465" spans="1:1" x14ac:dyDescent="0.2">
      <c r="A465"/>
    </row>
    <row r="466" spans="1:1" x14ac:dyDescent="0.2">
      <c r="A466"/>
    </row>
    <row r="467" spans="1:1" x14ac:dyDescent="0.2">
      <c r="A467"/>
    </row>
    <row r="468" spans="1:1" x14ac:dyDescent="0.2">
      <c r="A468"/>
    </row>
    <row r="469" spans="1:1" x14ac:dyDescent="0.2">
      <c r="A469"/>
    </row>
    <row r="470" spans="1:1" x14ac:dyDescent="0.2">
      <c r="A470"/>
    </row>
    <row r="471" spans="1:1" x14ac:dyDescent="0.2">
      <c r="A471"/>
    </row>
    <row r="472" spans="1:1" x14ac:dyDescent="0.2">
      <c r="A472"/>
    </row>
    <row r="473" spans="1:1" x14ac:dyDescent="0.2">
      <c r="A473"/>
    </row>
    <row r="474" spans="1:1" x14ac:dyDescent="0.2">
      <c r="A474"/>
    </row>
    <row r="475" spans="1:1" x14ac:dyDescent="0.2">
      <c r="A475"/>
    </row>
    <row r="476" spans="1:1" x14ac:dyDescent="0.2">
      <c r="A476"/>
    </row>
    <row r="477" spans="1:1" x14ac:dyDescent="0.2">
      <c r="A477"/>
    </row>
    <row r="478" spans="1:1" x14ac:dyDescent="0.2">
      <c r="A478"/>
    </row>
    <row r="479" spans="1:1" x14ac:dyDescent="0.2">
      <c r="A479"/>
    </row>
    <row r="480" spans="1:1" x14ac:dyDescent="0.2">
      <c r="A480"/>
    </row>
    <row r="481" spans="1:1" x14ac:dyDescent="0.2">
      <c r="A481"/>
    </row>
    <row r="482" spans="1:1" x14ac:dyDescent="0.2">
      <c r="A482"/>
    </row>
    <row r="483" spans="1:1" x14ac:dyDescent="0.2">
      <c r="A483"/>
    </row>
    <row r="484" spans="1:1" x14ac:dyDescent="0.2">
      <c r="A484"/>
    </row>
    <row r="485" spans="1:1" x14ac:dyDescent="0.2">
      <c r="A485"/>
    </row>
    <row r="486" spans="1:1" x14ac:dyDescent="0.2">
      <c r="A486"/>
    </row>
    <row r="487" spans="1:1" x14ac:dyDescent="0.2">
      <c r="A487"/>
    </row>
    <row r="488" spans="1:1" x14ac:dyDescent="0.2">
      <c r="A488"/>
    </row>
    <row r="489" spans="1:1" x14ac:dyDescent="0.2">
      <c r="A489"/>
    </row>
    <row r="490" spans="1:1" x14ac:dyDescent="0.2">
      <c r="A490"/>
    </row>
    <row r="491" spans="1:1" x14ac:dyDescent="0.2">
      <c r="A491"/>
    </row>
    <row r="492" spans="1:1" x14ac:dyDescent="0.2">
      <c r="A492"/>
    </row>
    <row r="493" spans="1:1" x14ac:dyDescent="0.2">
      <c r="A493"/>
    </row>
    <row r="494" spans="1:1" x14ac:dyDescent="0.2">
      <c r="A494"/>
    </row>
    <row r="495" spans="1:1" x14ac:dyDescent="0.2">
      <c r="A495"/>
    </row>
    <row r="496" spans="1:1" x14ac:dyDescent="0.2">
      <c r="A496"/>
    </row>
    <row r="497" spans="1:1" x14ac:dyDescent="0.2">
      <c r="A497"/>
    </row>
    <row r="498" spans="1:1" x14ac:dyDescent="0.2">
      <c r="A498"/>
    </row>
    <row r="499" spans="1:1" x14ac:dyDescent="0.2">
      <c r="A499"/>
    </row>
    <row r="500" spans="1:1" x14ac:dyDescent="0.2">
      <c r="A500"/>
    </row>
    <row r="501" spans="1:1" x14ac:dyDescent="0.2">
      <c r="A501"/>
    </row>
    <row r="502" spans="1:1" x14ac:dyDescent="0.2">
      <c r="A502"/>
    </row>
    <row r="503" spans="1:1" x14ac:dyDescent="0.2">
      <c r="A503"/>
    </row>
    <row r="504" spans="1:1" x14ac:dyDescent="0.2">
      <c r="A504"/>
    </row>
    <row r="505" spans="1:1" x14ac:dyDescent="0.2">
      <c r="A505"/>
    </row>
    <row r="506" spans="1:1" x14ac:dyDescent="0.2">
      <c r="A506"/>
    </row>
    <row r="507" spans="1:1" x14ac:dyDescent="0.2">
      <c r="A507"/>
    </row>
    <row r="508" spans="1:1" x14ac:dyDescent="0.2">
      <c r="A508"/>
    </row>
    <row r="509" spans="1:1" x14ac:dyDescent="0.2">
      <c r="A509"/>
    </row>
    <row r="510" spans="1:1" x14ac:dyDescent="0.2">
      <c r="A510"/>
    </row>
    <row r="511" spans="1:1" x14ac:dyDescent="0.2">
      <c r="A511"/>
    </row>
    <row r="512" spans="1:1" x14ac:dyDescent="0.2">
      <c r="A512"/>
    </row>
    <row r="513" spans="1:1" x14ac:dyDescent="0.2">
      <c r="A513"/>
    </row>
    <row r="514" spans="1:1" x14ac:dyDescent="0.2">
      <c r="A514"/>
    </row>
    <row r="515" spans="1:1" x14ac:dyDescent="0.2">
      <c r="A515"/>
    </row>
    <row r="516" spans="1:1" x14ac:dyDescent="0.2">
      <c r="A516"/>
    </row>
    <row r="517" spans="1:1" x14ac:dyDescent="0.2">
      <c r="A517"/>
    </row>
    <row r="518" spans="1:1" x14ac:dyDescent="0.2">
      <c r="A518"/>
    </row>
    <row r="519" spans="1:1" x14ac:dyDescent="0.2">
      <c r="A519"/>
    </row>
    <row r="520" spans="1:1" x14ac:dyDescent="0.2">
      <c r="A520"/>
    </row>
    <row r="521" spans="1:1" x14ac:dyDescent="0.2">
      <c r="A521"/>
    </row>
    <row r="522" spans="1:1" x14ac:dyDescent="0.2">
      <c r="A522"/>
    </row>
    <row r="523" spans="1:1" x14ac:dyDescent="0.2">
      <c r="A523"/>
    </row>
    <row r="524" spans="1:1" x14ac:dyDescent="0.2">
      <c r="A524"/>
    </row>
    <row r="525" spans="1:1" x14ac:dyDescent="0.2">
      <c r="A525"/>
    </row>
    <row r="526" spans="1:1" x14ac:dyDescent="0.2">
      <c r="A526"/>
    </row>
    <row r="527" spans="1:1" x14ac:dyDescent="0.2">
      <c r="A527"/>
    </row>
    <row r="528" spans="1:1" x14ac:dyDescent="0.2">
      <c r="A528"/>
    </row>
    <row r="529" spans="1:1" x14ac:dyDescent="0.2">
      <c r="A529"/>
    </row>
    <row r="530" spans="1:1" x14ac:dyDescent="0.2">
      <c r="A530"/>
    </row>
    <row r="531" spans="1:1" x14ac:dyDescent="0.2">
      <c r="A531"/>
    </row>
    <row r="532" spans="1:1" x14ac:dyDescent="0.2">
      <c r="A532"/>
    </row>
    <row r="533" spans="1:1" x14ac:dyDescent="0.2">
      <c r="A533"/>
    </row>
    <row r="534" spans="1:1" x14ac:dyDescent="0.2">
      <c r="A534"/>
    </row>
    <row r="535" spans="1:1" x14ac:dyDescent="0.2">
      <c r="A535"/>
    </row>
    <row r="536" spans="1:1" x14ac:dyDescent="0.2">
      <c r="A536"/>
    </row>
    <row r="537" spans="1:1" x14ac:dyDescent="0.2">
      <c r="A537"/>
    </row>
    <row r="538" spans="1:1" x14ac:dyDescent="0.2">
      <c r="A538"/>
    </row>
    <row r="539" spans="1:1" x14ac:dyDescent="0.2">
      <c r="A539"/>
    </row>
    <row r="540" spans="1:1" x14ac:dyDescent="0.2">
      <c r="A540"/>
    </row>
    <row r="541" spans="1:1" x14ac:dyDescent="0.2">
      <c r="A541"/>
    </row>
    <row r="542" spans="1:1" x14ac:dyDescent="0.2">
      <c r="A542"/>
    </row>
    <row r="543" spans="1:1" x14ac:dyDescent="0.2">
      <c r="A543"/>
    </row>
    <row r="544" spans="1:1" x14ac:dyDescent="0.2">
      <c r="A544"/>
    </row>
    <row r="545" spans="1:1" x14ac:dyDescent="0.2">
      <c r="A545"/>
    </row>
    <row r="546" spans="1:1" x14ac:dyDescent="0.2">
      <c r="A546"/>
    </row>
    <row r="547" spans="1:1" x14ac:dyDescent="0.2">
      <c r="A547"/>
    </row>
    <row r="548" spans="1:1" x14ac:dyDescent="0.2">
      <c r="A548"/>
    </row>
    <row r="549" spans="1:1" x14ac:dyDescent="0.2">
      <c r="A549"/>
    </row>
    <row r="550" spans="1:1" x14ac:dyDescent="0.2">
      <c r="A550"/>
    </row>
    <row r="551" spans="1:1" x14ac:dyDescent="0.2">
      <c r="A551"/>
    </row>
    <row r="552" spans="1:1" x14ac:dyDescent="0.2">
      <c r="A552"/>
    </row>
    <row r="553" spans="1:1" x14ac:dyDescent="0.2">
      <c r="A553"/>
    </row>
    <row r="554" spans="1:1" x14ac:dyDescent="0.2">
      <c r="A554"/>
    </row>
    <row r="555" spans="1:1" x14ac:dyDescent="0.2">
      <c r="A555"/>
    </row>
    <row r="556" spans="1:1" x14ac:dyDescent="0.2">
      <c r="A556"/>
    </row>
    <row r="557" spans="1:1" x14ac:dyDescent="0.2">
      <c r="A557"/>
    </row>
    <row r="558" spans="1:1" x14ac:dyDescent="0.2">
      <c r="A558"/>
    </row>
    <row r="559" spans="1:1" x14ac:dyDescent="0.2">
      <c r="A559"/>
    </row>
    <row r="560" spans="1:1" x14ac:dyDescent="0.2">
      <c r="A560"/>
    </row>
    <row r="561" spans="1:1" x14ac:dyDescent="0.2">
      <c r="A561"/>
    </row>
    <row r="562" spans="1:1" x14ac:dyDescent="0.2">
      <c r="A562"/>
    </row>
    <row r="563" spans="1:1" x14ac:dyDescent="0.2">
      <c r="A563"/>
    </row>
    <row r="564" spans="1:1" x14ac:dyDescent="0.2">
      <c r="A564"/>
    </row>
    <row r="565" spans="1:1" x14ac:dyDescent="0.2">
      <c r="A565"/>
    </row>
    <row r="566" spans="1:1" x14ac:dyDescent="0.2">
      <c r="A566"/>
    </row>
    <row r="567" spans="1:1" x14ac:dyDescent="0.2">
      <c r="A567"/>
    </row>
    <row r="568" spans="1:1" x14ac:dyDescent="0.2">
      <c r="A568"/>
    </row>
    <row r="569" spans="1:1" x14ac:dyDescent="0.2">
      <c r="A569"/>
    </row>
    <row r="570" spans="1:1" x14ac:dyDescent="0.2">
      <c r="A570"/>
    </row>
    <row r="571" spans="1:1" x14ac:dyDescent="0.2">
      <c r="A571"/>
    </row>
    <row r="572" spans="1:1" x14ac:dyDescent="0.2">
      <c r="A572"/>
    </row>
    <row r="573" spans="1:1" x14ac:dyDescent="0.2">
      <c r="A573"/>
    </row>
    <row r="574" spans="1:1" x14ac:dyDescent="0.2">
      <c r="A574"/>
    </row>
    <row r="575" spans="1:1" x14ac:dyDescent="0.2">
      <c r="A575"/>
    </row>
    <row r="576" spans="1:1" x14ac:dyDescent="0.2">
      <c r="A576"/>
    </row>
    <row r="577" spans="1:1" x14ac:dyDescent="0.2">
      <c r="A577"/>
    </row>
    <row r="578" spans="1:1" x14ac:dyDescent="0.2">
      <c r="A578"/>
    </row>
    <row r="579" spans="1:1" x14ac:dyDescent="0.2">
      <c r="A579"/>
    </row>
    <row r="580" spans="1:1" x14ac:dyDescent="0.2">
      <c r="A580"/>
    </row>
    <row r="581" spans="1:1" x14ac:dyDescent="0.2">
      <c r="A581"/>
    </row>
    <row r="582" spans="1:1" x14ac:dyDescent="0.2">
      <c r="A582"/>
    </row>
    <row r="583" spans="1:1" x14ac:dyDescent="0.2">
      <c r="A583"/>
    </row>
    <row r="584" spans="1:1" x14ac:dyDescent="0.2">
      <c r="A584"/>
    </row>
    <row r="585" spans="1:1" x14ac:dyDescent="0.2">
      <c r="A585"/>
    </row>
    <row r="586" spans="1:1" x14ac:dyDescent="0.2">
      <c r="A586"/>
    </row>
    <row r="587" spans="1:1" x14ac:dyDescent="0.2">
      <c r="A587"/>
    </row>
    <row r="588" spans="1:1" x14ac:dyDescent="0.2">
      <c r="A588"/>
    </row>
    <row r="589" spans="1:1" x14ac:dyDescent="0.2">
      <c r="A589"/>
    </row>
    <row r="590" spans="1:1" x14ac:dyDescent="0.2">
      <c r="A590"/>
    </row>
    <row r="591" spans="1:1" x14ac:dyDescent="0.2">
      <c r="A591"/>
    </row>
    <row r="592" spans="1:1" x14ac:dyDescent="0.2">
      <c r="A592"/>
    </row>
    <row r="593" spans="1:1" x14ac:dyDescent="0.2">
      <c r="A593"/>
    </row>
    <row r="594" spans="1:1" x14ac:dyDescent="0.2">
      <c r="A594"/>
    </row>
    <row r="595" spans="1:1" x14ac:dyDescent="0.2">
      <c r="A595"/>
    </row>
    <row r="596" spans="1:1" x14ac:dyDescent="0.2">
      <c r="A596"/>
    </row>
    <row r="597" spans="1:1" x14ac:dyDescent="0.2">
      <c r="A597"/>
    </row>
    <row r="598" spans="1:1" x14ac:dyDescent="0.2">
      <c r="A598"/>
    </row>
    <row r="599" spans="1:1" x14ac:dyDescent="0.2">
      <c r="A599"/>
    </row>
    <row r="600" spans="1:1" x14ac:dyDescent="0.2">
      <c r="A600"/>
    </row>
    <row r="601" spans="1:1" x14ac:dyDescent="0.2">
      <c r="A601"/>
    </row>
    <row r="602" spans="1:1" x14ac:dyDescent="0.2">
      <c r="A602"/>
    </row>
    <row r="603" spans="1:1" x14ac:dyDescent="0.2">
      <c r="A603"/>
    </row>
    <row r="604" spans="1:1" x14ac:dyDescent="0.2">
      <c r="A604"/>
    </row>
    <row r="605" spans="1:1" x14ac:dyDescent="0.2">
      <c r="A605"/>
    </row>
    <row r="606" spans="1:1" x14ac:dyDescent="0.2">
      <c r="A606"/>
    </row>
    <row r="607" spans="1:1" x14ac:dyDescent="0.2">
      <c r="A607"/>
    </row>
    <row r="608" spans="1:1" x14ac:dyDescent="0.2">
      <c r="A608"/>
    </row>
    <row r="609" spans="1:1" x14ac:dyDescent="0.2">
      <c r="A609"/>
    </row>
    <row r="610" spans="1:1" x14ac:dyDescent="0.2">
      <c r="A610"/>
    </row>
    <row r="611" spans="1:1" x14ac:dyDescent="0.2">
      <c r="A611"/>
    </row>
    <row r="612" spans="1:1" x14ac:dyDescent="0.2">
      <c r="A612"/>
    </row>
    <row r="613" spans="1:1" x14ac:dyDescent="0.2">
      <c r="A613"/>
    </row>
    <row r="614" spans="1:1" x14ac:dyDescent="0.2">
      <c r="A614"/>
    </row>
    <row r="615" spans="1:1" x14ac:dyDescent="0.2">
      <c r="A615"/>
    </row>
    <row r="616" spans="1:1" x14ac:dyDescent="0.2">
      <c r="A616"/>
    </row>
    <row r="617" spans="1:1" x14ac:dyDescent="0.2">
      <c r="A617"/>
    </row>
    <row r="618" spans="1:1" x14ac:dyDescent="0.2">
      <c r="A618"/>
    </row>
    <row r="619" spans="1:1" x14ac:dyDescent="0.2">
      <c r="A619"/>
    </row>
    <row r="620" spans="1:1" x14ac:dyDescent="0.2">
      <c r="A620"/>
    </row>
    <row r="621" spans="1:1" x14ac:dyDescent="0.2">
      <c r="A621"/>
    </row>
    <row r="622" spans="1:1" x14ac:dyDescent="0.2">
      <c r="A622"/>
    </row>
    <row r="623" spans="1:1" x14ac:dyDescent="0.2">
      <c r="A623"/>
    </row>
    <row r="624" spans="1:1" x14ac:dyDescent="0.2">
      <c r="A624"/>
    </row>
    <row r="625" spans="1:1" x14ac:dyDescent="0.2">
      <c r="A625"/>
    </row>
    <row r="626" spans="1:1" x14ac:dyDescent="0.2">
      <c r="A626"/>
    </row>
    <row r="627" spans="1:1" x14ac:dyDescent="0.2">
      <c r="A627"/>
    </row>
    <row r="628" spans="1:1" x14ac:dyDescent="0.2">
      <c r="A628"/>
    </row>
    <row r="629" spans="1:1" x14ac:dyDescent="0.2">
      <c r="A629"/>
    </row>
    <row r="630" spans="1:1" x14ac:dyDescent="0.2">
      <c r="A630"/>
    </row>
    <row r="631" spans="1:1" x14ac:dyDescent="0.2">
      <c r="A631"/>
    </row>
    <row r="632" spans="1:1" x14ac:dyDescent="0.2">
      <c r="A632"/>
    </row>
    <row r="633" spans="1:1" x14ac:dyDescent="0.2">
      <c r="A633"/>
    </row>
    <row r="634" spans="1:1" x14ac:dyDescent="0.2">
      <c r="A634"/>
    </row>
    <row r="635" spans="1:1" x14ac:dyDescent="0.2">
      <c r="A635"/>
    </row>
    <row r="636" spans="1:1" x14ac:dyDescent="0.2">
      <c r="A636"/>
    </row>
    <row r="637" spans="1:1" x14ac:dyDescent="0.2">
      <c r="A637"/>
    </row>
    <row r="638" spans="1:1" x14ac:dyDescent="0.2">
      <c r="A638"/>
    </row>
    <row r="639" spans="1:1" x14ac:dyDescent="0.2">
      <c r="A639"/>
    </row>
    <row r="640" spans="1:1" x14ac:dyDescent="0.2">
      <c r="A640"/>
    </row>
    <row r="641" spans="1:1" x14ac:dyDescent="0.2">
      <c r="A641"/>
    </row>
    <row r="642" spans="1:1" x14ac:dyDescent="0.2">
      <c r="A642"/>
    </row>
    <row r="643" spans="1:1" x14ac:dyDescent="0.2">
      <c r="A643"/>
    </row>
    <row r="644" spans="1:1" x14ac:dyDescent="0.2">
      <c r="A644"/>
    </row>
    <row r="645" spans="1:1" x14ac:dyDescent="0.2">
      <c r="A645"/>
    </row>
    <row r="646" spans="1:1" x14ac:dyDescent="0.2">
      <c r="A646"/>
    </row>
    <row r="647" spans="1:1" x14ac:dyDescent="0.2">
      <c r="A647"/>
    </row>
    <row r="648" spans="1:1" x14ac:dyDescent="0.2">
      <c r="A648"/>
    </row>
    <row r="649" spans="1:1" x14ac:dyDescent="0.2">
      <c r="A649"/>
    </row>
    <row r="650" spans="1:1" x14ac:dyDescent="0.2">
      <c r="A650"/>
    </row>
    <row r="651" spans="1:1" x14ac:dyDescent="0.2">
      <c r="A651"/>
    </row>
    <row r="652" spans="1:1" x14ac:dyDescent="0.2">
      <c r="A652"/>
    </row>
    <row r="653" spans="1:1" x14ac:dyDescent="0.2">
      <c r="A653"/>
    </row>
    <row r="654" spans="1:1" x14ac:dyDescent="0.2">
      <c r="A654"/>
    </row>
    <row r="655" spans="1:1" x14ac:dyDescent="0.2">
      <c r="A655"/>
    </row>
    <row r="656" spans="1:1" x14ac:dyDescent="0.2">
      <c r="A656"/>
    </row>
    <row r="657" spans="1:1" x14ac:dyDescent="0.2">
      <c r="A657"/>
    </row>
    <row r="658" spans="1:1" x14ac:dyDescent="0.2">
      <c r="A658"/>
    </row>
    <row r="659" spans="1:1" x14ac:dyDescent="0.2">
      <c r="A659"/>
    </row>
    <row r="660" spans="1:1" x14ac:dyDescent="0.2">
      <c r="A660"/>
    </row>
    <row r="661" spans="1:1" x14ac:dyDescent="0.2">
      <c r="A661"/>
    </row>
    <row r="662" spans="1:1" x14ac:dyDescent="0.2">
      <c r="A662"/>
    </row>
    <row r="663" spans="1:1" x14ac:dyDescent="0.2">
      <c r="A663"/>
    </row>
    <row r="664" spans="1:1" x14ac:dyDescent="0.2">
      <c r="A664"/>
    </row>
    <row r="665" spans="1:1" x14ac:dyDescent="0.2">
      <c r="A665"/>
    </row>
    <row r="666" spans="1:1" x14ac:dyDescent="0.2">
      <c r="A666"/>
    </row>
    <row r="667" spans="1:1" x14ac:dyDescent="0.2">
      <c r="A667"/>
    </row>
    <row r="668" spans="1:1" x14ac:dyDescent="0.2">
      <c r="A668"/>
    </row>
    <row r="669" spans="1:1" x14ac:dyDescent="0.2">
      <c r="A669"/>
    </row>
    <row r="670" spans="1:1" x14ac:dyDescent="0.2">
      <c r="A670"/>
    </row>
    <row r="671" spans="1:1" x14ac:dyDescent="0.2">
      <c r="A671"/>
    </row>
    <row r="672" spans="1:1" x14ac:dyDescent="0.2">
      <c r="A672"/>
    </row>
    <row r="673" spans="1:1" x14ac:dyDescent="0.2">
      <c r="A673"/>
    </row>
    <row r="674" spans="1:1" x14ac:dyDescent="0.2">
      <c r="A674"/>
    </row>
    <row r="675" spans="1:1" x14ac:dyDescent="0.2">
      <c r="A675"/>
    </row>
    <row r="676" spans="1:1" x14ac:dyDescent="0.2">
      <c r="A676"/>
    </row>
    <row r="677" spans="1:1" x14ac:dyDescent="0.2">
      <c r="A677"/>
    </row>
    <row r="678" spans="1:1" x14ac:dyDescent="0.2">
      <c r="A678"/>
    </row>
    <row r="679" spans="1:1" x14ac:dyDescent="0.2">
      <c r="A679"/>
    </row>
    <row r="680" spans="1:1" x14ac:dyDescent="0.2">
      <c r="A680"/>
    </row>
    <row r="681" spans="1:1" x14ac:dyDescent="0.2">
      <c r="A681"/>
    </row>
    <row r="682" spans="1:1" x14ac:dyDescent="0.2">
      <c r="A682"/>
    </row>
    <row r="683" spans="1:1" x14ac:dyDescent="0.2">
      <c r="A683"/>
    </row>
    <row r="684" spans="1:1" x14ac:dyDescent="0.2">
      <c r="A684"/>
    </row>
    <row r="685" spans="1:1" x14ac:dyDescent="0.2">
      <c r="A685"/>
    </row>
    <row r="686" spans="1:1" x14ac:dyDescent="0.2">
      <c r="A686"/>
    </row>
    <row r="687" spans="1:1" x14ac:dyDescent="0.2">
      <c r="A687"/>
    </row>
    <row r="688" spans="1:1" x14ac:dyDescent="0.2">
      <c r="A688"/>
    </row>
    <row r="689" spans="1:1" x14ac:dyDescent="0.2">
      <c r="A689"/>
    </row>
    <row r="690" spans="1:1" x14ac:dyDescent="0.2">
      <c r="A690"/>
    </row>
    <row r="691" spans="1:1" x14ac:dyDescent="0.2">
      <c r="A691"/>
    </row>
    <row r="692" spans="1:1" x14ac:dyDescent="0.2">
      <c r="A692"/>
    </row>
    <row r="693" spans="1:1" x14ac:dyDescent="0.2">
      <c r="A693"/>
    </row>
    <row r="694" spans="1:1" x14ac:dyDescent="0.2">
      <c r="A694"/>
    </row>
    <row r="695" spans="1:1" x14ac:dyDescent="0.2">
      <c r="A695"/>
    </row>
    <row r="696" spans="1:1" x14ac:dyDescent="0.2">
      <c r="A696"/>
    </row>
    <row r="697" spans="1:1" x14ac:dyDescent="0.2">
      <c r="A697"/>
    </row>
    <row r="698" spans="1:1" x14ac:dyDescent="0.2">
      <c r="A698"/>
    </row>
    <row r="699" spans="1:1" x14ac:dyDescent="0.2">
      <c r="A699"/>
    </row>
    <row r="700" spans="1:1" x14ac:dyDescent="0.2">
      <c r="A700"/>
    </row>
    <row r="701" spans="1:1" x14ac:dyDescent="0.2">
      <c r="A701"/>
    </row>
    <row r="702" spans="1:1" x14ac:dyDescent="0.2">
      <c r="A702"/>
    </row>
    <row r="703" spans="1:1" x14ac:dyDescent="0.2">
      <c r="A703"/>
    </row>
    <row r="704" spans="1:1" x14ac:dyDescent="0.2">
      <c r="A704"/>
    </row>
    <row r="705" spans="1:1" x14ac:dyDescent="0.2">
      <c r="A705"/>
    </row>
    <row r="706" spans="1:1" x14ac:dyDescent="0.2">
      <c r="A706"/>
    </row>
    <row r="707" spans="1:1" x14ac:dyDescent="0.2">
      <c r="A707"/>
    </row>
    <row r="708" spans="1:1" x14ac:dyDescent="0.2">
      <c r="A708"/>
    </row>
    <row r="709" spans="1:1" x14ac:dyDescent="0.2">
      <c r="A709"/>
    </row>
    <row r="710" spans="1:1" x14ac:dyDescent="0.2">
      <c r="A710"/>
    </row>
    <row r="711" spans="1:1" x14ac:dyDescent="0.2">
      <c r="A711"/>
    </row>
    <row r="712" spans="1:1" x14ac:dyDescent="0.2">
      <c r="A712"/>
    </row>
    <row r="713" spans="1:1" x14ac:dyDescent="0.2">
      <c r="A713"/>
    </row>
    <row r="714" spans="1:1" x14ac:dyDescent="0.2">
      <c r="A714"/>
    </row>
    <row r="715" spans="1:1" x14ac:dyDescent="0.2">
      <c r="A715"/>
    </row>
    <row r="716" spans="1:1" x14ac:dyDescent="0.2">
      <c r="A716"/>
    </row>
    <row r="717" spans="1:1" x14ac:dyDescent="0.2">
      <c r="A717"/>
    </row>
    <row r="718" spans="1:1" x14ac:dyDescent="0.2">
      <c r="A718"/>
    </row>
    <row r="719" spans="1:1" x14ac:dyDescent="0.2">
      <c r="A719"/>
    </row>
    <row r="720" spans="1:1" x14ac:dyDescent="0.2">
      <c r="A720"/>
    </row>
    <row r="721" spans="1:1" x14ac:dyDescent="0.2">
      <c r="A721"/>
    </row>
    <row r="722" spans="1:1" x14ac:dyDescent="0.2">
      <c r="A722"/>
    </row>
    <row r="723" spans="1:1" x14ac:dyDescent="0.2">
      <c r="A723"/>
    </row>
    <row r="724" spans="1:1" x14ac:dyDescent="0.2">
      <c r="A724"/>
    </row>
    <row r="725" spans="1:1" x14ac:dyDescent="0.2">
      <c r="A725"/>
    </row>
    <row r="726" spans="1:1" x14ac:dyDescent="0.2">
      <c r="A726"/>
    </row>
    <row r="727" spans="1:1" x14ac:dyDescent="0.2">
      <c r="A727"/>
    </row>
    <row r="728" spans="1:1" x14ac:dyDescent="0.2">
      <c r="A728"/>
    </row>
    <row r="729" spans="1:1" x14ac:dyDescent="0.2">
      <c r="A729"/>
    </row>
    <row r="730" spans="1:1" x14ac:dyDescent="0.2">
      <c r="A730"/>
    </row>
    <row r="731" spans="1:1" x14ac:dyDescent="0.2">
      <c r="A731"/>
    </row>
    <row r="732" spans="1:1" x14ac:dyDescent="0.2">
      <c r="A732"/>
    </row>
    <row r="733" spans="1:1" x14ac:dyDescent="0.2">
      <c r="A733"/>
    </row>
    <row r="734" spans="1:1" x14ac:dyDescent="0.2">
      <c r="A734"/>
    </row>
    <row r="735" spans="1:1" x14ac:dyDescent="0.2">
      <c r="A735"/>
    </row>
    <row r="736" spans="1:1" x14ac:dyDescent="0.2">
      <c r="A736"/>
    </row>
    <row r="737" spans="1:1" x14ac:dyDescent="0.2">
      <c r="A737"/>
    </row>
    <row r="738" spans="1:1" x14ac:dyDescent="0.2">
      <c r="A738"/>
    </row>
    <row r="739" spans="1:1" x14ac:dyDescent="0.2">
      <c r="A739"/>
    </row>
    <row r="740" spans="1:1" x14ac:dyDescent="0.2">
      <c r="A740"/>
    </row>
    <row r="741" spans="1:1" x14ac:dyDescent="0.2">
      <c r="A741"/>
    </row>
    <row r="742" spans="1:1" x14ac:dyDescent="0.2">
      <c r="A742"/>
    </row>
    <row r="743" spans="1:1" x14ac:dyDescent="0.2">
      <c r="A743"/>
    </row>
    <row r="744" spans="1:1" x14ac:dyDescent="0.2">
      <c r="A744"/>
    </row>
    <row r="745" spans="1:1" x14ac:dyDescent="0.2">
      <c r="A745"/>
    </row>
    <row r="746" spans="1:1" x14ac:dyDescent="0.2">
      <c r="A746"/>
    </row>
    <row r="747" spans="1:1" x14ac:dyDescent="0.2">
      <c r="A747"/>
    </row>
    <row r="748" spans="1:1" x14ac:dyDescent="0.2">
      <c r="A748"/>
    </row>
    <row r="749" spans="1:1" x14ac:dyDescent="0.2">
      <c r="A749"/>
    </row>
    <row r="750" spans="1:1" x14ac:dyDescent="0.2">
      <c r="A750"/>
    </row>
    <row r="751" spans="1:1" x14ac:dyDescent="0.2">
      <c r="A751"/>
    </row>
    <row r="752" spans="1:1" x14ac:dyDescent="0.2">
      <c r="A752"/>
    </row>
    <row r="753" spans="1:1" x14ac:dyDescent="0.2">
      <c r="A753"/>
    </row>
    <row r="754" spans="1:1" x14ac:dyDescent="0.2">
      <c r="A754"/>
    </row>
    <row r="755" spans="1:1" x14ac:dyDescent="0.2">
      <c r="A755"/>
    </row>
    <row r="756" spans="1:1" x14ac:dyDescent="0.2">
      <c r="A756"/>
    </row>
    <row r="757" spans="1:1" x14ac:dyDescent="0.2">
      <c r="A757"/>
    </row>
    <row r="758" spans="1:1" x14ac:dyDescent="0.2">
      <c r="A758"/>
    </row>
    <row r="759" spans="1:1" x14ac:dyDescent="0.2">
      <c r="A759"/>
    </row>
    <row r="760" spans="1:1" x14ac:dyDescent="0.2">
      <c r="A760"/>
    </row>
    <row r="761" spans="1:1" x14ac:dyDescent="0.2">
      <c r="A761"/>
    </row>
    <row r="762" spans="1:1" x14ac:dyDescent="0.2">
      <c r="A762"/>
    </row>
    <row r="763" spans="1:1" x14ac:dyDescent="0.2">
      <c r="A763"/>
    </row>
    <row r="764" spans="1:1" x14ac:dyDescent="0.2">
      <c r="A764"/>
    </row>
    <row r="765" spans="1:1" x14ac:dyDescent="0.2">
      <c r="A765"/>
    </row>
    <row r="766" spans="1:1" x14ac:dyDescent="0.2">
      <c r="A766"/>
    </row>
    <row r="767" spans="1:1" x14ac:dyDescent="0.2">
      <c r="A767"/>
    </row>
    <row r="768" spans="1:1" x14ac:dyDescent="0.2">
      <c r="A768"/>
    </row>
    <row r="769" spans="1:1" x14ac:dyDescent="0.2">
      <c r="A769"/>
    </row>
    <row r="770" spans="1:1" x14ac:dyDescent="0.2">
      <c r="A770"/>
    </row>
    <row r="771" spans="1:1" x14ac:dyDescent="0.2">
      <c r="A771"/>
    </row>
    <row r="772" spans="1:1" x14ac:dyDescent="0.2">
      <c r="A772"/>
    </row>
    <row r="773" spans="1:1" x14ac:dyDescent="0.2">
      <c r="A773"/>
    </row>
    <row r="774" spans="1:1" x14ac:dyDescent="0.2">
      <c r="A774"/>
    </row>
    <row r="775" spans="1:1" x14ac:dyDescent="0.2">
      <c r="A775"/>
    </row>
    <row r="776" spans="1:1" x14ac:dyDescent="0.2">
      <c r="A776"/>
    </row>
    <row r="777" spans="1:1" x14ac:dyDescent="0.2">
      <c r="A777"/>
    </row>
    <row r="778" spans="1:1" x14ac:dyDescent="0.2">
      <c r="A778"/>
    </row>
    <row r="779" spans="1:1" x14ac:dyDescent="0.2">
      <c r="A779"/>
    </row>
    <row r="780" spans="1:1" x14ac:dyDescent="0.2">
      <c r="A780"/>
    </row>
    <row r="781" spans="1:1" x14ac:dyDescent="0.2">
      <c r="A781"/>
    </row>
    <row r="782" spans="1:1" x14ac:dyDescent="0.2">
      <c r="A782"/>
    </row>
    <row r="783" spans="1:1" x14ac:dyDescent="0.2">
      <c r="A783"/>
    </row>
    <row r="784" spans="1:1" x14ac:dyDescent="0.2">
      <c r="A784"/>
    </row>
    <row r="785" spans="1:1" x14ac:dyDescent="0.2">
      <c r="A785"/>
    </row>
    <row r="786" spans="1:1" x14ac:dyDescent="0.2">
      <c r="A786"/>
    </row>
    <row r="787" spans="1:1" x14ac:dyDescent="0.2">
      <c r="A787"/>
    </row>
    <row r="788" spans="1:1" x14ac:dyDescent="0.2">
      <c r="A788"/>
    </row>
    <row r="789" spans="1:1" x14ac:dyDescent="0.2">
      <c r="A789"/>
    </row>
    <row r="790" spans="1:1" x14ac:dyDescent="0.2">
      <c r="A790"/>
    </row>
    <row r="791" spans="1:1" x14ac:dyDescent="0.2">
      <c r="A791"/>
    </row>
    <row r="792" spans="1:1" x14ac:dyDescent="0.2">
      <c r="A792"/>
    </row>
    <row r="793" spans="1:1" x14ac:dyDescent="0.2">
      <c r="A793"/>
    </row>
    <row r="794" spans="1:1" x14ac:dyDescent="0.2">
      <c r="A794"/>
    </row>
    <row r="795" spans="1:1" x14ac:dyDescent="0.2">
      <c r="A795"/>
    </row>
    <row r="796" spans="1:1" x14ac:dyDescent="0.2">
      <c r="A796"/>
    </row>
    <row r="797" spans="1:1" x14ac:dyDescent="0.2">
      <c r="A797"/>
    </row>
    <row r="798" spans="1:1" x14ac:dyDescent="0.2">
      <c r="A798"/>
    </row>
    <row r="799" spans="1:1" x14ac:dyDescent="0.2">
      <c r="A799"/>
    </row>
    <row r="800" spans="1:1" x14ac:dyDescent="0.2">
      <c r="A800"/>
    </row>
    <row r="801" spans="1:1" x14ac:dyDescent="0.2">
      <c r="A801"/>
    </row>
    <row r="802" spans="1:1" x14ac:dyDescent="0.2">
      <c r="A802"/>
    </row>
    <row r="803" spans="1:1" x14ac:dyDescent="0.2">
      <c r="A803"/>
    </row>
    <row r="804" spans="1:1" x14ac:dyDescent="0.2">
      <c r="A804"/>
    </row>
    <row r="805" spans="1:1" x14ac:dyDescent="0.2">
      <c r="A805"/>
    </row>
    <row r="806" spans="1:1" x14ac:dyDescent="0.2">
      <c r="A806"/>
    </row>
    <row r="807" spans="1:1" x14ac:dyDescent="0.2">
      <c r="A807"/>
    </row>
    <row r="808" spans="1:1" x14ac:dyDescent="0.2">
      <c r="A808"/>
    </row>
    <row r="809" spans="1:1" x14ac:dyDescent="0.2">
      <c r="A809"/>
    </row>
    <row r="810" spans="1:1" x14ac:dyDescent="0.2">
      <c r="A810"/>
    </row>
    <row r="811" spans="1:1" x14ac:dyDescent="0.2">
      <c r="A811"/>
    </row>
    <row r="812" spans="1:1" x14ac:dyDescent="0.2">
      <c r="A812"/>
    </row>
    <row r="813" spans="1:1" x14ac:dyDescent="0.2">
      <c r="A813"/>
    </row>
    <row r="814" spans="1:1" x14ac:dyDescent="0.2">
      <c r="A814"/>
    </row>
    <row r="815" spans="1:1" x14ac:dyDescent="0.2">
      <c r="A815"/>
    </row>
    <row r="816" spans="1:1" x14ac:dyDescent="0.2">
      <c r="A816"/>
    </row>
    <row r="817" spans="1:1" x14ac:dyDescent="0.2">
      <c r="A817"/>
    </row>
    <row r="818" spans="1:1" x14ac:dyDescent="0.2">
      <c r="A818"/>
    </row>
    <row r="819" spans="1:1" x14ac:dyDescent="0.2">
      <c r="A819"/>
    </row>
    <row r="820" spans="1:1" x14ac:dyDescent="0.2">
      <c r="A820"/>
    </row>
    <row r="821" spans="1:1" x14ac:dyDescent="0.2">
      <c r="A821"/>
    </row>
    <row r="822" spans="1:1" x14ac:dyDescent="0.2">
      <c r="A822"/>
    </row>
    <row r="823" spans="1:1" x14ac:dyDescent="0.2">
      <c r="A823"/>
    </row>
    <row r="824" spans="1:1" x14ac:dyDescent="0.2">
      <c r="A824"/>
    </row>
    <row r="825" spans="1:1" x14ac:dyDescent="0.2">
      <c r="A825"/>
    </row>
    <row r="826" spans="1:1" x14ac:dyDescent="0.2">
      <c r="A826"/>
    </row>
    <row r="827" spans="1:1" x14ac:dyDescent="0.2">
      <c r="A827"/>
    </row>
    <row r="828" spans="1:1" x14ac:dyDescent="0.2">
      <c r="A828"/>
    </row>
    <row r="829" spans="1:1" x14ac:dyDescent="0.2">
      <c r="A829"/>
    </row>
    <row r="830" spans="1:1" x14ac:dyDescent="0.2">
      <c r="A830"/>
    </row>
    <row r="831" spans="1:1" x14ac:dyDescent="0.2">
      <c r="A831"/>
    </row>
    <row r="832" spans="1:1" x14ac:dyDescent="0.2">
      <c r="A832"/>
    </row>
    <row r="833" spans="1:1" x14ac:dyDescent="0.2">
      <c r="A833"/>
    </row>
    <row r="834" spans="1:1" x14ac:dyDescent="0.2">
      <c r="A834"/>
    </row>
    <row r="835" spans="1:1" x14ac:dyDescent="0.2">
      <c r="A835"/>
    </row>
    <row r="836" spans="1:1" x14ac:dyDescent="0.2">
      <c r="A836"/>
    </row>
    <row r="837" spans="1:1" x14ac:dyDescent="0.2">
      <c r="A837"/>
    </row>
    <row r="838" spans="1:1" x14ac:dyDescent="0.2">
      <c r="A838"/>
    </row>
    <row r="839" spans="1:1" x14ac:dyDescent="0.2">
      <c r="A839"/>
    </row>
    <row r="840" spans="1:1" x14ac:dyDescent="0.2">
      <c r="A840"/>
    </row>
    <row r="841" spans="1:1" x14ac:dyDescent="0.2">
      <c r="A841"/>
    </row>
    <row r="842" spans="1:1" x14ac:dyDescent="0.2">
      <c r="A842"/>
    </row>
    <row r="843" spans="1:1" x14ac:dyDescent="0.2">
      <c r="A843"/>
    </row>
    <row r="844" spans="1:1" x14ac:dyDescent="0.2">
      <c r="A844"/>
    </row>
    <row r="845" spans="1:1" x14ac:dyDescent="0.2">
      <c r="A845"/>
    </row>
    <row r="846" spans="1:1" x14ac:dyDescent="0.2">
      <c r="A846"/>
    </row>
    <row r="847" spans="1:1" x14ac:dyDescent="0.2">
      <c r="A847"/>
    </row>
    <row r="848" spans="1:1" x14ac:dyDescent="0.2">
      <c r="A848"/>
    </row>
    <row r="849" spans="1:1" x14ac:dyDescent="0.2">
      <c r="A849"/>
    </row>
    <row r="850" spans="1:1" x14ac:dyDescent="0.2">
      <c r="A850"/>
    </row>
    <row r="851" spans="1:1" x14ac:dyDescent="0.2">
      <c r="A851"/>
    </row>
    <row r="852" spans="1:1" x14ac:dyDescent="0.2">
      <c r="A852"/>
    </row>
    <row r="853" spans="1:1" x14ac:dyDescent="0.2">
      <c r="A853"/>
    </row>
    <row r="854" spans="1:1" x14ac:dyDescent="0.2">
      <c r="A854"/>
    </row>
    <row r="855" spans="1:1" x14ac:dyDescent="0.2">
      <c r="A855"/>
    </row>
    <row r="856" spans="1:1" x14ac:dyDescent="0.2">
      <c r="A856"/>
    </row>
    <row r="857" spans="1:1" x14ac:dyDescent="0.2">
      <c r="A857"/>
    </row>
    <row r="858" spans="1:1" x14ac:dyDescent="0.2">
      <c r="A858"/>
    </row>
    <row r="859" spans="1:1" x14ac:dyDescent="0.2">
      <c r="A859"/>
    </row>
    <row r="860" spans="1:1" x14ac:dyDescent="0.2">
      <c r="A860"/>
    </row>
    <row r="861" spans="1:1" x14ac:dyDescent="0.2">
      <c r="A861"/>
    </row>
    <row r="862" spans="1:1" x14ac:dyDescent="0.2">
      <c r="A862"/>
    </row>
    <row r="863" spans="1:1" x14ac:dyDescent="0.2">
      <c r="A863"/>
    </row>
    <row r="864" spans="1:1" x14ac:dyDescent="0.2">
      <c r="A864"/>
    </row>
    <row r="865" spans="1:1" x14ac:dyDescent="0.2">
      <c r="A865"/>
    </row>
    <row r="866" spans="1:1" x14ac:dyDescent="0.2">
      <c r="A866"/>
    </row>
    <row r="867" spans="1:1" x14ac:dyDescent="0.2">
      <c r="A867"/>
    </row>
    <row r="868" spans="1:1" x14ac:dyDescent="0.2">
      <c r="A868"/>
    </row>
    <row r="869" spans="1:1" x14ac:dyDescent="0.2">
      <c r="A869"/>
    </row>
    <row r="870" spans="1:1" x14ac:dyDescent="0.2">
      <c r="A870"/>
    </row>
    <row r="871" spans="1:1" x14ac:dyDescent="0.2">
      <c r="A871"/>
    </row>
    <row r="872" spans="1:1" x14ac:dyDescent="0.2">
      <c r="A872"/>
    </row>
    <row r="873" spans="1:1" x14ac:dyDescent="0.2">
      <c r="A873"/>
    </row>
    <row r="874" spans="1:1" x14ac:dyDescent="0.2">
      <c r="A874"/>
    </row>
    <row r="875" spans="1:1" x14ac:dyDescent="0.2">
      <c r="A875"/>
    </row>
    <row r="876" spans="1:1" x14ac:dyDescent="0.2">
      <c r="A876"/>
    </row>
    <row r="877" spans="1:1" x14ac:dyDescent="0.2">
      <c r="A877"/>
    </row>
    <row r="878" spans="1:1" x14ac:dyDescent="0.2">
      <c r="A878"/>
    </row>
    <row r="879" spans="1:1" x14ac:dyDescent="0.2">
      <c r="A879"/>
    </row>
    <row r="880" spans="1:1" x14ac:dyDescent="0.2">
      <c r="A880"/>
    </row>
    <row r="881" spans="1:1" x14ac:dyDescent="0.2">
      <c r="A881"/>
    </row>
    <row r="882" spans="1:1" x14ac:dyDescent="0.2">
      <c r="A882"/>
    </row>
    <row r="883" spans="1:1" x14ac:dyDescent="0.2">
      <c r="A883"/>
    </row>
    <row r="884" spans="1:1" x14ac:dyDescent="0.2">
      <c r="A884"/>
    </row>
    <row r="885" spans="1:1" x14ac:dyDescent="0.2">
      <c r="A885"/>
    </row>
    <row r="886" spans="1:1" x14ac:dyDescent="0.2">
      <c r="A886"/>
    </row>
    <row r="887" spans="1:1" x14ac:dyDescent="0.2">
      <c r="A887"/>
    </row>
    <row r="888" spans="1:1" x14ac:dyDescent="0.2">
      <c r="A888"/>
    </row>
    <row r="889" spans="1:1" x14ac:dyDescent="0.2">
      <c r="A889"/>
    </row>
    <row r="890" spans="1:1" x14ac:dyDescent="0.2">
      <c r="A890"/>
    </row>
    <row r="891" spans="1:1" x14ac:dyDescent="0.2">
      <c r="A891"/>
    </row>
    <row r="892" spans="1:1" x14ac:dyDescent="0.2">
      <c r="A892"/>
    </row>
    <row r="893" spans="1:1" x14ac:dyDescent="0.2">
      <c r="A893"/>
    </row>
    <row r="894" spans="1:1" x14ac:dyDescent="0.2">
      <c r="A894"/>
    </row>
    <row r="895" spans="1:1" x14ac:dyDescent="0.2">
      <c r="A895"/>
    </row>
    <row r="896" spans="1:1" x14ac:dyDescent="0.2">
      <c r="A896"/>
    </row>
    <row r="897" spans="1:1" x14ac:dyDescent="0.2">
      <c r="A897"/>
    </row>
    <row r="898" spans="1:1" x14ac:dyDescent="0.2">
      <c r="A898"/>
    </row>
    <row r="899" spans="1:1" x14ac:dyDescent="0.2">
      <c r="A899"/>
    </row>
    <row r="900" spans="1:1" x14ac:dyDescent="0.2">
      <c r="A900"/>
    </row>
    <row r="901" spans="1:1" x14ac:dyDescent="0.2">
      <c r="A901"/>
    </row>
    <row r="902" spans="1:1" x14ac:dyDescent="0.2">
      <c r="A902"/>
    </row>
    <row r="903" spans="1:1" x14ac:dyDescent="0.2">
      <c r="A903"/>
    </row>
    <row r="904" spans="1:1" x14ac:dyDescent="0.2">
      <c r="A904"/>
    </row>
    <row r="905" spans="1:1" x14ac:dyDescent="0.2">
      <c r="A905"/>
    </row>
    <row r="906" spans="1:1" x14ac:dyDescent="0.2">
      <c r="A906"/>
    </row>
    <row r="907" spans="1:1" x14ac:dyDescent="0.2">
      <c r="A907"/>
    </row>
    <row r="908" spans="1:1" x14ac:dyDescent="0.2">
      <c r="A908"/>
    </row>
    <row r="909" spans="1:1" x14ac:dyDescent="0.2">
      <c r="A909"/>
    </row>
    <row r="910" spans="1:1" x14ac:dyDescent="0.2">
      <c r="A910"/>
    </row>
    <row r="911" spans="1:1" x14ac:dyDescent="0.2">
      <c r="A911"/>
    </row>
    <row r="912" spans="1:1" x14ac:dyDescent="0.2">
      <c r="A912"/>
    </row>
    <row r="913" spans="1:1" x14ac:dyDescent="0.2">
      <c r="A913"/>
    </row>
    <row r="914" spans="1:1" x14ac:dyDescent="0.2">
      <c r="A914"/>
    </row>
    <row r="915" spans="1:1" x14ac:dyDescent="0.2">
      <c r="A915"/>
    </row>
    <row r="916" spans="1:1" x14ac:dyDescent="0.2">
      <c r="A916"/>
    </row>
    <row r="917" spans="1:1" x14ac:dyDescent="0.2">
      <c r="A917"/>
    </row>
    <row r="918" spans="1:1" x14ac:dyDescent="0.2">
      <c r="A918"/>
    </row>
    <row r="919" spans="1:1" x14ac:dyDescent="0.2">
      <c r="A919"/>
    </row>
    <row r="920" spans="1:1" x14ac:dyDescent="0.2">
      <c r="A920"/>
    </row>
    <row r="921" spans="1:1" x14ac:dyDescent="0.2">
      <c r="A921"/>
    </row>
    <row r="922" spans="1:1" x14ac:dyDescent="0.2">
      <c r="A922"/>
    </row>
    <row r="923" spans="1:1" x14ac:dyDescent="0.2">
      <c r="A923"/>
    </row>
    <row r="924" spans="1:1" x14ac:dyDescent="0.2">
      <c r="A924"/>
    </row>
    <row r="925" spans="1:1" x14ac:dyDescent="0.2">
      <c r="A925"/>
    </row>
    <row r="926" spans="1:1" x14ac:dyDescent="0.2">
      <c r="A926"/>
    </row>
    <row r="927" spans="1:1" x14ac:dyDescent="0.2">
      <c r="A927"/>
    </row>
    <row r="928" spans="1:1" x14ac:dyDescent="0.2">
      <c r="A928"/>
    </row>
    <row r="929" spans="1:1" x14ac:dyDescent="0.2">
      <c r="A929"/>
    </row>
    <row r="930" spans="1:1" x14ac:dyDescent="0.2">
      <c r="A930"/>
    </row>
    <row r="931" spans="1:1" x14ac:dyDescent="0.2">
      <c r="A931"/>
    </row>
    <row r="932" spans="1:1" x14ac:dyDescent="0.2">
      <c r="A932"/>
    </row>
    <row r="933" spans="1:1" x14ac:dyDescent="0.2">
      <c r="A933"/>
    </row>
    <row r="934" spans="1:1" x14ac:dyDescent="0.2">
      <c r="A934"/>
    </row>
    <row r="935" spans="1:1" x14ac:dyDescent="0.2">
      <c r="A935"/>
    </row>
    <row r="936" spans="1:1" x14ac:dyDescent="0.2">
      <c r="A936"/>
    </row>
    <row r="937" spans="1:1" x14ac:dyDescent="0.2">
      <c r="A937"/>
    </row>
    <row r="938" spans="1:1" x14ac:dyDescent="0.2">
      <c r="A938"/>
    </row>
    <row r="939" spans="1:1" x14ac:dyDescent="0.2">
      <c r="A939"/>
    </row>
    <row r="940" spans="1:1" x14ac:dyDescent="0.2">
      <c r="A940"/>
    </row>
    <row r="941" spans="1:1" x14ac:dyDescent="0.2">
      <c r="A941"/>
    </row>
    <row r="942" spans="1:1" x14ac:dyDescent="0.2">
      <c r="A942"/>
    </row>
    <row r="943" spans="1:1" x14ac:dyDescent="0.2">
      <c r="A943"/>
    </row>
    <row r="944" spans="1:1" x14ac:dyDescent="0.2">
      <c r="A944"/>
    </row>
    <row r="945" spans="1:1" x14ac:dyDescent="0.2">
      <c r="A945"/>
    </row>
    <row r="946" spans="1:1" x14ac:dyDescent="0.2">
      <c r="A946"/>
    </row>
    <row r="947" spans="1:1" x14ac:dyDescent="0.2">
      <c r="A947"/>
    </row>
    <row r="948" spans="1:1" x14ac:dyDescent="0.2">
      <c r="A948"/>
    </row>
    <row r="949" spans="1:1" x14ac:dyDescent="0.2">
      <c r="A949"/>
    </row>
    <row r="950" spans="1:1" x14ac:dyDescent="0.2">
      <c r="A950"/>
    </row>
    <row r="951" spans="1:1" x14ac:dyDescent="0.2">
      <c r="A951"/>
    </row>
    <row r="952" spans="1:1" x14ac:dyDescent="0.2">
      <c r="A952"/>
    </row>
    <row r="953" spans="1:1" x14ac:dyDescent="0.2">
      <c r="A953"/>
    </row>
    <row r="954" spans="1:1" x14ac:dyDescent="0.2">
      <c r="A954"/>
    </row>
    <row r="955" spans="1:1" x14ac:dyDescent="0.2">
      <c r="A955"/>
    </row>
    <row r="956" spans="1:1" x14ac:dyDescent="0.2">
      <c r="A956"/>
    </row>
    <row r="957" spans="1:1" x14ac:dyDescent="0.2">
      <c r="A957"/>
    </row>
    <row r="958" spans="1:1" x14ac:dyDescent="0.2">
      <c r="A958"/>
    </row>
    <row r="959" spans="1:1" x14ac:dyDescent="0.2">
      <c r="A959"/>
    </row>
    <row r="960" spans="1:1" x14ac:dyDescent="0.2">
      <c r="A960"/>
    </row>
    <row r="961" spans="1:1" x14ac:dyDescent="0.2">
      <c r="A961"/>
    </row>
    <row r="962" spans="1:1" x14ac:dyDescent="0.2">
      <c r="A962"/>
    </row>
    <row r="963" spans="1:1" x14ac:dyDescent="0.2">
      <c r="A963"/>
    </row>
    <row r="964" spans="1:1" x14ac:dyDescent="0.2">
      <c r="A964"/>
    </row>
    <row r="965" spans="1:1" x14ac:dyDescent="0.2">
      <c r="A965"/>
    </row>
    <row r="966" spans="1:1" x14ac:dyDescent="0.2">
      <c r="A966"/>
    </row>
    <row r="967" spans="1:1" x14ac:dyDescent="0.2">
      <c r="A967"/>
    </row>
    <row r="968" spans="1:1" x14ac:dyDescent="0.2">
      <c r="A968"/>
    </row>
    <row r="969" spans="1:1" x14ac:dyDescent="0.2">
      <c r="A969"/>
    </row>
    <row r="970" spans="1:1" x14ac:dyDescent="0.2">
      <c r="A970"/>
    </row>
    <row r="971" spans="1:1" x14ac:dyDescent="0.2">
      <c r="A971"/>
    </row>
    <row r="972" spans="1:1" x14ac:dyDescent="0.2">
      <c r="A972"/>
    </row>
    <row r="973" spans="1:1" x14ac:dyDescent="0.2">
      <c r="A973"/>
    </row>
    <row r="974" spans="1:1" x14ac:dyDescent="0.2">
      <c r="A974"/>
    </row>
    <row r="975" spans="1:1" x14ac:dyDescent="0.2">
      <c r="A975"/>
    </row>
    <row r="976" spans="1:1" x14ac:dyDescent="0.2">
      <c r="A976"/>
    </row>
    <row r="977" spans="1:1" x14ac:dyDescent="0.2">
      <c r="A977"/>
    </row>
    <row r="978" spans="1:1" x14ac:dyDescent="0.2">
      <c r="A978"/>
    </row>
    <row r="979" spans="1:1" x14ac:dyDescent="0.2">
      <c r="A979"/>
    </row>
    <row r="980" spans="1:1" x14ac:dyDescent="0.2">
      <c r="A980"/>
    </row>
    <row r="981" spans="1:1" x14ac:dyDescent="0.2">
      <c r="A981"/>
    </row>
    <row r="982" spans="1:1" x14ac:dyDescent="0.2">
      <c r="A982"/>
    </row>
    <row r="983" spans="1:1" x14ac:dyDescent="0.2">
      <c r="A983"/>
    </row>
    <row r="984" spans="1:1" x14ac:dyDescent="0.2">
      <c r="A984"/>
    </row>
    <row r="985" spans="1:1" x14ac:dyDescent="0.2">
      <c r="A985"/>
    </row>
    <row r="986" spans="1:1" x14ac:dyDescent="0.2">
      <c r="A986"/>
    </row>
    <row r="987" spans="1:1" x14ac:dyDescent="0.2">
      <c r="A987"/>
    </row>
    <row r="988" spans="1:1" x14ac:dyDescent="0.2">
      <c r="A988"/>
    </row>
    <row r="989" spans="1:1" x14ac:dyDescent="0.2">
      <c r="A989"/>
    </row>
    <row r="990" spans="1:1" x14ac:dyDescent="0.2">
      <c r="A990"/>
    </row>
    <row r="991" spans="1:1" x14ac:dyDescent="0.2">
      <c r="A991"/>
    </row>
    <row r="992" spans="1:1" x14ac:dyDescent="0.2">
      <c r="A992"/>
    </row>
    <row r="993" spans="1:1" x14ac:dyDescent="0.2">
      <c r="A993"/>
    </row>
    <row r="994" spans="1:1" x14ac:dyDescent="0.2">
      <c r="A994"/>
    </row>
    <row r="995" spans="1:1" x14ac:dyDescent="0.2">
      <c r="A995"/>
    </row>
    <row r="996" spans="1:1" x14ac:dyDescent="0.2">
      <c r="A996"/>
    </row>
    <row r="997" spans="1:1" x14ac:dyDescent="0.2">
      <c r="A997"/>
    </row>
    <row r="998" spans="1:1" x14ac:dyDescent="0.2">
      <c r="A998"/>
    </row>
    <row r="999" spans="1:1" x14ac:dyDescent="0.2">
      <c r="A999"/>
    </row>
    <row r="1000" spans="1:1" x14ac:dyDescent="0.2">
      <c r="A1000"/>
    </row>
    <row r="1001" spans="1:1" x14ac:dyDescent="0.2">
      <c r="A1001"/>
    </row>
    <row r="1002" spans="1:1" x14ac:dyDescent="0.2">
      <c r="A1002"/>
    </row>
    <row r="1003" spans="1:1" x14ac:dyDescent="0.2">
      <c r="A1003"/>
    </row>
    <row r="1004" spans="1:1" x14ac:dyDescent="0.2">
      <c r="A1004"/>
    </row>
    <row r="1005" spans="1:1" x14ac:dyDescent="0.2">
      <c r="A1005"/>
    </row>
    <row r="1006" spans="1:1" x14ac:dyDescent="0.2">
      <c r="A1006"/>
    </row>
    <row r="1007" spans="1:1" x14ac:dyDescent="0.2">
      <c r="A1007"/>
    </row>
    <row r="1008" spans="1:1" x14ac:dyDescent="0.2">
      <c r="A1008"/>
    </row>
    <row r="1009" spans="1:1" x14ac:dyDescent="0.2">
      <c r="A1009"/>
    </row>
    <row r="1010" spans="1:1" x14ac:dyDescent="0.2">
      <c r="A1010"/>
    </row>
    <row r="1011" spans="1:1" x14ac:dyDescent="0.2">
      <c r="A1011"/>
    </row>
    <row r="1012" spans="1:1" x14ac:dyDescent="0.2">
      <c r="A1012"/>
    </row>
    <row r="1013" spans="1:1" x14ac:dyDescent="0.2">
      <c r="A1013"/>
    </row>
    <row r="1014" spans="1:1" x14ac:dyDescent="0.2">
      <c r="A1014"/>
    </row>
    <row r="1015" spans="1:1" x14ac:dyDescent="0.2">
      <c r="A1015"/>
    </row>
    <row r="1016" spans="1:1" x14ac:dyDescent="0.2">
      <c r="A1016"/>
    </row>
    <row r="1017" spans="1:1" x14ac:dyDescent="0.2">
      <c r="A1017"/>
    </row>
    <row r="1018" spans="1:1" x14ac:dyDescent="0.2">
      <c r="A1018"/>
    </row>
    <row r="1019" spans="1:1" x14ac:dyDescent="0.2">
      <c r="A1019"/>
    </row>
    <row r="1020" spans="1:1" x14ac:dyDescent="0.2">
      <c r="A1020"/>
    </row>
    <row r="1021" spans="1:1" x14ac:dyDescent="0.2">
      <c r="A1021"/>
    </row>
    <row r="1022" spans="1:1" x14ac:dyDescent="0.2">
      <c r="A1022"/>
    </row>
    <row r="1023" spans="1:1" x14ac:dyDescent="0.2">
      <c r="A1023"/>
    </row>
    <row r="1024" spans="1:1" x14ac:dyDescent="0.2">
      <c r="A1024"/>
    </row>
    <row r="1025" spans="1:1" x14ac:dyDescent="0.2">
      <c r="A1025"/>
    </row>
    <row r="1026" spans="1:1" x14ac:dyDescent="0.2">
      <c r="A1026"/>
    </row>
    <row r="1027" spans="1:1" x14ac:dyDescent="0.2">
      <c r="A1027"/>
    </row>
    <row r="1028" spans="1:1" x14ac:dyDescent="0.2">
      <c r="A1028"/>
    </row>
    <row r="1029" spans="1:1" x14ac:dyDescent="0.2">
      <c r="A1029"/>
    </row>
    <row r="1030" spans="1:1" x14ac:dyDescent="0.2">
      <c r="A1030"/>
    </row>
    <row r="1031" spans="1:1" x14ac:dyDescent="0.2">
      <c r="A1031"/>
    </row>
    <row r="1032" spans="1:1" x14ac:dyDescent="0.2">
      <c r="A1032"/>
    </row>
    <row r="1033" spans="1:1" x14ac:dyDescent="0.2">
      <c r="A1033"/>
    </row>
    <row r="1034" spans="1:1" x14ac:dyDescent="0.2">
      <c r="A1034"/>
    </row>
    <row r="1035" spans="1:1" x14ac:dyDescent="0.2">
      <c r="A1035"/>
    </row>
    <row r="1036" spans="1:1" x14ac:dyDescent="0.2">
      <c r="A1036"/>
    </row>
    <row r="1037" spans="1:1" x14ac:dyDescent="0.2">
      <c r="A1037"/>
    </row>
    <row r="1038" spans="1:1" x14ac:dyDescent="0.2">
      <c r="A1038"/>
    </row>
    <row r="1039" spans="1:1" x14ac:dyDescent="0.2">
      <c r="A1039"/>
    </row>
    <row r="1040" spans="1:1" x14ac:dyDescent="0.2">
      <c r="A1040"/>
    </row>
    <row r="1041" spans="1:1" x14ac:dyDescent="0.2">
      <c r="A1041"/>
    </row>
    <row r="1042" spans="1:1" x14ac:dyDescent="0.2">
      <c r="A1042"/>
    </row>
    <row r="1043" spans="1:1" x14ac:dyDescent="0.2">
      <c r="A1043"/>
    </row>
    <row r="1044" spans="1:1" x14ac:dyDescent="0.2">
      <c r="A1044"/>
    </row>
    <row r="1045" spans="1:1" x14ac:dyDescent="0.2">
      <c r="A1045"/>
    </row>
    <row r="1046" spans="1:1" x14ac:dyDescent="0.2">
      <c r="A1046"/>
    </row>
    <row r="1047" spans="1:1" x14ac:dyDescent="0.2">
      <c r="A1047"/>
    </row>
    <row r="1048" spans="1:1" x14ac:dyDescent="0.2">
      <c r="A1048"/>
    </row>
    <row r="1049" spans="1:1" x14ac:dyDescent="0.2">
      <c r="A1049"/>
    </row>
    <row r="1050" spans="1:1" x14ac:dyDescent="0.2">
      <c r="A1050"/>
    </row>
    <row r="1051" spans="1:1" x14ac:dyDescent="0.2">
      <c r="A1051"/>
    </row>
    <row r="1052" spans="1:1" x14ac:dyDescent="0.2">
      <c r="A1052"/>
    </row>
    <row r="1053" spans="1:1" x14ac:dyDescent="0.2">
      <c r="A1053"/>
    </row>
    <row r="1054" spans="1:1" x14ac:dyDescent="0.2">
      <c r="A1054"/>
    </row>
    <row r="1055" spans="1:1" x14ac:dyDescent="0.2">
      <c r="A1055"/>
    </row>
    <row r="1056" spans="1:1" x14ac:dyDescent="0.2">
      <c r="A1056"/>
    </row>
    <row r="1057" spans="1:1" x14ac:dyDescent="0.2">
      <c r="A1057"/>
    </row>
    <row r="1058" spans="1:1" x14ac:dyDescent="0.2">
      <c r="A1058"/>
    </row>
    <row r="1059" spans="1:1" x14ac:dyDescent="0.2">
      <c r="A1059"/>
    </row>
    <row r="1060" spans="1:1" x14ac:dyDescent="0.2">
      <c r="A1060"/>
    </row>
    <row r="1061" spans="1:1" x14ac:dyDescent="0.2">
      <c r="A1061"/>
    </row>
    <row r="1062" spans="1:1" x14ac:dyDescent="0.2">
      <c r="A1062"/>
    </row>
    <row r="1063" spans="1:1" x14ac:dyDescent="0.2">
      <c r="A1063"/>
    </row>
    <row r="1064" spans="1:1" x14ac:dyDescent="0.2">
      <c r="A1064"/>
    </row>
    <row r="1065" spans="1:1" x14ac:dyDescent="0.2">
      <c r="A1065"/>
    </row>
    <row r="1066" spans="1:1" x14ac:dyDescent="0.2">
      <c r="A1066"/>
    </row>
    <row r="1067" spans="1:1" x14ac:dyDescent="0.2">
      <c r="A1067"/>
    </row>
    <row r="1068" spans="1:1" x14ac:dyDescent="0.2">
      <c r="A1068"/>
    </row>
    <row r="1069" spans="1:1" x14ac:dyDescent="0.2">
      <c r="A1069"/>
    </row>
    <row r="1070" spans="1:1" x14ac:dyDescent="0.2">
      <c r="A1070"/>
    </row>
    <row r="1071" spans="1:1" x14ac:dyDescent="0.2">
      <c r="A1071"/>
    </row>
    <row r="1072" spans="1:1" x14ac:dyDescent="0.2">
      <c r="A1072"/>
    </row>
    <row r="1073" spans="1:1" x14ac:dyDescent="0.2">
      <c r="A1073"/>
    </row>
    <row r="1074" spans="1:1" x14ac:dyDescent="0.2">
      <c r="A1074"/>
    </row>
    <row r="1075" spans="1:1" x14ac:dyDescent="0.2">
      <c r="A1075"/>
    </row>
    <row r="1076" spans="1:1" x14ac:dyDescent="0.2">
      <c r="A1076"/>
    </row>
    <row r="1077" spans="1:1" x14ac:dyDescent="0.2">
      <c r="A1077"/>
    </row>
    <row r="1078" spans="1:1" x14ac:dyDescent="0.2">
      <c r="A1078"/>
    </row>
    <row r="1079" spans="1:1" x14ac:dyDescent="0.2">
      <c r="A1079"/>
    </row>
    <row r="1080" spans="1:1" x14ac:dyDescent="0.2">
      <c r="A1080"/>
    </row>
    <row r="1081" spans="1:1" x14ac:dyDescent="0.2">
      <c r="A1081"/>
    </row>
    <row r="1082" spans="1:1" x14ac:dyDescent="0.2">
      <c r="A1082"/>
    </row>
    <row r="1083" spans="1:1" x14ac:dyDescent="0.2">
      <c r="A1083"/>
    </row>
    <row r="1084" spans="1:1" x14ac:dyDescent="0.2">
      <c r="A1084"/>
    </row>
    <row r="1085" spans="1:1" x14ac:dyDescent="0.2">
      <c r="A1085"/>
    </row>
    <row r="1086" spans="1:1" x14ac:dyDescent="0.2">
      <c r="A1086"/>
    </row>
    <row r="1087" spans="1:1" x14ac:dyDescent="0.2">
      <c r="A1087"/>
    </row>
    <row r="1088" spans="1:1" x14ac:dyDescent="0.2">
      <c r="A1088"/>
    </row>
    <row r="1089" spans="1:1" x14ac:dyDescent="0.2">
      <c r="A1089"/>
    </row>
    <row r="1090" spans="1:1" x14ac:dyDescent="0.2">
      <c r="A1090"/>
    </row>
    <row r="1091" spans="1:1" x14ac:dyDescent="0.2">
      <c r="A1091"/>
    </row>
    <row r="1092" spans="1:1" x14ac:dyDescent="0.2">
      <c r="A1092"/>
    </row>
    <row r="1093" spans="1:1" x14ac:dyDescent="0.2">
      <c r="A1093"/>
    </row>
    <row r="1094" spans="1:1" x14ac:dyDescent="0.2">
      <c r="A1094"/>
    </row>
    <row r="1095" spans="1:1" x14ac:dyDescent="0.2">
      <c r="A1095"/>
    </row>
    <row r="1096" spans="1:1" x14ac:dyDescent="0.2">
      <c r="A1096"/>
    </row>
    <row r="1097" spans="1:1" x14ac:dyDescent="0.2">
      <c r="A1097"/>
    </row>
    <row r="1098" spans="1:1" x14ac:dyDescent="0.2">
      <c r="A1098"/>
    </row>
    <row r="1099" spans="1:1" x14ac:dyDescent="0.2">
      <c r="A1099"/>
    </row>
    <row r="1100" spans="1:1" x14ac:dyDescent="0.2">
      <c r="A1100"/>
    </row>
    <row r="1101" spans="1:1" x14ac:dyDescent="0.2">
      <c r="A1101"/>
    </row>
    <row r="1102" spans="1:1" x14ac:dyDescent="0.2">
      <c r="A1102"/>
    </row>
    <row r="1103" spans="1:1" x14ac:dyDescent="0.2">
      <c r="A1103"/>
    </row>
    <row r="1104" spans="1:1" x14ac:dyDescent="0.2">
      <c r="A1104"/>
    </row>
    <row r="1105" spans="1:1" x14ac:dyDescent="0.2">
      <c r="A1105"/>
    </row>
    <row r="1106" spans="1:1" x14ac:dyDescent="0.2">
      <c r="A1106"/>
    </row>
    <row r="1107" spans="1:1" x14ac:dyDescent="0.2">
      <c r="A1107"/>
    </row>
    <row r="1108" spans="1:1" x14ac:dyDescent="0.2">
      <c r="A1108"/>
    </row>
    <row r="1109" spans="1:1" x14ac:dyDescent="0.2">
      <c r="A1109"/>
    </row>
    <row r="1110" spans="1:1" x14ac:dyDescent="0.2">
      <c r="A1110"/>
    </row>
    <row r="1111" spans="1:1" x14ac:dyDescent="0.2">
      <c r="A1111"/>
    </row>
    <row r="1112" spans="1:1" x14ac:dyDescent="0.2">
      <c r="A1112"/>
    </row>
    <row r="1113" spans="1:1" x14ac:dyDescent="0.2">
      <c r="A1113"/>
    </row>
    <row r="1114" spans="1:1" x14ac:dyDescent="0.2">
      <c r="A1114"/>
    </row>
    <row r="1115" spans="1:1" x14ac:dyDescent="0.2">
      <c r="A1115"/>
    </row>
    <row r="1116" spans="1:1" x14ac:dyDescent="0.2">
      <c r="A1116"/>
    </row>
    <row r="1117" spans="1:1" x14ac:dyDescent="0.2">
      <c r="A1117"/>
    </row>
    <row r="1118" spans="1:1" x14ac:dyDescent="0.2">
      <c r="A1118"/>
    </row>
    <row r="1119" spans="1:1" x14ac:dyDescent="0.2">
      <c r="A1119"/>
    </row>
    <row r="1120" spans="1:1" x14ac:dyDescent="0.2">
      <c r="A1120"/>
    </row>
    <row r="1121" spans="1:1" x14ac:dyDescent="0.2">
      <c r="A1121"/>
    </row>
    <row r="1122" spans="1:1" x14ac:dyDescent="0.2">
      <c r="A1122"/>
    </row>
    <row r="1123" spans="1:1" x14ac:dyDescent="0.2">
      <c r="A1123"/>
    </row>
    <row r="1124" spans="1:1" x14ac:dyDescent="0.2">
      <c r="A1124"/>
    </row>
    <row r="1125" spans="1:1" x14ac:dyDescent="0.2">
      <c r="A1125"/>
    </row>
    <row r="1126" spans="1:1" x14ac:dyDescent="0.2">
      <c r="A1126"/>
    </row>
    <row r="1127" spans="1:1" x14ac:dyDescent="0.2">
      <c r="A1127"/>
    </row>
    <row r="1128" spans="1:1" x14ac:dyDescent="0.2">
      <c r="A1128"/>
    </row>
    <row r="1129" spans="1:1" x14ac:dyDescent="0.2">
      <c r="A1129"/>
    </row>
    <row r="1130" spans="1:1" x14ac:dyDescent="0.2">
      <c r="A1130"/>
    </row>
    <row r="1131" spans="1:1" x14ac:dyDescent="0.2">
      <c r="A1131"/>
    </row>
    <row r="1132" spans="1:1" x14ac:dyDescent="0.2">
      <c r="A1132"/>
    </row>
    <row r="1133" spans="1:1" x14ac:dyDescent="0.2">
      <c r="A1133"/>
    </row>
    <row r="1134" spans="1:1" x14ac:dyDescent="0.2">
      <c r="A1134"/>
    </row>
    <row r="1135" spans="1:1" x14ac:dyDescent="0.2">
      <c r="A1135"/>
    </row>
    <row r="1136" spans="1:1" x14ac:dyDescent="0.2">
      <c r="A1136"/>
    </row>
    <row r="1137" spans="1:1" x14ac:dyDescent="0.2">
      <c r="A1137"/>
    </row>
    <row r="1138" spans="1:1" x14ac:dyDescent="0.2">
      <c r="A1138"/>
    </row>
    <row r="1139" spans="1:1" x14ac:dyDescent="0.2">
      <c r="A1139"/>
    </row>
    <row r="1140" spans="1:1" x14ac:dyDescent="0.2">
      <c r="A1140"/>
    </row>
    <row r="1141" spans="1:1" x14ac:dyDescent="0.2">
      <c r="A1141"/>
    </row>
    <row r="1142" spans="1:1" x14ac:dyDescent="0.2">
      <c r="A1142"/>
    </row>
    <row r="1143" spans="1:1" x14ac:dyDescent="0.2">
      <c r="A1143"/>
    </row>
    <row r="1144" spans="1:1" x14ac:dyDescent="0.2">
      <c r="A1144"/>
    </row>
    <row r="1145" spans="1:1" x14ac:dyDescent="0.2">
      <c r="A1145"/>
    </row>
    <row r="1146" spans="1:1" x14ac:dyDescent="0.2">
      <c r="A1146"/>
    </row>
    <row r="1147" spans="1:1" x14ac:dyDescent="0.2">
      <c r="A1147"/>
    </row>
    <row r="1148" spans="1:1" x14ac:dyDescent="0.2">
      <c r="A1148"/>
    </row>
    <row r="1149" spans="1:1" x14ac:dyDescent="0.2">
      <c r="A1149"/>
    </row>
    <row r="1150" spans="1:1" x14ac:dyDescent="0.2">
      <c r="A1150"/>
    </row>
    <row r="1151" spans="1:1" x14ac:dyDescent="0.2">
      <c r="A1151"/>
    </row>
    <row r="1152" spans="1:1" x14ac:dyDescent="0.2">
      <c r="A1152"/>
    </row>
    <row r="1153" spans="1:1" x14ac:dyDescent="0.2">
      <c r="A1153"/>
    </row>
    <row r="1154" spans="1:1" x14ac:dyDescent="0.2">
      <c r="A1154"/>
    </row>
    <row r="1155" spans="1:1" x14ac:dyDescent="0.2">
      <c r="A1155"/>
    </row>
    <row r="1156" spans="1:1" x14ac:dyDescent="0.2">
      <c r="A1156"/>
    </row>
    <row r="1157" spans="1:1" x14ac:dyDescent="0.2">
      <c r="A1157"/>
    </row>
    <row r="1158" spans="1:1" x14ac:dyDescent="0.2">
      <c r="A1158"/>
    </row>
    <row r="1159" spans="1:1" x14ac:dyDescent="0.2">
      <c r="A1159"/>
    </row>
    <row r="1160" spans="1:1" x14ac:dyDescent="0.2">
      <c r="A1160"/>
    </row>
    <row r="1161" spans="1:1" x14ac:dyDescent="0.2">
      <c r="A1161"/>
    </row>
    <row r="1162" spans="1:1" x14ac:dyDescent="0.2">
      <c r="A1162"/>
    </row>
    <row r="1163" spans="1:1" x14ac:dyDescent="0.2">
      <c r="A1163"/>
    </row>
    <row r="1164" spans="1:1" x14ac:dyDescent="0.2">
      <c r="A1164"/>
    </row>
    <row r="1165" spans="1:1" x14ac:dyDescent="0.2">
      <c r="A1165"/>
    </row>
    <row r="1166" spans="1:1" x14ac:dyDescent="0.2">
      <c r="A1166"/>
    </row>
    <row r="1167" spans="1:1" x14ac:dyDescent="0.2">
      <c r="A1167"/>
    </row>
    <row r="1168" spans="1:1" x14ac:dyDescent="0.2">
      <c r="A1168"/>
    </row>
    <row r="1169" spans="1:1" x14ac:dyDescent="0.2">
      <c r="A1169"/>
    </row>
    <row r="1170" spans="1:1" x14ac:dyDescent="0.2">
      <c r="A1170"/>
    </row>
    <row r="1171" spans="1:1" x14ac:dyDescent="0.2">
      <c r="A1171"/>
    </row>
    <row r="1172" spans="1:1" x14ac:dyDescent="0.2">
      <c r="A1172"/>
    </row>
    <row r="1173" spans="1:1" x14ac:dyDescent="0.2">
      <c r="A1173"/>
    </row>
    <row r="1174" spans="1:1" x14ac:dyDescent="0.2">
      <c r="A1174"/>
    </row>
    <row r="1175" spans="1:1" x14ac:dyDescent="0.2">
      <c r="A1175"/>
    </row>
    <row r="1176" spans="1:1" x14ac:dyDescent="0.2">
      <c r="A1176"/>
    </row>
    <row r="1177" spans="1:1" x14ac:dyDescent="0.2">
      <c r="A1177"/>
    </row>
    <row r="1178" spans="1:1" x14ac:dyDescent="0.2">
      <c r="A1178"/>
    </row>
    <row r="1179" spans="1:1" x14ac:dyDescent="0.2">
      <c r="A1179"/>
    </row>
    <row r="1180" spans="1:1" x14ac:dyDescent="0.2">
      <c r="A1180"/>
    </row>
    <row r="1181" spans="1:1" x14ac:dyDescent="0.2">
      <c r="A1181"/>
    </row>
    <row r="1182" spans="1:1" x14ac:dyDescent="0.2">
      <c r="A1182"/>
    </row>
    <row r="1183" spans="1:1" x14ac:dyDescent="0.2">
      <c r="A1183"/>
    </row>
    <row r="1184" spans="1:1" x14ac:dyDescent="0.2">
      <c r="A1184"/>
    </row>
    <row r="1185" spans="1:1" x14ac:dyDescent="0.2">
      <c r="A1185"/>
    </row>
    <row r="1186" spans="1:1" x14ac:dyDescent="0.2">
      <c r="A1186"/>
    </row>
    <row r="1187" spans="1:1" x14ac:dyDescent="0.2">
      <c r="A1187"/>
    </row>
    <row r="1188" spans="1:1" x14ac:dyDescent="0.2">
      <c r="A1188"/>
    </row>
    <row r="1189" spans="1:1" x14ac:dyDescent="0.2">
      <c r="A1189"/>
    </row>
    <row r="1190" spans="1:1" x14ac:dyDescent="0.2">
      <c r="A1190"/>
    </row>
    <row r="1191" spans="1:1" x14ac:dyDescent="0.2">
      <c r="A1191"/>
    </row>
    <row r="1192" spans="1:1" x14ac:dyDescent="0.2">
      <c r="A1192"/>
    </row>
    <row r="1193" spans="1:1" x14ac:dyDescent="0.2">
      <c r="A1193"/>
    </row>
    <row r="1194" spans="1:1" x14ac:dyDescent="0.2">
      <c r="A1194"/>
    </row>
    <row r="1195" spans="1:1" x14ac:dyDescent="0.2">
      <c r="A1195"/>
    </row>
    <row r="1196" spans="1:1" x14ac:dyDescent="0.2">
      <c r="A1196"/>
    </row>
    <row r="1197" spans="1:1" x14ac:dyDescent="0.2">
      <c r="A1197"/>
    </row>
    <row r="1198" spans="1:1" x14ac:dyDescent="0.2">
      <c r="A1198"/>
    </row>
    <row r="1199" spans="1:1" x14ac:dyDescent="0.2">
      <c r="A1199"/>
    </row>
    <row r="1200" spans="1:1" x14ac:dyDescent="0.2">
      <c r="A1200"/>
    </row>
    <row r="1201" spans="1:1" x14ac:dyDescent="0.2">
      <c r="A1201"/>
    </row>
    <row r="1202" spans="1:1" x14ac:dyDescent="0.2">
      <c r="A1202"/>
    </row>
    <row r="1203" spans="1:1" x14ac:dyDescent="0.2">
      <c r="A1203"/>
    </row>
    <row r="1204" spans="1:1" x14ac:dyDescent="0.2">
      <c r="A1204"/>
    </row>
    <row r="1205" spans="1:1" x14ac:dyDescent="0.2">
      <c r="A1205"/>
    </row>
    <row r="1206" spans="1:1" x14ac:dyDescent="0.2">
      <c r="A1206"/>
    </row>
    <row r="1207" spans="1:1" x14ac:dyDescent="0.2">
      <c r="A1207"/>
    </row>
    <row r="1208" spans="1:1" x14ac:dyDescent="0.2">
      <c r="A1208"/>
    </row>
    <row r="1209" spans="1:1" x14ac:dyDescent="0.2">
      <c r="A1209"/>
    </row>
    <row r="1210" spans="1:1" x14ac:dyDescent="0.2">
      <c r="A1210"/>
    </row>
    <row r="1211" spans="1:1" x14ac:dyDescent="0.2">
      <c r="A1211"/>
    </row>
    <row r="1212" spans="1:1" x14ac:dyDescent="0.2">
      <c r="A1212"/>
    </row>
    <row r="1213" spans="1:1" x14ac:dyDescent="0.2">
      <c r="A1213"/>
    </row>
    <row r="1214" spans="1:1" x14ac:dyDescent="0.2">
      <c r="A1214"/>
    </row>
    <row r="1215" spans="1:1" x14ac:dyDescent="0.2">
      <c r="A1215"/>
    </row>
    <row r="1216" spans="1:1" x14ac:dyDescent="0.2">
      <c r="A1216"/>
    </row>
    <row r="1217" spans="1:1" x14ac:dyDescent="0.2">
      <c r="A1217"/>
    </row>
    <row r="1218" spans="1:1" x14ac:dyDescent="0.2">
      <c r="A1218"/>
    </row>
    <row r="1219" spans="1:1" x14ac:dyDescent="0.2">
      <c r="A1219"/>
    </row>
    <row r="1220" spans="1:1" x14ac:dyDescent="0.2">
      <c r="A1220"/>
    </row>
    <row r="1221" spans="1:1" x14ac:dyDescent="0.2">
      <c r="A1221"/>
    </row>
    <row r="1222" spans="1:1" x14ac:dyDescent="0.2">
      <c r="A1222"/>
    </row>
    <row r="1223" spans="1:1" x14ac:dyDescent="0.2">
      <c r="A1223"/>
    </row>
    <row r="1224" spans="1:1" x14ac:dyDescent="0.2">
      <c r="A1224"/>
    </row>
    <row r="1225" spans="1:1" x14ac:dyDescent="0.2">
      <c r="A1225"/>
    </row>
    <row r="1226" spans="1:1" x14ac:dyDescent="0.2">
      <c r="A1226"/>
    </row>
    <row r="1227" spans="1:1" x14ac:dyDescent="0.2">
      <c r="A1227"/>
    </row>
    <row r="1228" spans="1:1" x14ac:dyDescent="0.2">
      <c r="A1228"/>
    </row>
    <row r="1229" spans="1:1" x14ac:dyDescent="0.2">
      <c r="A1229"/>
    </row>
    <row r="1230" spans="1:1" x14ac:dyDescent="0.2">
      <c r="A1230"/>
    </row>
    <row r="1231" spans="1:1" x14ac:dyDescent="0.2">
      <c r="A1231"/>
    </row>
    <row r="1232" spans="1:1" x14ac:dyDescent="0.2">
      <c r="A1232"/>
    </row>
    <row r="1233" spans="1:1" x14ac:dyDescent="0.2">
      <c r="A1233"/>
    </row>
    <row r="1234" spans="1:1" x14ac:dyDescent="0.2">
      <c r="A1234"/>
    </row>
    <row r="1235" spans="1:1" x14ac:dyDescent="0.2">
      <c r="A1235"/>
    </row>
    <row r="1236" spans="1:1" x14ac:dyDescent="0.2">
      <c r="A1236"/>
    </row>
    <row r="1237" spans="1:1" x14ac:dyDescent="0.2">
      <c r="A1237"/>
    </row>
    <row r="1238" spans="1:1" x14ac:dyDescent="0.2">
      <c r="A1238"/>
    </row>
    <row r="1239" spans="1:1" x14ac:dyDescent="0.2">
      <c r="A1239"/>
    </row>
    <row r="1240" spans="1:1" x14ac:dyDescent="0.2">
      <c r="A1240"/>
    </row>
    <row r="1241" spans="1:1" x14ac:dyDescent="0.2">
      <c r="A1241"/>
    </row>
    <row r="1242" spans="1:1" x14ac:dyDescent="0.2">
      <c r="A1242"/>
    </row>
    <row r="1243" spans="1:1" x14ac:dyDescent="0.2">
      <c r="A1243"/>
    </row>
    <row r="1244" spans="1:1" x14ac:dyDescent="0.2">
      <c r="A1244"/>
    </row>
    <row r="1245" spans="1:1" x14ac:dyDescent="0.2">
      <c r="A1245"/>
    </row>
    <row r="1246" spans="1:1" x14ac:dyDescent="0.2">
      <c r="A1246"/>
    </row>
    <row r="1247" spans="1:1" x14ac:dyDescent="0.2">
      <c r="A1247"/>
    </row>
    <row r="1248" spans="1:1" x14ac:dyDescent="0.2">
      <c r="A1248"/>
    </row>
    <row r="1249" spans="1:1" x14ac:dyDescent="0.2">
      <c r="A1249"/>
    </row>
    <row r="1250" spans="1:1" x14ac:dyDescent="0.2">
      <c r="A1250"/>
    </row>
    <row r="1251" spans="1:1" x14ac:dyDescent="0.2">
      <c r="A1251"/>
    </row>
    <row r="1252" spans="1:1" x14ac:dyDescent="0.2">
      <c r="A1252"/>
    </row>
    <row r="1253" spans="1:1" x14ac:dyDescent="0.2">
      <c r="A1253"/>
    </row>
    <row r="1254" spans="1:1" x14ac:dyDescent="0.2">
      <c r="A1254"/>
    </row>
    <row r="1255" spans="1:1" x14ac:dyDescent="0.2">
      <c r="A1255"/>
    </row>
    <row r="1256" spans="1:1" x14ac:dyDescent="0.2">
      <c r="A1256"/>
    </row>
    <row r="1257" spans="1:1" x14ac:dyDescent="0.2">
      <c r="A1257"/>
    </row>
    <row r="1258" spans="1:1" x14ac:dyDescent="0.2">
      <c r="A1258"/>
    </row>
    <row r="1259" spans="1:1" ht="15" customHeight="1" x14ac:dyDescent="0.2">
      <c r="A1259"/>
    </row>
    <row r="1260" spans="1:1" ht="15" customHeight="1" x14ac:dyDescent="0.2">
      <c r="A1260"/>
    </row>
    <row r="1261" spans="1:1" ht="15" customHeight="1" x14ac:dyDescent="0.2">
      <c r="A1261"/>
    </row>
    <row r="1262" spans="1:1" x14ac:dyDescent="0.2">
      <c r="A1262"/>
    </row>
    <row r="1263" spans="1:1" x14ac:dyDescent="0.2">
      <c r="A1263"/>
    </row>
    <row r="1264" spans="1:1" x14ac:dyDescent="0.2">
      <c r="A1264"/>
    </row>
    <row r="1265" spans="1:1" x14ac:dyDescent="0.2">
      <c r="A1265"/>
    </row>
    <row r="1266" spans="1:1" x14ac:dyDescent="0.2">
      <c r="A1266"/>
    </row>
    <row r="1267" spans="1:1" x14ac:dyDescent="0.2">
      <c r="A1267"/>
    </row>
    <row r="1268" spans="1:1" x14ac:dyDescent="0.2">
      <c r="A1268"/>
    </row>
    <row r="1269" spans="1:1" x14ac:dyDescent="0.2">
      <c r="A1269"/>
    </row>
    <row r="1270" spans="1:1" x14ac:dyDescent="0.2">
      <c r="A1270"/>
    </row>
    <row r="1271" spans="1:1" x14ac:dyDescent="0.2">
      <c r="A1271"/>
    </row>
    <row r="1272" spans="1:1" ht="15" customHeight="1" x14ac:dyDescent="0.2">
      <c r="A1272"/>
    </row>
    <row r="1273" spans="1:1" ht="15" customHeight="1" x14ac:dyDescent="0.2">
      <c r="A1273"/>
    </row>
    <row r="1274" spans="1:1" ht="15" customHeight="1" x14ac:dyDescent="0.2">
      <c r="A1274"/>
    </row>
    <row r="1275" spans="1:1" x14ac:dyDescent="0.2">
      <c r="A1275"/>
    </row>
    <row r="1276" spans="1:1" ht="15" customHeight="1" x14ac:dyDescent="0.2">
      <c r="A1276"/>
    </row>
    <row r="1277" spans="1:1" ht="15" customHeight="1" x14ac:dyDescent="0.2">
      <c r="A1277"/>
    </row>
    <row r="1278" spans="1:1" ht="15" customHeight="1" x14ac:dyDescent="0.2">
      <c r="A1278"/>
    </row>
    <row r="1279" spans="1:1" ht="15" customHeight="1" x14ac:dyDescent="0.2">
      <c r="A1279"/>
    </row>
    <row r="1280" spans="1:1" ht="15" customHeight="1" x14ac:dyDescent="0.2">
      <c r="A1280"/>
    </row>
    <row r="1281" spans="1:1" x14ac:dyDescent="0.2">
      <c r="A1281"/>
    </row>
    <row r="1282" spans="1:1" x14ac:dyDescent="0.2">
      <c r="A1282"/>
    </row>
    <row r="1283" spans="1:1" x14ac:dyDescent="0.2">
      <c r="A1283"/>
    </row>
    <row r="1284" spans="1:1" x14ac:dyDescent="0.2">
      <c r="A1284"/>
    </row>
    <row r="1285" spans="1:1" x14ac:dyDescent="0.2">
      <c r="A1285"/>
    </row>
    <row r="1286" spans="1:1" x14ac:dyDescent="0.2">
      <c r="A1286"/>
    </row>
    <row r="1287" spans="1:1" x14ac:dyDescent="0.2">
      <c r="A1287"/>
    </row>
    <row r="1288" spans="1:1" x14ac:dyDescent="0.2">
      <c r="A1288"/>
    </row>
    <row r="1289" spans="1:1" x14ac:dyDescent="0.2">
      <c r="A1289"/>
    </row>
    <row r="1290" spans="1:1" x14ac:dyDescent="0.2">
      <c r="A1290"/>
    </row>
    <row r="1291" spans="1:1" x14ac:dyDescent="0.2">
      <c r="A1291"/>
    </row>
    <row r="1292" spans="1:1" x14ac:dyDescent="0.2">
      <c r="A1292"/>
    </row>
    <row r="1293" spans="1:1" x14ac:dyDescent="0.2">
      <c r="A1293"/>
    </row>
    <row r="1294" spans="1:1" x14ac:dyDescent="0.2">
      <c r="A1294"/>
    </row>
    <row r="1295" spans="1:1" x14ac:dyDescent="0.2">
      <c r="A1295"/>
    </row>
    <row r="1296" spans="1:1" x14ac:dyDescent="0.2">
      <c r="A1296"/>
    </row>
    <row r="1297" spans="1:1" x14ac:dyDescent="0.2">
      <c r="A1297"/>
    </row>
    <row r="1298" spans="1:1" x14ac:dyDescent="0.2">
      <c r="A1298"/>
    </row>
    <row r="1299" spans="1:1" x14ac:dyDescent="0.2">
      <c r="A1299"/>
    </row>
    <row r="1300" spans="1:1" x14ac:dyDescent="0.2">
      <c r="A1300"/>
    </row>
    <row r="1301" spans="1:1" x14ac:dyDescent="0.2">
      <c r="A1301"/>
    </row>
    <row r="1302" spans="1:1" x14ac:dyDescent="0.2">
      <c r="A1302"/>
    </row>
    <row r="1303" spans="1:1" x14ac:dyDescent="0.2">
      <c r="A1303"/>
    </row>
    <row r="1304" spans="1:1" x14ac:dyDescent="0.2">
      <c r="A1304"/>
    </row>
    <row r="1305" spans="1:1" x14ac:dyDescent="0.2">
      <c r="A1305"/>
    </row>
    <row r="1306" spans="1:1" x14ac:dyDescent="0.2">
      <c r="A1306"/>
    </row>
    <row r="1307" spans="1:1" x14ac:dyDescent="0.2">
      <c r="A1307"/>
    </row>
    <row r="1308" spans="1:1" x14ac:dyDescent="0.2">
      <c r="A1308"/>
    </row>
    <row r="1309" spans="1:1" x14ac:dyDescent="0.2">
      <c r="A1309"/>
    </row>
    <row r="1310" spans="1:1" x14ac:dyDescent="0.2">
      <c r="A1310"/>
    </row>
    <row r="1311" spans="1:1" x14ac:dyDescent="0.2">
      <c r="A1311"/>
    </row>
    <row r="1312" spans="1:1" x14ac:dyDescent="0.2">
      <c r="A1312"/>
    </row>
    <row r="1313" spans="1:1" x14ac:dyDescent="0.2">
      <c r="A1313"/>
    </row>
    <row r="1314" spans="1:1" x14ac:dyDescent="0.2">
      <c r="A1314"/>
    </row>
    <row r="1315" spans="1:1" x14ac:dyDescent="0.2">
      <c r="A1315"/>
    </row>
    <row r="1316" spans="1:1" x14ac:dyDescent="0.2">
      <c r="A1316"/>
    </row>
    <row r="1317" spans="1:1" x14ac:dyDescent="0.2">
      <c r="A1317"/>
    </row>
    <row r="1318" spans="1:1" x14ac:dyDescent="0.2">
      <c r="A1318"/>
    </row>
    <row r="1319" spans="1:1" x14ac:dyDescent="0.2">
      <c r="A1319"/>
    </row>
    <row r="1320" spans="1:1" x14ac:dyDescent="0.2">
      <c r="A1320"/>
    </row>
    <row r="1321" spans="1:1" x14ac:dyDescent="0.2">
      <c r="A1321"/>
    </row>
    <row r="1322" spans="1:1" x14ac:dyDescent="0.2">
      <c r="A1322"/>
    </row>
    <row r="1323" spans="1:1" x14ac:dyDescent="0.2">
      <c r="A1323"/>
    </row>
    <row r="1324" spans="1:1" x14ac:dyDescent="0.2">
      <c r="A1324"/>
    </row>
    <row r="1325" spans="1:1" x14ac:dyDescent="0.2">
      <c r="A1325"/>
    </row>
    <row r="1326" spans="1:1" x14ac:dyDescent="0.2">
      <c r="A1326"/>
    </row>
    <row r="1327" spans="1:1" x14ac:dyDescent="0.2">
      <c r="A1327"/>
    </row>
    <row r="1328" spans="1:1" x14ac:dyDescent="0.2">
      <c r="A1328"/>
    </row>
    <row r="1329" spans="1:1" x14ac:dyDescent="0.2">
      <c r="A1329"/>
    </row>
    <row r="1330" spans="1:1" x14ac:dyDescent="0.2">
      <c r="A1330"/>
    </row>
    <row r="1331" spans="1:1" x14ac:dyDescent="0.2">
      <c r="A1331"/>
    </row>
    <row r="1332" spans="1:1" x14ac:dyDescent="0.2">
      <c r="A1332"/>
    </row>
    <row r="1333" spans="1:1" x14ac:dyDescent="0.2">
      <c r="A1333"/>
    </row>
    <row r="1334" spans="1:1" x14ac:dyDescent="0.2">
      <c r="A1334"/>
    </row>
    <row r="1335" spans="1:1" x14ac:dyDescent="0.2">
      <c r="A1335"/>
    </row>
    <row r="1336" spans="1:1" x14ac:dyDescent="0.2">
      <c r="A1336"/>
    </row>
    <row r="1337" spans="1:1" x14ac:dyDescent="0.2">
      <c r="A1337"/>
    </row>
    <row r="1338" spans="1:1" x14ac:dyDescent="0.2">
      <c r="A1338"/>
    </row>
    <row r="1339" spans="1:1" x14ac:dyDescent="0.2">
      <c r="A1339"/>
    </row>
    <row r="1340" spans="1:1" x14ac:dyDescent="0.2">
      <c r="A1340"/>
    </row>
    <row r="1341" spans="1:1" x14ac:dyDescent="0.2">
      <c r="A1341"/>
    </row>
    <row r="1342" spans="1:1" x14ac:dyDescent="0.2">
      <c r="A1342"/>
    </row>
    <row r="1343" spans="1:1" x14ac:dyDescent="0.2">
      <c r="A1343"/>
    </row>
    <row r="1344" spans="1:1" x14ac:dyDescent="0.2">
      <c r="A1344"/>
    </row>
    <row r="1345" spans="1:1" x14ac:dyDescent="0.2">
      <c r="A1345"/>
    </row>
    <row r="1346" spans="1:1" x14ac:dyDescent="0.2">
      <c r="A1346"/>
    </row>
    <row r="1347" spans="1:1" x14ac:dyDescent="0.2">
      <c r="A1347"/>
    </row>
    <row r="1348" spans="1:1" x14ac:dyDescent="0.2">
      <c r="A1348"/>
    </row>
    <row r="1349" spans="1:1" x14ac:dyDescent="0.2">
      <c r="A1349"/>
    </row>
    <row r="1350" spans="1:1" x14ac:dyDescent="0.2">
      <c r="A1350"/>
    </row>
    <row r="1351" spans="1:1" x14ac:dyDescent="0.2">
      <c r="A1351"/>
    </row>
    <row r="1352" spans="1:1" x14ac:dyDescent="0.2">
      <c r="A1352"/>
    </row>
    <row r="1353" spans="1:1" x14ac:dyDescent="0.2">
      <c r="A1353"/>
    </row>
    <row r="1354" spans="1:1" x14ac:dyDescent="0.2">
      <c r="A1354"/>
    </row>
    <row r="1355" spans="1:1" x14ac:dyDescent="0.2">
      <c r="A1355"/>
    </row>
    <row r="1356" spans="1:1" x14ac:dyDescent="0.2">
      <c r="A1356"/>
    </row>
    <row r="1357" spans="1:1" x14ac:dyDescent="0.2">
      <c r="A1357"/>
    </row>
    <row r="1358" spans="1:1" x14ac:dyDescent="0.2">
      <c r="A1358"/>
    </row>
    <row r="1359" spans="1:1" x14ac:dyDescent="0.2">
      <c r="A1359"/>
    </row>
    <row r="1360" spans="1:1" x14ac:dyDescent="0.2">
      <c r="A1360"/>
    </row>
    <row r="1361" spans="1:1" x14ac:dyDescent="0.2">
      <c r="A1361"/>
    </row>
    <row r="1362" spans="1:1" x14ac:dyDescent="0.2">
      <c r="A1362"/>
    </row>
    <row r="1363" spans="1:1" x14ac:dyDescent="0.2">
      <c r="A1363"/>
    </row>
    <row r="1364" spans="1:1" x14ac:dyDescent="0.2">
      <c r="A1364"/>
    </row>
    <row r="1365" spans="1:1" x14ac:dyDescent="0.2">
      <c r="A1365"/>
    </row>
    <row r="1366" spans="1:1" x14ac:dyDescent="0.2">
      <c r="A1366"/>
    </row>
    <row r="1367" spans="1:1" x14ac:dyDescent="0.2">
      <c r="A1367"/>
    </row>
    <row r="1368" spans="1:1" x14ac:dyDescent="0.2">
      <c r="A1368"/>
    </row>
    <row r="1369" spans="1:1" x14ac:dyDescent="0.2">
      <c r="A1369"/>
    </row>
    <row r="1370" spans="1:1" ht="15" customHeight="1" x14ac:dyDescent="0.2">
      <c r="A1370"/>
    </row>
    <row r="1371" spans="1:1" ht="15" customHeight="1" x14ac:dyDescent="0.2">
      <c r="A1371"/>
    </row>
    <row r="1372" spans="1:1" x14ac:dyDescent="0.2">
      <c r="A1372"/>
    </row>
    <row r="1373" spans="1:1" x14ac:dyDescent="0.2">
      <c r="A1373"/>
    </row>
    <row r="1374" spans="1:1" x14ac:dyDescent="0.2">
      <c r="A1374"/>
    </row>
    <row r="1375" spans="1:1" x14ac:dyDescent="0.2">
      <c r="A1375"/>
    </row>
    <row r="1376" spans="1:1" x14ac:dyDescent="0.2">
      <c r="A1376"/>
    </row>
    <row r="1377" spans="1:1" x14ac:dyDescent="0.2">
      <c r="A1377"/>
    </row>
    <row r="1378" spans="1:1" x14ac:dyDescent="0.2">
      <c r="A1378"/>
    </row>
    <row r="1379" spans="1:1" x14ac:dyDescent="0.2">
      <c r="A1379"/>
    </row>
    <row r="1380" spans="1:1" ht="15" customHeight="1" x14ac:dyDescent="0.2">
      <c r="A1380"/>
    </row>
    <row r="1381" spans="1:1" ht="15" customHeight="1" x14ac:dyDescent="0.2">
      <c r="A1381"/>
    </row>
    <row r="1382" spans="1:1" ht="15" customHeight="1" x14ac:dyDescent="0.2">
      <c r="A1382"/>
    </row>
    <row r="1383" spans="1:1" x14ac:dyDescent="0.2">
      <c r="A1383"/>
    </row>
    <row r="1384" spans="1:1" ht="15" customHeight="1" x14ac:dyDescent="0.2">
      <c r="A1384"/>
    </row>
    <row r="1385" spans="1:1" ht="15" customHeight="1" x14ac:dyDescent="0.2">
      <c r="A1385"/>
    </row>
    <row r="1386" spans="1:1" ht="15" customHeight="1" x14ac:dyDescent="0.2">
      <c r="A1386"/>
    </row>
    <row r="1387" spans="1:1" ht="15" customHeight="1" x14ac:dyDescent="0.2">
      <c r="A1387"/>
    </row>
    <row r="1388" spans="1:1" x14ac:dyDescent="0.2">
      <c r="A1388"/>
    </row>
    <row r="1389" spans="1:1" x14ac:dyDescent="0.2">
      <c r="A1389"/>
    </row>
    <row r="1390" spans="1:1" x14ac:dyDescent="0.2">
      <c r="A1390"/>
    </row>
    <row r="1391" spans="1:1" x14ac:dyDescent="0.2">
      <c r="A1391"/>
    </row>
    <row r="1392" spans="1:1" x14ac:dyDescent="0.2">
      <c r="A1392"/>
    </row>
    <row r="1393" spans="1:1" x14ac:dyDescent="0.2">
      <c r="A1393"/>
    </row>
    <row r="1394" spans="1:1" x14ac:dyDescent="0.2">
      <c r="A1394"/>
    </row>
    <row r="1395" spans="1:1" x14ac:dyDescent="0.2">
      <c r="A1395"/>
    </row>
    <row r="1396" spans="1:1" x14ac:dyDescent="0.2">
      <c r="A1396"/>
    </row>
    <row r="1397" spans="1:1" x14ac:dyDescent="0.2">
      <c r="A1397"/>
    </row>
    <row r="1398" spans="1:1" x14ac:dyDescent="0.2">
      <c r="A1398"/>
    </row>
    <row r="1399" spans="1:1" x14ac:dyDescent="0.2">
      <c r="A1399"/>
    </row>
    <row r="1400" spans="1:1" x14ac:dyDescent="0.2">
      <c r="A1400"/>
    </row>
    <row r="1401" spans="1:1" x14ac:dyDescent="0.2">
      <c r="A1401"/>
    </row>
    <row r="1402" spans="1:1" x14ac:dyDescent="0.2">
      <c r="A1402"/>
    </row>
    <row r="1403" spans="1:1" x14ac:dyDescent="0.2">
      <c r="A1403"/>
    </row>
    <row r="1404" spans="1:1" x14ac:dyDescent="0.2">
      <c r="A1404"/>
    </row>
    <row r="1405" spans="1:1" x14ac:dyDescent="0.2">
      <c r="A1405"/>
    </row>
    <row r="1406" spans="1:1" x14ac:dyDescent="0.2">
      <c r="A1406"/>
    </row>
    <row r="1407" spans="1:1" x14ac:dyDescent="0.2">
      <c r="A1407"/>
    </row>
    <row r="1408" spans="1:1" x14ac:dyDescent="0.2">
      <c r="A1408"/>
    </row>
    <row r="1409" spans="1:1" x14ac:dyDescent="0.2">
      <c r="A1409"/>
    </row>
    <row r="1410" spans="1:1" x14ac:dyDescent="0.2">
      <c r="A1410"/>
    </row>
    <row r="1411" spans="1:1" x14ac:dyDescent="0.2">
      <c r="A1411"/>
    </row>
    <row r="1412" spans="1:1" x14ac:dyDescent="0.2">
      <c r="A1412"/>
    </row>
    <row r="1413" spans="1:1" x14ac:dyDescent="0.2">
      <c r="A1413"/>
    </row>
    <row r="1414" spans="1:1" x14ac:dyDescent="0.2">
      <c r="A1414"/>
    </row>
    <row r="1415" spans="1:1" x14ac:dyDescent="0.2">
      <c r="A1415"/>
    </row>
    <row r="1416" spans="1:1" x14ac:dyDescent="0.2">
      <c r="A1416"/>
    </row>
    <row r="1417" spans="1:1" x14ac:dyDescent="0.2">
      <c r="A1417"/>
    </row>
    <row r="1418" spans="1:1" x14ac:dyDescent="0.2">
      <c r="A1418"/>
    </row>
    <row r="1419" spans="1:1" x14ac:dyDescent="0.2">
      <c r="A1419"/>
    </row>
    <row r="1420" spans="1:1" x14ac:dyDescent="0.2">
      <c r="A1420"/>
    </row>
    <row r="1421" spans="1:1" x14ac:dyDescent="0.2">
      <c r="A1421"/>
    </row>
    <row r="1422" spans="1:1" x14ac:dyDescent="0.2">
      <c r="A1422"/>
    </row>
    <row r="1423" spans="1:1" x14ac:dyDescent="0.2">
      <c r="A1423"/>
    </row>
    <row r="1424" spans="1:1" x14ac:dyDescent="0.2">
      <c r="A1424"/>
    </row>
    <row r="1425" spans="1:1" x14ac:dyDescent="0.2">
      <c r="A1425"/>
    </row>
    <row r="1426" spans="1:1" x14ac:dyDescent="0.2">
      <c r="A1426"/>
    </row>
    <row r="1427" spans="1:1" x14ac:dyDescent="0.2">
      <c r="A1427"/>
    </row>
    <row r="1428" spans="1:1" x14ac:dyDescent="0.2">
      <c r="A1428"/>
    </row>
    <row r="1429" spans="1:1" x14ac:dyDescent="0.2">
      <c r="A1429"/>
    </row>
    <row r="1430" spans="1:1" x14ac:dyDescent="0.2">
      <c r="A1430"/>
    </row>
    <row r="1431" spans="1:1" x14ac:dyDescent="0.2">
      <c r="A1431"/>
    </row>
    <row r="1432" spans="1:1" x14ac:dyDescent="0.2">
      <c r="A1432"/>
    </row>
    <row r="1433" spans="1:1" x14ac:dyDescent="0.2">
      <c r="A1433"/>
    </row>
    <row r="1434" spans="1:1" x14ac:dyDescent="0.2">
      <c r="A1434"/>
    </row>
    <row r="1435" spans="1:1" x14ac:dyDescent="0.2">
      <c r="A1435"/>
    </row>
    <row r="1436" spans="1:1" x14ac:dyDescent="0.2">
      <c r="A1436"/>
    </row>
    <row r="1437" spans="1:1" x14ac:dyDescent="0.2">
      <c r="A1437"/>
    </row>
    <row r="1438" spans="1:1" x14ac:dyDescent="0.2">
      <c r="A1438"/>
    </row>
    <row r="1439" spans="1:1" x14ac:dyDescent="0.2">
      <c r="A1439"/>
    </row>
    <row r="1440" spans="1:1" x14ac:dyDescent="0.2">
      <c r="A1440"/>
    </row>
    <row r="1441" spans="1:1" x14ac:dyDescent="0.2">
      <c r="A1441"/>
    </row>
    <row r="1442" spans="1:1" x14ac:dyDescent="0.2">
      <c r="A1442"/>
    </row>
    <row r="1443" spans="1:1" x14ac:dyDescent="0.2">
      <c r="A1443"/>
    </row>
    <row r="1444" spans="1:1" x14ac:dyDescent="0.2">
      <c r="A1444"/>
    </row>
    <row r="1445" spans="1:1" x14ac:dyDescent="0.2">
      <c r="A1445"/>
    </row>
    <row r="1446" spans="1:1" x14ac:dyDescent="0.2">
      <c r="A1446"/>
    </row>
    <row r="1447" spans="1:1" x14ac:dyDescent="0.2">
      <c r="A1447"/>
    </row>
    <row r="1448" spans="1:1" x14ac:dyDescent="0.2">
      <c r="A1448"/>
    </row>
    <row r="1449" spans="1:1" x14ac:dyDescent="0.2">
      <c r="A1449"/>
    </row>
    <row r="1450" spans="1:1" x14ac:dyDescent="0.2">
      <c r="A1450"/>
    </row>
    <row r="1451" spans="1:1" x14ac:dyDescent="0.2">
      <c r="A1451"/>
    </row>
    <row r="1452" spans="1:1" x14ac:dyDescent="0.2">
      <c r="A1452"/>
    </row>
    <row r="1453" spans="1:1" x14ac:dyDescent="0.2">
      <c r="A1453"/>
    </row>
    <row r="1454" spans="1:1" x14ac:dyDescent="0.2">
      <c r="A1454"/>
    </row>
    <row r="1455" spans="1:1" x14ac:dyDescent="0.2">
      <c r="A1455"/>
    </row>
    <row r="1456" spans="1:1" x14ac:dyDescent="0.2">
      <c r="A1456"/>
    </row>
    <row r="1457" spans="1:1" x14ac:dyDescent="0.2">
      <c r="A1457"/>
    </row>
    <row r="1458" spans="1:1" x14ac:dyDescent="0.2">
      <c r="A1458"/>
    </row>
    <row r="1459" spans="1:1" x14ac:dyDescent="0.2">
      <c r="A1459"/>
    </row>
    <row r="1460" spans="1:1" x14ac:dyDescent="0.2">
      <c r="A1460"/>
    </row>
    <row r="1461" spans="1:1" x14ac:dyDescent="0.2">
      <c r="A1461"/>
    </row>
    <row r="1462" spans="1:1" x14ac:dyDescent="0.2">
      <c r="A1462"/>
    </row>
    <row r="1463" spans="1:1" x14ac:dyDescent="0.2">
      <c r="A1463"/>
    </row>
    <row r="1464" spans="1:1" x14ac:dyDescent="0.2">
      <c r="A1464"/>
    </row>
    <row r="1465" spans="1:1" x14ac:dyDescent="0.2">
      <c r="A1465"/>
    </row>
    <row r="1466" spans="1:1" x14ac:dyDescent="0.2">
      <c r="A1466"/>
    </row>
    <row r="1467" spans="1:1" x14ac:dyDescent="0.2">
      <c r="A1467"/>
    </row>
    <row r="1468" spans="1:1" x14ac:dyDescent="0.2">
      <c r="A1468"/>
    </row>
    <row r="1469" spans="1:1" x14ac:dyDescent="0.2">
      <c r="A1469"/>
    </row>
    <row r="1470" spans="1:1" x14ac:dyDescent="0.2">
      <c r="A1470"/>
    </row>
    <row r="1471" spans="1:1" x14ac:dyDescent="0.2">
      <c r="A1471"/>
    </row>
    <row r="1472" spans="1:1" x14ac:dyDescent="0.2">
      <c r="A1472"/>
    </row>
    <row r="1473" spans="1:1" x14ac:dyDescent="0.2">
      <c r="A1473"/>
    </row>
    <row r="1474" spans="1:1" x14ac:dyDescent="0.2">
      <c r="A1474"/>
    </row>
    <row r="1475" spans="1:1" x14ac:dyDescent="0.2">
      <c r="A1475"/>
    </row>
    <row r="1476" spans="1:1" x14ac:dyDescent="0.2">
      <c r="A1476"/>
    </row>
    <row r="1477" spans="1:1" x14ac:dyDescent="0.2">
      <c r="A1477"/>
    </row>
    <row r="1478" spans="1:1" x14ac:dyDescent="0.2">
      <c r="A1478"/>
    </row>
    <row r="1479" spans="1:1" x14ac:dyDescent="0.2">
      <c r="A1479"/>
    </row>
    <row r="1480" spans="1:1" x14ac:dyDescent="0.2">
      <c r="A1480"/>
    </row>
    <row r="1481" spans="1:1" x14ac:dyDescent="0.2">
      <c r="A1481"/>
    </row>
    <row r="1482" spans="1:1" x14ac:dyDescent="0.2">
      <c r="A1482"/>
    </row>
    <row r="1483" spans="1:1" x14ac:dyDescent="0.2">
      <c r="A1483"/>
    </row>
    <row r="1484" spans="1:1" x14ac:dyDescent="0.2">
      <c r="A1484"/>
    </row>
    <row r="1485" spans="1:1" x14ac:dyDescent="0.2">
      <c r="A1485"/>
    </row>
    <row r="1486" spans="1:1" x14ac:dyDescent="0.2">
      <c r="A1486"/>
    </row>
    <row r="1487" spans="1:1" x14ac:dyDescent="0.2">
      <c r="A1487"/>
    </row>
    <row r="1488" spans="1:1" x14ac:dyDescent="0.2">
      <c r="A1488"/>
    </row>
    <row r="1489" spans="1:1" x14ac:dyDescent="0.2">
      <c r="A1489"/>
    </row>
    <row r="1490" spans="1:1" x14ac:dyDescent="0.2">
      <c r="A1490"/>
    </row>
    <row r="1491" spans="1:1" x14ac:dyDescent="0.2">
      <c r="A1491"/>
    </row>
    <row r="1492" spans="1:1" x14ac:dyDescent="0.2">
      <c r="A1492"/>
    </row>
    <row r="1493" spans="1:1" x14ac:dyDescent="0.2">
      <c r="A1493"/>
    </row>
    <row r="1494" spans="1:1" x14ac:dyDescent="0.2">
      <c r="A1494"/>
    </row>
    <row r="1495" spans="1:1" x14ac:dyDescent="0.2">
      <c r="A1495"/>
    </row>
    <row r="1496" spans="1:1" x14ac:dyDescent="0.2">
      <c r="A1496"/>
    </row>
    <row r="1497" spans="1:1" x14ac:dyDescent="0.2">
      <c r="A1497"/>
    </row>
    <row r="1498" spans="1:1" x14ac:dyDescent="0.2">
      <c r="A1498"/>
    </row>
    <row r="1499" spans="1:1" x14ac:dyDescent="0.2">
      <c r="A1499"/>
    </row>
    <row r="1500" spans="1:1" x14ac:dyDescent="0.2">
      <c r="A1500"/>
    </row>
    <row r="1501" spans="1:1" x14ac:dyDescent="0.2">
      <c r="A1501"/>
    </row>
    <row r="1502" spans="1:1" x14ac:dyDescent="0.2">
      <c r="A1502"/>
    </row>
    <row r="1503" spans="1:1" x14ac:dyDescent="0.2">
      <c r="A1503"/>
    </row>
    <row r="1504" spans="1:1" x14ac:dyDescent="0.2">
      <c r="A1504"/>
    </row>
    <row r="1505" spans="1:1" x14ac:dyDescent="0.2">
      <c r="A1505"/>
    </row>
    <row r="1506" spans="1:1" x14ac:dyDescent="0.2">
      <c r="A1506"/>
    </row>
    <row r="1507" spans="1:1" x14ac:dyDescent="0.2">
      <c r="A1507"/>
    </row>
    <row r="1508" spans="1:1" x14ac:dyDescent="0.2">
      <c r="A1508"/>
    </row>
    <row r="1509" spans="1:1" x14ac:dyDescent="0.2">
      <c r="A1509"/>
    </row>
    <row r="1510" spans="1:1" x14ac:dyDescent="0.2">
      <c r="A1510"/>
    </row>
    <row r="1511" spans="1:1" x14ac:dyDescent="0.2">
      <c r="A1511"/>
    </row>
    <row r="1512" spans="1:1" x14ac:dyDescent="0.2">
      <c r="A1512"/>
    </row>
    <row r="1513" spans="1:1" x14ac:dyDescent="0.2">
      <c r="A1513"/>
    </row>
    <row r="1514" spans="1:1" x14ac:dyDescent="0.2">
      <c r="A1514"/>
    </row>
    <row r="1515" spans="1:1" x14ac:dyDescent="0.2">
      <c r="A1515"/>
    </row>
    <row r="1516" spans="1:1" x14ac:dyDescent="0.2">
      <c r="A1516"/>
    </row>
    <row r="1517" spans="1:1" x14ac:dyDescent="0.2">
      <c r="A1517"/>
    </row>
    <row r="1518" spans="1:1" x14ac:dyDescent="0.2">
      <c r="A1518"/>
    </row>
    <row r="1519" spans="1:1" x14ac:dyDescent="0.2">
      <c r="A1519"/>
    </row>
    <row r="1520" spans="1:1" x14ac:dyDescent="0.2">
      <c r="A1520"/>
    </row>
    <row r="1521" spans="1:1" x14ac:dyDescent="0.2">
      <c r="A1521"/>
    </row>
    <row r="1522" spans="1:1" x14ac:dyDescent="0.2">
      <c r="A1522"/>
    </row>
    <row r="1523" spans="1:1" x14ac:dyDescent="0.2">
      <c r="A1523"/>
    </row>
    <row r="1524" spans="1:1" x14ac:dyDescent="0.2">
      <c r="A1524"/>
    </row>
    <row r="1525" spans="1:1" x14ac:dyDescent="0.2">
      <c r="A1525"/>
    </row>
    <row r="1526" spans="1:1" x14ac:dyDescent="0.2">
      <c r="A1526"/>
    </row>
    <row r="1527" spans="1:1" x14ac:dyDescent="0.2">
      <c r="A1527"/>
    </row>
    <row r="1528" spans="1:1" x14ac:dyDescent="0.2">
      <c r="A1528"/>
    </row>
    <row r="1529" spans="1:1" x14ac:dyDescent="0.2">
      <c r="A1529"/>
    </row>
    <row r="1530" spans="1:1" x14ac:dyDescent="0.2">
      <c r="A1530"/>
    </row>
    <row r="1531" spans="1:1" x14ac:dyDescent="0.2">
      <c r="A1531"/>
    </row>
    <row r="1532" spans="1:1" x14ac:dyDescent="0.2">
      <c r="A1532"/>
    </row>
    <row r="1533" spans="1:1" x14ac:dyDescent="0.2">
      <c r="A1533"/>
    </row>
    <row r="1534" spans="1:1" x14ac:dyDescent="0.2">
      <c r="A1534"/>
    </row>
    <row r="1535" spans="1:1" x14ac:dyDescent="0.2">
      <c r="A1535"/>
    </row>
    <row r="1536" spans="1:1" x14ac:dyDescent="0.2">
      <c r="A1536"/>
    </row>
    <row r="1537" spans="1:1" x14ac:dyDescent="0.2">
      <c r="A1537"/>
    </row>
    <row r="1538" spans="1:1" x14ac:dyDescent="0.2">
      <c r="A1538"/>
    </row>
    <row r="1539" spans="1:1" x14ac:dyDescent="0.2">
      <c r="A1539"/>
    </row>
    <row r="1540" spans="1:1" x14ac:dyDescent="0.2">
      <c r="A1540"/>
    </row>
    <row r="1541" spans="1:1" x14ac:dyDescent="0.2">
      <c r="A1541"/>
    </row>
    <row r="1542" spans="1:1" x14ac:dyDescent="0.2">
      <c r="A1542"/>
    </row>
    <row r="1543" spans="1:1" x14ac:dyDescent="0.2">
      <c r="A1543"/>
    </row>
    <row r="1544" spans="1:1" x14ac:dyDescent="0.2">
      <c r="A1544"/>
    </row>
    <row r="1545" spans="1:1" x14ac:dyDescent="0.2">
      <c r="A1545"/>
    </row>
    <row r="1546" spans="1:1" x14ac:dyDescent="0.2">
      <c r="A1546"/>
    </row>
    <row r="1547" spans="1:1" x14ac:dyDescent="0.2">
      <c r="A1547"/>
    </row>
    <row r="1548" spans="1:1" x14ac:dyDescent="0.2">
      <c r="A1548"/>
    </row>
    <row r="1549" spans="1:1" x14ac:dyDescent="0.2">
      <c r="A1549"/>
    </row>
    <row r="1550" spans="1:1" x14ac:dyDescent="0.2">
      <c r="A1550"/>
    </row>
    <row r="1551" spans="1:1" x14ac:dyDescent="0.2">
      <c r="A1551"/>
    </row>
    <row r="1552" spans="1:1" x14ac:dyDescent="0.2">
      <c r="A1552"/>
    </row>
    <row r="1553" spans="1:1" x14ac:dyDescent="0.2">
      <c r="A1553"/>
    </row>
    <row r="1554" spans="1:1" x14ac:dyDescent="0.2">
      <c r="A1554"/>
    </row>
    <row r="1555" spans="1:1" x14ac:dyDescent="0.2">
      <c r="A1555"/>
    </row>
    <row r="1556" spans="1:1" x14ac:dyDescent="0.2">
      <c r="A1556"/>
    </row>
    <row r="1557" spans="1:1" x14ac:dyDescent="0.2">
      <c r="A1557"/>
    </row>
    <row r="1558" spans="1:1" x14ac:dyDescent="0.2">
      <c r="A1558"/>
    </row>
    <row r="1559" spans="1:1" x14ac:dyDescent="0.2">
      <c r="A1559"/>
    </row>
    <row r="1560" spans="1:1" x14ac:dyDescent="0.2">
      <c r="A1560"/>
    </row>
    <row r="1561" spans="1:1" x14ac:dyDescent="0.2">
      <c r="A1561"/>
    </row>
    <row r="1562" spans="1:1" x14ac:dyDescent="0.2">
      <c r="A1562"/>
    </row>
    <row r="1563" spans="1:1" x14ac:dyDescent="0.2">
      <c r="A1563"/>
    </row>
    <row r="1564" spans="1:1" x14ac:dyDescent="0.2">
      <c r="A1564"/>
    </row>
    <row r="1565" spans="1:1" x14ac:dyDescent="0.2">
      <c r="A1565"/>
    </row>
    <row r="1566" spans="1:1" x14ac:dyDescent="0.2">
      <c r="A1566"/>
    </row>
    <row r="1567" spans="1:1" x14ac:dyDescent="0.2">
      <c r="A1567"/>
    </row>
    <row r="1568" spans="1:1" x14ac:dyDescent="0.2">
      <c r="A1568"/>
    </row>
    <row r="1569" spans="1:1" x14ac:dyDescent="0.2">
      <c r="A1569"/>
    </row>
    <row r="1570" spans="1:1" x14ac:dyDescent="0.2">
      <c r="A1570"/>
    </row>
    <row r="1571" spans="1:1" x14ac:dyDescent="0.2">
      <c r="A1571"/>
    </row>
    <row r="1572" spans="1:1" x14ac:dyDescent="0.2">
      <c r="A1572"/>
    </row>
    <row r="1573" spans="1:1" x14ac:dyDescent="0.2">
      <c r="A1573"/>
    </row>
    <row r="1574" spans="1:1" x14ac:dyDescent="0.2">
      <c r="A1574"/>
    </row>
    <row r="1575" spans="1:1" x14ac:dyDescent="0.2">
      <c r="A1575"/>
    </row>
    <row r="1576" spans="1:1" x14ac:dyDescent="0.2">
      <c r="A1576"/>
    </row>
    <row r="1577" spans="1:1" x14ac:dyDescent="0.2">
      <c r="A1577"/>
    </row>
    <row r="1578" spans="1:1" x14ac:dyDescent="0.2">
      <c r="A1578"/>
    </row>
    <row r="1579" spans="1:1" x14ac:dyDescent="0.2">
      <c r="A1579"/>
    </row>
    <row r="1580" spans="1:1" ht="14.25" customHeight="1" x14ac:dyDescent="0.2">
      <c r="A1580"/>
    </row>
    <row r="1581" spans="1:1" x14ac:dyDescent="0.2">
      <c r="A1581"/>
    </row>
    <row r="1582" spans="1:1" x14ac:dyDescent="0.2">
      <c r="A1582"/>
    </row>
    <row r="1583" spans="1:1" x14ac:dyDescent="0.2">
      <c r="A1583"/>
    </row>
    <row r="1584" spans="1:1" x14ac:dyDescent="0.2">
      <c r="A1584"/>
    </row>
    <row r="1585" spans="1:1" x14ac:dyDescent="0.2">
      <c r="A1585"/>
    </row>
    <row r="1586" spans="1:1" x14ac:dyDescent="0.2">
      <c r="A1586"/>
    </row>
    <row r="1587" spans="1:1" x14ac:dyDescent="0.2">
      <c r="A1587"/>
    </row>
    <row r="1588" spans="1:1" x14ac:dyDescent="0.2">
      <c r="A1588"/>
    </row>
    <row r="1589" spans="1:1" x14ac:dyDescent="0.2">
      <c r="A1589"/>
    </row>
    <row r="1590" spans="1:1" x14ac:dyDescent="0.2">
      <c r="A1590"/>
    </row>
    <row r="1591" spans="1:1" x14ac:dyDescent="0.2">
      <c r="A1591"/>
    </row>
    <row r="1592" spans="1:1" x14ac:dyDescent="0.2">
      <c r="A1592"/>
    </row>
    <row r="1593" spans="1:1" x14ac:dyDescent="0.2">
      <c r="A1593"/>
    </row>
    <row r="1594" spans="1:1" x14ac:dyDescent="0.2">
      <c r="A1594"/>
    </row>
    <row r="1595" spans="1:1" x14ac:dyDescent="0.2">
      <c r="A1595"/>
    </row>
    <row r="1596" spans="1:1" x14ac:dyDescent="0.2">
      <c r="A1596"/>
    </row>
    <row r="1597" spans="1:1" x14ac:dyDescent="0.2">
      <c r="A1597"/>
    </row>
    <row r="1598" spans="1:1" x14ac:dyDescent="0.2">
      <c r="A1598"/>
    </row>
    <row r="1599" spans="1:1" x14ac:dyDescent="0.2">
      <c r="A1599"/>
    </row>
    <row r="1600" spans="1:1" x14ac:dyDescent="0.2">
      <c r="A1600"/>
    </row>
    <row r="1601" spans="1:1" x14ac:dyDescent="0.2">
      <c r="A1601"/>
    </row>
    <row r="1602" spans="1:1" x14ac:dyDescent="0.2">
      <c r="A1602"/>
    </row>
    <row r="1603" spans="1:1" x14ac:dyDescent="0.2">
      <c r="A1603"/>
    </row>
    <row r="1604" spans="1:1" x14ac:dyDescent="0.2">
      <c r="A1604"/>
    </row>
    <row r="1605" spans="1:1" x14ac:dyDescent="0.2">
      <c r="A1605"/>
    </row>
    <row r="1606" spans="1:1" x14ac:dyDescent="0.2">
      <c r="A1606"/>
    </row>
    <row r="1607" spans="1:1" x14ac:dyDescent="0.2">
      <c r="A1607"/>
    </row>
    <row r="1608" spans="1:1" x14ac:dyDescent="0.2">
      <c r="A1608"/>
    </row>
    <row r="1609" spans="1:1" x14ac:dyDescent="0.2">
      <c r="A1609"/>
    </row>
    <row r="1610" spans="1:1" x14ac:dyDescent="0.2">
      <c r="A1610"/>
    </row>
    <row r="1611" spans="1:1" x14ac:dyDescent="0.2">
      <c r="A1611"/>
    </row>
    <row r="1612" spans="1:1" x14ac:dyDescent="0.2">
      <c r="A1612"/>
    </row>
    <row r="1613" spans="1:1" x14ac:dyDescent="0.2">
      <c r="A1613"/>
    </row>
    <row r="1614" spans="1:1" x14ac:dyDescent="0.2">
      <c r="A1614"/>
    </row>
    <row r="1615" spans="1:1" x14ac:dyDescent="0.2">
      <c r="A1615"/>
    </row>
    <row r="1616" spans="1:1" x14ac:dyDescent="0.2">
      <c r="A1616"/>
    </row>
    <row r="1617" spans="1:1" x14ac:dyDescent="0.2">
      <c r="A1617"/>
    </row>
    <row r="1618" spans="1:1" x14ac:dyDescent="0.2">
      <c r="A1618"/>
    </row>
    <row r="1619" spans="1:1" x14ac:dyDescent="0.2">
      <c r="A1619"/>
    </row>
    <row r="1620" spans="1:1" x14ac:dyDescent="0.2">
      <c r="A1620"/>
    </row>
    <row r="1621" spans="1:1" x14ac:dyDescent="0.2">
      <c r="A1621"/>
    </row>
    <row r="1622" spans="1:1" x14ac:dyDescent="0.2">
      <c r="A1622"/>
    </row>
    <row r="1623" spans="1:1" x14ac:dyDescent="0.2">
      <c r="A1623"/>
    </row>
    <row r="1624" spans="1:1" x14ac:dyDescent="0.2">
      <c r="A1624"/>
    </row>
    <row r="1625" spans="1:1" x14ac:dyDescent="0.2">
      <c r="A1625"/>
    </row>
    <row r="1626" spans="1:1" x14ac:dyDescent="0.2">
      <c r="A1626"/>
    </row>
    <row r="1627" spans="1:1" x14ac:dyDescent="0.2">
      <c r="A1627"/>
    </row>
    <row r="1628" spans="1:1" x14ac:dyDescent="0.2">
      <c r="A1628"/>
    </row>
    <row r="1629" spans="1:1" x14ac:dyDescent="0.2">
      <c r="A1629"/>
    </row>
    <row r="1630" spans="1:1" ht="15" customHeight="1" x14ac:dyDescent="0.2">
      <c r="A1630"/>
    </row>
    <row r="1631" spans="1:1" x14ac:dyDescent="0.2">
      <c r="A1631"/>
    </row>
    <row r="1632" spans="1:1" x14ac:dyDescent="0.2">
      <c r="A1632"/>
    </row>
    <row r="1633" spans="1:1" x14ac:dyDescent="0.2">
      <c r="A1633"/>
    </row>
    <row r="1634" spans="1:1" x14ac:dyDescent="0.2">
      <c r="A1634"/>
    </row>
    <row r="1635" spans="1:1" x14ac:dyDescent="0.2">
      <c r="A1635"/>
    </row>
    <row r="1636" spans="1:1" x14ac:dyDescent="0.2">
      <c r="A1636"/>
    </row>
    <row r="1637" spans="1:1" x14ac:dyDescent="0.2">
      <c r="A1637"/>
    </row>
    <row r="1638" spans="1:1" x14ac:dyDescent="0.2">
      <c r="A1638"/>
    </row>
    <row r="1639" spans="1:1" x14ac:dyDescent="0.2">
      <c r="A1639"/>
    </row>
    <row r="1640" spans="1:1" x14ac:dyDescent="0.2">
      <c r="A1640"/>
    </row>
    <row r="1641" spans="1:1" x14ac:dyDescent="0.2">
      <c r="A1641"/>
    </row>
    <row r="1642" spans="1:1" x14ac:dyDescent="0.2">
      <c r="A1642"/>
    </row>
    <row r="1643" spans="1:1" x14ac:dyDescent="0.2">
      <c r="A1643"/>
    </row>
    <row r="1644" spans="1:1" x14ac:dyDescent="0.2">
      <c r="A1644"/>
    </row>
    <row r="1645" spans="1:1" x14ac:dyDescent="0.2">
      <c r="A1645"/>
    </row>
    <row r="1646" spans="1:1" x14ac:dyDescent="0.2">
      <c r="A1646"/>
    </row>
    <row r="1647" spans="1:1" x14ac:dyDescent="0.2">
      <c r="A1647"/>
    </row>
    <row r="1648" spans="1:1" x14ac:dyDescent="0.2">
      <c r="A1648"/>
    </row>
    <row r="1649" spans="1:1" x14ac:dyDescent="0.2">
      <c r="A1649"/>
    </row>
    <row r="1650" spans="1:1" x14ac:dyDescent="0.2">
      <c r="A1650"/>
    </row>
    <row r="1651" spans="1:1" x14ac:dyDescent="0.2">
      <c r="A1651"/>
    </row>
    <row r="1652" spans="1:1" x14ac:dyDescent="0.2">
      <c r="A1652"/>
    </row>
    <row r="1653" spans="1:1" x14ac:dyDescent="0.2">
      <c r="A1653"/>
    </row>
    <row r="1654" spans="1:1" x14ac:dyDescent="0.2">
      <c r="A1654"/>
    </row>
    <row r="1655" spans="1:1" x14ac:dyDescent="0.2">
      <c r="A1655"/>
    </row>
    <row r="1656" spans="1:1" x14ac:dyDescent="0.2">
      <c r="A1656"/>
    </row>
    <row r="1657" spans="1:1" x14ac:dyDescent="0.2">
      <c r="A1657"/>
    </row>
    <row r="1658" spans="1:1" x14ac:dyDescent="0.2">
      <c r="A1658"/>
    </row>
    <row r="1659" spans="1:1" x14ac:dyDescent="0.2">
      <c r="A1659"/>
    </row>
    <row r="1660" spans="1:1" x14ac:dyDescent="0.2">
      <c r="A1660"/>
    </row>
    <row r="1661" spans="1:1" x14ac:dyDescent="0.2">
      <c r="A1661"/>
    </row>
    <row r="1662" spans="1:1" x14ac:dyDescent="0.2">
      <c r="A1662"/>
    </row>
    <row r="1663" spans="1:1" x14ac:dyDescent="0.2">
      <c r="A1663"/>
    </row>
    <row r="1664" spans="1:1" x14ac:dyDescent="0.2">
      <c r="A1664"/>
    </row>
    <row r="1665" spans="1:1" x14ac:dyDescent="0.2">
      <c r="A1665"/>
    </row>
    <row r="1666" spans="1:1" x14ac:dyDescent="0.2">
      <c r="A1666"/>
    </row>
    <row r="1667" spans="1:1" x14ac:dyDescent="0.2">
      <c r="A1667"/>
    </row>
    <row r="1668" spans="1:1" x14ac:dyDescent="0.2">
      <c r="A1668"/>
    </row>
    <row r="1669" spans="1:1" x14ac:dyDescent="0.2">
      <c r="A1669"/>
    </row>
    <row r="1670" spans="1:1" x14ac:dyDescent="0.2">
      <c r="A1670"/>
    </row>
    <row r="1671" spans="1:1" x14ac:dyDescent="0.2">
      <c r="A1671"/>
    </row>
    <row r="1672" spans="1:1" x14ac:dyDescent="0.2">
      <c r="A1672"/>
    </row>
    <row r="1673" spans="1:1" x14ac:dyDescent="0.2">
      <c r="A1673"/>
    </row>
    <row r="1674" spans="1:1" x14ac:dyDescent="0.2">
      <c r="A1674"/>
    </row>
    <row r="1675" spans="1:1" x14ac:dyDescent="0.2">
      <c r="A1675"/>
    </row>
    <row r="1676" spans="1:1" x14ac:dyDescent="0.2">
      <c r="A1676"/>
    </row>
    <row r="1677" spans="1:1" x14ac:dyDescent="0.2">
      <c r="A1677"/>
    </row>
    <row r="1678" spans="1:1" x14ac:dyDescent="0.2">
      <c r="A1678"/>
    </row>
    <row r="1679" spans="1:1" x14ac:dyDescent="0.2">
      <c r="A1679"/>
    </row>
    <row r="1680" spans="1:1" x14ac:dyDescent="0.2">
      <c r="A1680"/>
    </row>
    <row r="1681" spans="1:1" x14ac:dyDescent="0.2">
      <c r="A1681"/>
    </row>
    <row r="1682" spans="1:1" x14ac:dyDescent="0.2">
      <c r="A1682"/>
    </row>
    <row r="1683" spans="1:1" x14ac:dyDescent="0.2">
      <c r="A1683"/>
    </row>
    <row r="1684" spans="1:1" x14ac:dyDescent="0.2">
      <c r="A1684"/>
    </row>
    <row r="1685" spans="1:1" x14ac:dyDescent="0.2">
      <c r="A1685"/>
    </row>
    <row r="1686" spans="1:1" x14ac:dyDescent="0.2">
      <c r="A1686"/>
    </row>
    <row r="1687" spans="1:1" x14ac:dyDescent="0.2">
      <c r="A1687"/>
    </row>
    <row r="1688" spans="1:1" x14ac:dyDescent="0.2">
      <c r="A1688"/>
    </row>
    <row r="1689" spans="1:1" x14ac:dyDescent="0.2">
      <c r="A1689"/>
    </row>
    <row r="1690" spans="1:1" x14ac:dyDescent="0.2">
      <c r="A1690"/>
    </row>
    <row r="1691" spans="1:1" x14ac:dyDescent="0.2">
      <c r="A1691"/>
    </row>
    <row r="1692" spans="1:1" x14ac:dyDescent="0.2">
      <c r="A1692"/>
    </row>
    <row r="1693" spans="1:1" x14ac:dyDescent="0.2">
      <c r="A1693"/>
    </row>
    <row r="1694" spans="1:1" x14ac:dyDescent="0.2">
      <c r="A1694"/>
    </row>
    <row r="1695" spans="1:1" x14ac:dyDescent="0.2">
      <c r="A1695"/>
    </row>
    <row r="1696" spans="1:1" x14ac:dyDescent="0.2">
      <c r="A1696"/>
    </row>
    <row r="1697" spans="1:1" x14ac:dyDescent="0.2">
      <c r="A1697"/>
    </row>
    <row r="1698" spans="1:1" x14ac:dyDescent="0.2">
      <c r="A1698"/>
    </row>
    <row r="1699" spans="1:1" x14ac:dyDescent="0.2">
      <c r="A1699"/>
    </row>
    <row r="1700" spans="1:1" x14ac:dyDescent="0.2">
      <c r="A1700"/>
    </row>
    <row r="1701" spans="1:1" x14ac:dyDescent="0.2">
      <c r="A1701"/>
    </row>
    <row r="1702" spans="1:1" x14ac:dyDescent="0.2">
      <c r="A1702"/>
    </row>
    <row r="1703" spans="1:1" x14ac:dyDescent="0.2">
      <c r="A1703"/>
    </row>
    <row r="1704" spans="1:1" x14ac:dyDescent="0.2">
      <c r="A1704"/>
    </row>
    <row r="1705" spans="1:1" x14ac:dyDescent="0.2">
      <c r="A1705"/>
    </row>
    <row r="1706" spans="1:1" x14ac:dyDescent="0.2">
      <c r="A1706"/>
    </row>
    <row r="1707" spans="1:1" x14ac:dyDescent="0.2">
      <c r="A1707"/>
    </row>
    <row r="1708" spans="1:1" x14ac:dyDescent="0.2">
      <c r="A1708"/>
    </row>
    <row r="1709" spans="1:1" x14ac:dyDescent="0.2">
      <c r="A1709"/>
    </row>
    <row r="1710" spans="1:1" x14ac:dyDescent="0.2">
      <c r="A1710"/>
    </row>
    <row r="1711" spans="1:1" x14ac:dyDescent="0.2">
      <c r="A1711"/>
    </row>
    <row r="1712" spans="1:1" x14ac:dyDescent="0.2">
      <c r="A1712"/>
    </row>
    <row r="1713" spans="1:1" x14ac:dyDescent="0.2">
      <c r="A1713"/>
    </row>
    <row r="1714" spans="1:1" x14ac:dyDescent="0.2">
      <c r="A1714"/>
    </row>
    <row r="1715" spans="1:1" x14ac:dyDescent="0.2">
      <c r="A1715"/>
    </row>
    <row r="1716" spans="1:1" x14ac:dyDescent="0.2">
      <c r="A1716"/>
    </row>
    <row r="1717" spans="1:1" x14ac:dyDescent="0.2">
      <c r="A1717"/>
    </row>
    <row r="1718" spans="1:1" x14ac:dyDescent="0.2">
      <c r="A1718"/>
    </row>
    <row r="1719" spans="1:1" x14ac:dyDescent="0.2">
      <c r="A1719"/>
    </row>
    <row r="1720" spans="1:1" x14ac:dyDescent="0.2">
      <c r="A1720"/>
    </row>
    <row r="1721" spans="1:1" x14ac:dyDescent="0.2">
      <c r="A1721"/>
    </row>
    <row r="1722" spans="1:1" x14ac:dyDescent="0.2">
      <c r="A1722"/>
    </row>
    <row r="1723" spans="1:1" x14ac:dyDescent="0.2">
      <c r="A1723"/>
    </row>
    <row r="1724" spans="1:1" x14ac:dyDescent="0.2">
      <c r="A1724"/>
    </row>
    <row r="1725" spans="1:1" x14ac:dyDescent="0.2">
      <c r="A1725"/>
    </row>
    <row r="1726" spans="1:1" x14ac:dyDescent="0.2">
      <c r="A1726"/>
    </row>
    <row r="1727" spans="1:1" x14ac:dyDescent="0.2">
      <c r="A1727"/>
    </row>
    <row r="1728" spans="1:1" x14ac:dyDescent="0.2">
      <c r="A1728"/>
    </row>
    <row r="1729" spans="1:1" x14ac:dyDescent="0.2">
      <c r="A1729"/>
    </row>
    <row r="1730" spans="1:1" x14ac:dyDescent="0.2">
      <c r="A1730"/>
    </row>
    <row r="1731" spans="1:1" x14ac:dyDescent="0.2">
      <c r="A1731"/>
    </row>
    <row r="1732" spans="1:1" x14ac:dyDescent="0.2">
      <c r="A1732"/>
    </row>
    <row r="1733" spans="1:1" x14ac:dyDescent="0.2">
      <c r="A1733"/>
    </row>
    <row r="1734" spans="1:1" x14ac:dyDescent="0.2">
      <c r="A1734"/>
    </row>
    <row r="1735" spans="1:1" x14ac:dyDescent="0.2">
      <c r="A1735"/>
    </row>
    <row r="1736" spans="1:1" x14ac:dyDescent="0.2">
      <c r="A1736"/>
    </row>
    <row r="1737" spans="1:1" x14ac:dyDescent="0.2">
      <c r="A1737"/>
    </row>
    <row r="1738" spans="1:1" x14ac:dyDescent="0.2">
      <c r="A1738"/>
    </row>
    <row r="1739" spans="1:1" x14ac:dyDescent="0.2">
      <c r="A1739"/>
    </row>
    <row r="1740" spans="1:1" x14ac:dyDescent="0.2">
      <c r="A1740"/>
    </row>
    <row r="1741" spans="1:1" x14ac:dyDescent="0.2">
      <c r="A1741"/>
    </row>
    <row r="1742" spans="1:1" x14ac:dyDescent="0.2">
      <c r="A1742"/>
    </row>
    <row r="1743" spans="1:1" x14ac:dyDescent="0.2">
      <c r="A1743"/>
    </row>
    <row r="1744" spans="1:1" x14ac:dyDescent="0.2">
      <c r="A1744"/>
    </row>
    <row r="1745" spans="1:1" x14ac:dyDescent="0.2">
      <c r="A1745"/>
    </row>
    <row r="1746" spans="1:1" x14ac:dyDescent="0.2">
      <c r="A1746"/>
    </row>
    <row r="1747" spans="1:1" x14ac:dyDescent="0.2">
      <c r="A1747"/>
    </row>
    <row r="1748" spans="1:1" x14ac:dyDescent="0.2">
      <c r="A1748"/>
    </row>
    <row r="1749" spans="1:1" x14ac:dyDescent="0.2">
      <c r="A1749"/>
    </row>
    <row r="1750" spans="1:1" x14ac:dyDescent="0.2">
      <c r="A1750"/>
    </row>
    <row r="1751" spans="1:1" x14ac:dyDescent="0.2">
      <c r="A1751"/>
    </row>
    <row r="1752" spans="1:1" x14ac:dyDescent="0.2">
      <c r="A1752"/>
    </row>
    <row r="1753" spans="1:1" x14ac:dyDescent="0.2">
      <c r="A1753"/>
    </row>
    <row r="1754" spans="1:1" x14ac:dyDescent="0.2">
      <c r="A1754"/>
    </row>
    <row r="1755" spans="1:1" x14ac:dyDescent="0.2">
      <c r="A1755"/>
    </row>
    <row r="1756" spans="1:1" x14ac:dyDescent="0.2">
      <c r="A1756"/>
    </row>
    <row r="1757" spans="1:1" x14ac:dyDescent="0.2">
      <c r="A1757"/>
    </row>
    <row r="1758" spans="1:1" x14ac:dyDescent="0.2">
      <c r="A1758"/>
    </row>
    <row r="1759" spans="1:1" x14ac:dyDescent="0.2">
      <c r="A1759"/>
    </row>
    <row r="1760" spans="1:1" x14ac:dyDescent="0.2">
      <c r="A1760"/>
    </row>
    <row r="1761" spans="1:1" x14ac:dyDescent="0.2">
      <c r="A1761"/>
    </row>
    <row r="1762" spans="1:1" x14ac:dyDescent="0.2">
      <c r="A1762"/>
    </row>
    <row r="1763" spans="1:1" x14ac:dyDescent="0.2">
      <c r="A1763"/>
    </row>
    <row r="1764" spans="1:1" x14ac:dyDescent="0.2">
      <c r="A1764"/>
    </row>
    <row r="1765" spans="1:1" x14ac:dyDescent="0.2">
      <c r="A1765"/>
    </row>
    <row r="1766" spans="1:1" x14ac:dyDescent="0.2">
      <c r="A1766"/>
    </row>
    <row r="1767" spans="1:1" x14ac:dyDescent="0.2">
      <c r="A1767"/>
    </row>
    <row r="1768" spans="1:1" x14ac:dyDescent="0.2">
      <c r="A1768"/>
    </row>
    <row r="1769" spans="1:1" x14ac:dyDescent="0.2">
      <c r="A1769"/>
    </row>
    <row r="1770" spans="1:1" x14ac:dyDescent="0.2">
      <c r="A1770"/>
    </row>
    <row r="1771" spans="1:1" x14ac:dyDescent="0.2">
      <c r="A1771"/>
    </row>
    <row r="1772" spans="1:1" x14ac:dyDescent="0.2">
      <c r="A1772"/>
    </row>
    <row r="1773" spans="1:1" x14ac:dyDescent="0.2">
      <c r="A1773"/>
    </row>
    <row r="1774" spans="1:1" x14ac:dyDescent="0.2">
      <c r="A1774"/>
    </row>
    <row r="1775" spans="1:1" x14ac:dyDescent="0.2">
      <c r="A1775"/>
    </row>
    <row r="1776" spans="1:1" x14ac:dyDescent="0.2">
      <c r="A1776"/>
    </row>
    <row r="1777" spans="1:1" x14ac:dyDescent="0.2">
      <c r="A1777"/>
    </row>
    <row r="1778" spans="1:1" x14ac:dyDescent="0.2">
      <c r="A1778"/>
    </row>
    <row r="1779" spans="1:1" x14ac:dyDescent="0.2">
      <c r="A1779"/>
    </row>
    <row r="1780" spans="1:1" x14ac:dyDescent="0.2">
      <c r="A1780"/>
    </row>
    <row r="1781" spans="1:1" x14ac:dyDescent="0.2">
      <c r="A1781"/>
    </row>
    <row r="1782" spans="1:1" x14ac:dyDescent="0.2">
      <c r="A1782"/>
    </row>
    <row r="1783" spans="1:1" x14ac:dyDescent="0.2">
      <c r="A1783"/>
    </row>
    <row r="1784" spans="1:1" x14ac:dyDescent="0.2">
      <c r="A1784"/>
    </row>
    <row r="1785" spans="1:1" x14ac:dyDescent="0.2">
      <c r="A1785"/>
    </row>
    <row r="1786" spans="1:1" x14ac:dyDescent="0.2">
      <c r="A1786"/>
    </row>
    <row r="1787" spans="1:1" x14ac:dyDescent="0.2">
      <c r="A1787"/>
    </row>
    <row r="1788" spans="1:1" x14ac:dyDescent="0.2">
      <c r="A1788"/>
    </row>
    <row r="1789" spans="1:1" x14ac:dyDescent="0.2">
      <c r="A1789"/>
    </row>
    <row r="1790" spans="1:1" x14ac:dyDescent="0.2">
      <c r="A1790"/>
    </row>
    <row r="1791" spans="1:1" x14ac:dyDescent="0.2">
      <c r="A1791"/>
    </row>
    <row r="1792" spans="1:1" x14ac:dyDescent="0.2">
      <c r="A1792"/>
    </row>
    <row r="1793" spans="1:1" x14ac:dyDescent="0.2">
      <c r="A1793"/>
    </row>
    <row r="1794" spans="1:1" x14ac:dyDescent="0.2">
      <c r="A1794"/>
    </row>
    <row r="1795" spans="1:1" x14ac:dyDescent="0.2">
      <c r="A1795"/>
    </row>
    <row r="1796" spans="1:1" x14ac:dyDescent="0.2">
      <c r="A1796"/>
    </row>
    <row r="1797" spans="1:1" x14ac:dyDescent="0.2">
      <c r="A1797"/>
    </row>
    <row r="1798" spans="1:1" x14ac:dyDescent="0.2">
      <c r="A1798"/>
    </row>
    <row r="1799" spans="1:1" x14ac:dyDescent="0.2">
      <c r="A1799"/>
    </row>
    <row r="1800" spans="1:1" x14ac:dyDescent="0.2">
      <c r="A1800"/>
    </row>
    <row r="1801" spans="1:1" x14ac:dyDescent="0.2">
      <c r="A1801"/>
    </row>
    <row r="1802" spans="1:1" x14ac:dyDescent="0.2">
      <c r="A1802"/>
    </row>
    <row r="1803" spans="1:1" x14ac:dyDescent="0.2">
      <c r="A1803"/>
    </row>
    <row r="1804" spans="1:1" x14ac:dyDescent="0.2">
      <c r="A1804"/>
    </row>
    <row r="1805" spans="1:1" x14ac:dyDescent="0.2">
      <c r="A1805"/>
    </row>
    <row r="1806" spans="1:1" x14ac:dyDescent="0.2">
      <c r="A1806"/>
    </row>
    <row r="1807" spans="1:1" x14ac:dyDescent="0.2">
      <c r="A1807"/>
    </row>
    <row r="1808" spans="1:1" x14ac:dyDescent="0.2">
      <c r="A1808"/>
    </row>
    <row r="1809" spans="1:1" x14ac:dyDescent="0.2">
      <c r="A1809"/>
    </row>
    <row r="1810" spans="1:1" x14ac:dyDescent="0.2">
      <c r="A1810"/>
    </row>
    <row r="1811" spans="1:1" x14ac:dyDescent="0.2">
      <c r="A1811"/>
    </row>
    <row r="1812" spans="1:1" x14ac:dyDescent="0.2">
      <c r="A1812"/>
    </row>
    <row r="1813" spans="1:1" x14ac:dyDescent="0.2">
      <c r="A1813"/>
    </row>
    <row r="1814" spans="1:1" x14ac:dyDescent="0.2">
      <c r="A1814"/>
    </row>
    <row r="1815" spans="1:1" x14ac:dyDescent="0.2">
      <c r="A1815"/>
    </row>
    <row r="1816" spans="1:1" x14ac:dyDescent="0.2">
      <c r="A1816"/>
    </row>
    <row r="1817" spans="1:1" x14ac:dyDescent="0.2">
      <c r="A1817"/>
    </row>
    <row r="1818" spans="1:1" x14ac:dyDescent="0.2">
      <c r="A1818"/>
    </row>
    <row r="1819" spans="1:1" x14ac:dyDescent="0.2">
      <c r="A1819"/>
    </row>
    <row r="1820" spans="1:1" x14ac:dyDescent="0.2">
      <c r="A1820"/>
    </row>
    <row r="1821" spans="1:1" x14ac:dyDescent="0.2">
      <c r="A1821"/>
    </row>
    <row r="1822" spans="1:1" x14ac:dyDescent="0.2">
      <c r="A1822"/>
    </row>
    <row r="1823" spans="1:1" x14ac:dyDescent="0.2">
      <c r="A1823"/>
    </row>
    <row r="1824" spans="1:1" x14ac:dyDescent="0.2">
      <c r="A1824"/>
    </row>
    <row r="1825" spans="1:1" x14ac:dyDescent="0.2">
      <c r="A1825"/>
    </row>
    <row r="1826" spans="1:1" x14ac:dyDescent="0.2">
      <c r="A1826"/>
    </row>
    <row r="1827" spans="1:1" x14ac:dyDescent="0.2">
      <c r="A1827"/>
    </row>
    <row r="1828" spans="1:1" x14ac:dyDescent="0.2">
      <c r="A1828"/>
    </row>
    <row r="1829" spans="1:1" x14ac:dyDescent="0.2">
      <c r="A1829"/>
    </row>
    <row r="1830" spans="1:1" x14ac:dyDescent="0.2">
      <c r="A1830"/>
    </row>
    <row r="1831" spans="1:1" x14ac:dyDescent="0.2">
      <c r="A1831"/>
    </row>
    <row r="1832" spans="1:1" x14ac:dyDescent="0.2">
      <c r="A1832"/>
    </row>
    <row r="1833" spans="1:1" x14ac:dyDescent="0.2">
      <c r="A1833"/>
    </row>
    <row r="1834" spans="1:1" x14ac:dyDescent="0.2">
      <c r="A1834"/>
    </row>
    <row r="1835" spans="1:1" x14ac:dyDescent="0.2">
      <c r="A1835"/>
    </row>
    <row r="1836" spans="1:1" x14ac:dyDescent="0.2">
      <c r="A1836"/>
    </row>
    <row r="1837" spans="1:1" x14ac:dyDescent="0.2">
      <c r="A1837"/>
    </row>
    <row r="1838" spans="1:1" x14ac:dyDescent="0.2">
      <c r="A1838"/>
    </row>
    <row r="1839" spans="1:1" x14ac:dyDescent="0.2">
      <c r="A1839"/>
    </row>
    <row r="1840" spans="1:1" x14ac:dyDescent="0.2">
      <c r="A1840"/>
    </row>
    <row r="1841" spans="1:1" x14ac:dyDescent="0.2">
      <c r="A1841"/>
    </row>
    <row r="1842" spans="1:1" x14ac:dyDescent="0.2">
      <c r="A1842"/>
    </row>
    <row r="1843" spans="1:1" x14ac:dyDescent="0.2">
      <c r="A1843"/>
    </row>
    <row r="1844" spans="1:1" x14ac:dyDescent="0.2">
      <c r="A1844"/>
    </row>
    <row r="1845" spans="1:1" x14ac:dyDescent="0.2">
      <c r="A1845"/>
    </row>
    <row r="1846" spans="1:1" x14ac:dyDescent="0.2">
      <c r="A1846"/>
    </row>
    <row r="1847" spans="1:1" x14ac:dyDescent="0.2">
      <c r="A1847"/>
    </row>
    <row r="1848" spans="1:1" x14ac:dyDescent="0.2">
      <c r="A1848"/>
    </row>
    <row r="1849" spans="1:1" x14ac:dyDescent="0.2">
      <c r="A1849"/>
    </row>
    <row r="1850" spans="1:1" x14ac:dyDescent="0.2">
      <c r="A1850"/>
    </row>
    <row r="1851" spans="1:1" x14ac:dyDescent="0.2">
      <c r="A1851"/>
    </row>
    <row r="1852" spans="1:1" x14ac:dyDescent="0.2">
      <c r="A1852"/>
    </row>
    <row r="1853" spans="1:1" x14ac:dyDescent="0.2">
      <c r="A1853"/>
    </row>
    <row r="1854" spans="1:1" x14ac:dyDescent="0.2">
      <c r="A1854"/>
    </row>
    <row r="1855" spans="1:1" x14ac:dyDescent="0.2">
      <c r="A1855"/>
    </row>
    <row r="1856" spans="1:1" x14ac:dyDescent="0.2">
      <c r="A1856"/>
    </row>
    <row r="1857" spans="1:1" x14ac:dyDescent="0.2">
      <c r="A1857"/>
    </row>
    <row r="1858" spans="1:1" x14ac:dyDescent="0.2">
      <c r="A1858"/>
    </row>
    <row r="1859" spans="1:1" x14ac:dyDescent="0.2">
      <c r="A1859"/>
    </row>
    <row r="1860" spans="1:1" x14ac:dyDescent="0.2">
      <c r="A1860"/>
    </row>
    <row r="1861" spans="1:1" x14ac:dyDescent="0.2">
      <c r="A1861"/>
    </row>
    <row r="1862" spans="1:1" x14ac:dyDescent="0.2">
      <c r="A1862"/>
    </row>
    <row r="1863" spans="1:1" x14ac:dyDescent="0.2">
      <c r="A1863"/>
    </row>
    <row r="1864" spans="1:1" x14ac:dyDescent="0.2">
      <c r="A1864"/>
    </row>
    <row r="1865" spans="1:1" x14ac:dyDescent="0.2">
      <c r="A1865"/>
    </row>
    <row r="1866" spans="1:1" x14ac:dyDescent="0.2">
      <c r="A1866"/>
    </row>
    <row r="1867" spans="1:1" x14ac:dyDescent="0.2">
      <c r="A1867"/>
    </row>
    <row r="1868" spans="1:1" x14ac:dyDescent="0.2">
      <c r="A1868"/>
    </row>
    <row r="1869" spans="1:1" x14ac:dyDescent="0.2">
      <c r="A1869"/>
    </row>
    <row r="1870" spans="1:1" x14ac:dyDescent="0.2">
      <c r="A1870"/>
    </row>
    <row r="1871" spans="1:1" x14ac:dyDescent="0.2">
      <c r="A1871"/>
    </row>
    <row r="1872" spans="1:1" x14ac:dyDescent="0.2">
      <c r="A1872"/>
    </row>
    <row r="1873" spans="1:1" x14ac:dyDescent="0.2">
      <c r="A1873"/>
    </row>
    <row r="1874" spans="1:1" x14ac:dyDescent="0.2">
      <c r="A1874"/>
    </row>
    <row r="1875" spans="1:1" x14ac:dyDescent="0.2">
      <c r="A1875"/>
    </row>
    <row r="1876" spans="1:1" x14ac:dyDescent="0.2">
      <c r="A1876"/>
    </row>
    <row r="1877" spans="1:1" x14ac:dyDescent="0.2">
      <c r="A1877"/>
    </row>
    <row r="1878" spans="1:1" x14ac:dyDescent="0.2">
      <c r="A1878"/>
    </row>
    <row r="1879" spans="1:1" x14ac:dyDescent="0.2">
      <c r="A1879"/>
    </row>
    <row r="1880" spans="1:1" x14ac:dyDescent="0.2">
      <c r="A1880"/>
    </row>
    <row r="1881" spans="1:1" x14ac:dyDescent="0.2">
      <c r="A1881"/>
    </row>
    <row r="1882" spans="1:1" x14ac:dyDescent="0.2">
      <c r="A1882"/>
    </row>
    <row r="1883" spans="1:1" x14ac:dyDescent="0.2">
      <c r="A1883"/>
    </row>
    <row r="1884" spans="1:1" x14ac:dyDescent="0.2">
      <c r="A1884"/>
    </row>
    <row r="1885" spans="1:1" x14ac:dyDescent="0.2">
      <c r="A1885"/>
    </row>
    <row r="1886" spans="1:1" x14ac:dyDescent="0.2">
      <c r="A1886"/>
    </row>
    <row r="1887" spans="1:1" x14ac:dyDescent="0.2">
      <c r="A1887"/>
    </row>
    <row r="1888" spans="1:1" x14ac:dyDescent="0.2">
      <c r="A1888"/>
    </row>
    <row r="1889" spans="1:1" x14ac:dyDescent="0.2">
      <c r="A1889"/>
    </row>
    <row r="1890" spans="1:1" x14ac:dyDescent="0.2">
      <c r="A1890"/>
    </row>
    <row r="1891" spans="1:1" x14ac:dyDescent="0.2">
      <c r="A1891"/>
    </row>
    <row r="1892" spans="1:1" x14ac:dyDescent="0.2">
      <c r="A1892"/>
    </row>
    <row r="1893" spans="1:1" x14ac:dyDescent="0.2">
      <c r="A1893"/>
    </row>
    <row r="1894" spans="1:1" x14ac:dyDescent="0.2">
      <c r="A1894"/>
    </row>
    <row r="1895" spans="1:1" x14ac:dyDescent="0.2">
      <c r="A1895"/>
    </row>
    <row r="1896" spans="1:1" x14ac:dyDescent="0.2">
      <c r="A1896"/>
    </row>
    <row r="1897" spans="1:1" x14ac:dyDescent="0.2">
      <c r="A1897"/>
    </row>
    <row r="1898" spans="1:1" x14ac:dyDescent="0.2">
      <c r="A1898"/>
    </row>
    <row r="1899" spans="1:1" x14ac:dyDescent="0.2">
      <c r="A1899"/>
    </row>
    <row r="1900" spans="1:1" x14ac:dyDescent="0.2">
      <c r="A1900"/>
    </row>
    <row r="1901" spans="1:1" x14ac:dyDescent="0.2">
      <c r="A1901"/>
    </row>
    <row r="1902" spans="1:1" x14ac:dyDescent="0.2">
      <c r="A1902"/>
    </row>
    <row r="1903" spans="1:1" x14ac:dyDescent="0.2">
      <c r="A1903"/>
    </row>
    <row r="1904" spans="1:1" x14ac:dyDescent="0.2">
      <c r="A1904"/>
    </row>
    <row r="1905" spans="1:1" x14ac:dyDescent="0.2">
      <c r="A1905"/>
    </row>
    <row r="1906" spans="1:1" x14ac:dyDescent="0.2">
      <c r="A1906"/>
    </row>
    <row r="1907" spans="1:1" x14ac:dyDescent="0.2">
      <c r="A1907"/>
    </row>
    <row r="1908" spans="1:1" x14ac:dyDescent="0.2">
      <c r="A1908"/>
    </row>
    <row r="1909" spans="1:1" x14ac:dyDescent="0.2">
      <c r="A1909"/>
    </row>
    <row r="1910" spans="1:1" x14ac:dyDescent="0.2">
      <c r="A1910"/>
    </row>
    <row r="1911" spans="1:1" x14ac:dyDescent="0.2">
      <c r="A1911"/>
    </row>
    <row r="1912" spans="1:1" x14ac:dyDescent="0.2">
      <c r="A1912"/>
    </row>
    <row r="1913" spans="1:1" x14ac:dyDescent="0.2">
      <c r="A1913"/>
    </row>
    <row r="1914" spans="1:1" x14ac:dyDescent="0.2">
      <c r="A1914"/>
    </row>
    <row r="1915" spans="1:1" x14ac:dyDescent="0.2">
      <c r="A1915"/>
    </row>
    <row r="1916" spans="1:1" x14ac:dyDescent="0.2">
      <c r="A1916"/>
    </row>
    <row r="1917" spans="1:1" x14ac:dyDescent="0.2">
      <c r="A1917"/>
    </row>
    <row r="1918" spans="1:1" x14ac:dyDescent="0.2">
      <c r="A1918"/>
    </row>
    <row r="1919" spans="1:1" x14ac:dyDescent="0.2">
      <c r="A1919"/>
    </row>
    <row r="1920" spans="1:1" x14ac:dyDescent="0.2">
      <c r="A1920"/>
    </row>
    <row r="1921" spans="1:1" x14ac:dyDescent="0.2">
      <c r="A1921"/>
    </row>
    <row r="1922" spans="1:1" x14ac:dyDescent="0.2">
      <c r="A1922"/>
    </row>
    <row r="1923" spans="1:1" x14ac:dyDescent="0.2">
      <c r="A1923"/>
    </row>
    <row r="1924" spans="1:1" x14ac:dyDescent="0.2">
      <c r="A1924"/>
    </row>
    <row r="1925" spans="1:1" x14ac:dyDescent="0.2">
      <c r="A1925"/>
    </row>
    <row r="1926" spans="1:1" x14ac:dyDescent="0.2">
      <c r="A1926"/>
    </row>
    <row r="1927" spans="1:1" x14ac:dyDescent="0.2">
      <c r="A1927"/>
    </row>
    <row r="1928" spans="1:1" x14ac:dyDescent="0.2">
      <c r="A1928"/>
    </row>
    <row r="1929" spans="1:1" x14ac:dyDescent="0.2">
      <c r="A1929"/>
    </row>
    <row r="1930" spans="1:1" x14ac:dyDescent="0.2">
      <c r="A1930"/>
    </row>
    <row r="1931" spans="1:1" x14ac:dyDescent="0.2">
      <c r="A1931"/>
    </row>
    <row r="1932" spans="1:1" x14ac:dyDescent="0.2">
      <c r="A1932"/>
    </row>
    <row r="1933" spans="1:1" x14ac:dyDescent="0.2">
      <c r="A1933"/>
    </row>
    <row r="1934" spans="1:1" x14ac:dyDescent="0.2">
      <c r="A1934"/>
    </row>
    <row r="1935" spans="1:1" x14ac:dyDescent="0.2">
      <c r="A1935"/>
    </row>
    <row r="1936" spans="1:1" x14ac:dyDescent="0.2">
      <c r="A1936"/>
    </row>
    <row r="1937" spans="1:1" x14ac:dyDescent="0.2">
      <c r="A1937"/>
    </row>
    <row r="1938" spans="1:1" x14ac:dyDescent="0.2">
      <c r="A1938"/>
    </row>
    <row r="1939" spans="1:1" x14ac:dyDescent="0.2">
      <c r="A1939"/>
    </row>
    <row r="1940" spans="1:1" x14ac:dyDescent="0.2">
      <c r="A1940"/>
    </row>
    <row r="1941" spans="1:1" x14ac:dyDescent="0.2">
      <c r="A1941"/>
    </row>
    <row r="1942" spans="1:1" x14ac:dyDescent="0.2">
      <c r="A1942"/>
    </row>
    <row r="1943" spans="1:1" x14ac:dyDescent="0.2">
      <c r="A1943"/>
    </row>
    <row r="1944" spans="1:1" x14ac:dyDescent="0.2">
      <c r="A1944"/>
    </row>
    <row r="1945" spans="1:1" x14ac:dyDescent="0.2">
      <c r="A1945"/>
    </row>
    <row r="1946" spans="1:1" x14ac:dyDescent="0.2">
      <c r="A1946"/>
    </row>
    <row r="1947" spans="1:1" x14ac:dyDescent="0.2">
      <c r="A1947"/>
    </row>
    <row r="1948" spans="1:1" x14ac:dyDescent="0.2">
      <c r="A1948"/>
    </row>
    <row r="1949" spans="1:1" x14ac:dyDescent="0.2">
      <c r="A1949"/>
    </row>
    <row r="1950" spans="1:1" x14ac:dyDescent="0.2">
      <c r="A1950"/>
    </row>
    <row r="1951" spans="1:1" x14ac:dyDescent="0.2">
      <c r="A1951"/>
    </row>
    <row r="1952" spans="1:1" x14ac:dyDescent="0.2">
      <c r="A1952"/>
    </row>
    <row r="1953" spans="1:1" x14ac:dyDescent="0.2">
      <c r="A1953"/>
    </row>
    <row r="1954" spans="1:1" x14ac:dyDescent="0.2">
      <c r="A1954"/>
    </row>
    <row r="1955" spans="1:1" x14ac:dyDescent="0.2">
      <c r="A1955"/>
    </row>
    <row r="1956" spans="1:1" x14ac:dyDescent="0.2">
      <c r="A1956"/>
    </row>
    <row r="1957" spans="1:1" x14ac:dyDescent="0.2">
      <c r="A1957"/>
    </row>
    <row r="1958" spans="1:1" x14ac:dyDescent="0.2">
      <c r="A1958"/>
    </row>
    <row r="1959" spans="1:1" x14ac:dyDescent="0.2">
      <c r="A1959"/>
    </row>
    <row r="1960" spans="1:1" x14ac:dyDescent="0.2">
      <c r="A1960"/>
    </row>
    <row r="1961" spans="1:1" x14ac:dyDescent="0.2">
      <c r="A1961"/>
    </row>
    <row r="1962" spans="1:1" x14ac:dyDescent="0.2">
      <c r="A1962"/>
    </row>
    <row r="1963" spans="1:1" x14ac:dyDescent="0.2">
      <c r="A1963"/>
    </row>
    <row r="1964" spans="1:1" x14ac:dyDescent="0.2">
      <c r="A1964"/>
    </row>
    <row r="1965" spans="1:1" x14ac:dyDescent="0.2">
      <c r="A1965"/>
    </row>
    <row r="1966" spans="1:1" x14ac:dyDescent="0.2">
      <c r="A1966"/>
    </row>
    <row r="1967" spans="1:1" x14ac:dyDescent="0.2">
      <c r="A1967"/>
    </row>
    <row r="1968" spans="1:1" x14ac:dyDescent="0.2">
      <c r="A1968"/>
    </row>
    <row r="1969" spans="1:1" x14ac:dyDescent="0.2">
      <c r="A1969"/>
    </row>
    <row r="1970" spans="1:1" x14ac:dyDescent="0.2">
      <c r="A1970"/>
    </row>
    <row r="1971" spans="1:1" x14ac:dyDescent="0.2">
      <c r="A1971"/>
    </row>
    <row r="1972" spans="1:1" x14ac:dyDescent="0.2">
      <c r="A1972"/>
    </row>
    <row r="1973" spans="1:1" x14ac:dyDescent="0.2">
      <c r="A1973"/>
    </row>
    <row r="1974" spans="1:1" x14ac:dyDescent="0.2">
      <c r="A1974"/>
    </row>
    <row r="1975" spans="1:1" x14ac:dyDescent="0.2">
      <c r="A1975"/>
    </row>
    <row r="1976" spans="1:1" x14ac:dyDescent="0.2">
      <c r="A1976"/>
    </row>
    <row r="1977" spans="1:1" x14ac:dyDescent="0.2">
      <c r="A1977"/>
    </row>
    <row r="1978" spans="1:1" x14ac:dyDescent="0.2">
      <c r="A1978"/>
    </row>
    <row r="1979" spans="1:1" x14ac:dyDescent="0.2">
      <c r="A1979"/>
    </row>
    <row r="1980" spans="1:1" x14ac:dyDescent="0.2">
      <c r="A1980"/>
    </row>
    <row r="1981" spans="1:1" x14ac:dyDescent="0.2">
      <c r="A1981"/>
    </row>
    <row r="1982" spans="1:1" x14ac:dyDescent="0.2">
      <c r="A1982"/>
    </row>
    <row r="1983" spans="1:1" x14ac:dyDescent="0.2">
      <c r="A1983"/>
    </row>
    <row r="1984" spans="1:1" x14ac:dyDescent="0.2">
      <c r="A1984"/>
    </row>
    <row r="1985" spans="1:1" x14ac:dyDescent="0.2">
      <c r="A1985"/>
    </row>
    <row r="1986" spans="1:1" x14ac:dyDescent="0.2">
      <c r="A1986"/>
    </row>
    <row r="1987" spans="1:1" x14ac:dyDescent="0.2">
      <c r="A1987"/>
    </row>
    <row r="1988" spans="1:1" x14ac:dyDescent="0.2">
      <c r="A1988"/>
    </row>
    <row r="1989" spans="1:1" x14ac:dyDescent="0.2">
      <c r="A1989"/>
    </row>
    <row r="1990" spans="1:1" x14ac:dyDescent="0.2">
      <c r="A1990"/>
    </row>
    <row r="1991" spans="1:1" x14ac:dyDescent="0.2">
      <c r="A1991"/>
    </row>
    <row r="1992" spans="1:1" x14ac:dyDescent="0.2">
      <c r="A1992"/>
    </row>
    <row r="1993" spans="1:1" x14ac:dyDescent="0.2">
      <c r="A1993"/>
    </row>
    <row r="1994" spans="1:1" x14ac:dyDescent="0.2">
      <c r="A1994"/>
    </row>
    <row r="1995" spans="1:1" x14ac:dyDescent="0.2">
      <c r="A1995"/>
    </row>
    <row r="1996" spans="1:1" x14ac:dyDescent="0.2">
      <c r="A1996"/>
    </row>
    <row r="1997" spans="1:1" x14ac:dyDescent="0.2">
      <c r="A1997"/>
    </row>
    <row r="1998" spans="1:1" x14ac:dyDescent="0.2">
      <c r="A1998"/>
    </row>
    <row r="1999" spans="1:1" x14ac:dyDescent="0.2">
      <c r="A1999"/>
    </row>
    <row r="2000" spans="1:1" x14ac:dyDescent="0.2">
      <c r="A2000"/>
    </row>
    <row r="2001" spans="1:1" x14ac:dyDescent="0.2">
      <c r="A2001"/>
    </row>
    <row r="2002" spans="1:1" x14ac:dyDescent="0.2">
      <c r="A2002"/>
    </row>
    <row r="2003" spans="1:1" x14ac:dyDescent="0.2">
      <c r="A2003"/>
    </row>
    <row r="2004" spans="1:1" x14ac:dyDescent="0.2">
      <c r="A2004"/>
    </row>
    <row r="2005" spans="1:1" x14ac:dyDescent="0.2">
      <c r="A2005"/>
    </row>
    <row r="2006" spans="1:1" x14ac:dyDescent="0.2">
      <c r="A2006"/>
    </row>
    <row r="2007" spans="1:1" x14ac:dyDescent="0.2">
      <c r="A2007"/>
    </row>
    <row r="2008" spans="1:1" x14ac:dyDescent="0.2">
      <c r="A2008"/>
    </row>
    <row r="2009" spans="1:1" x14ac:dyDescent="0.2">
      <c r="A2009"/>
    </row>
    <row r="2010" spans="1:1" x14ac:dyDescent="0.2">
      <c r="A2010"/>
    </row>
    <row r="2011" spans="1:1" x14ac:dyDescent="0.2">
      <c r="A2011"/>
    </row>
    <row r="2012" spans="1:1" x14ac:dyDescent="0.2">
      <c r="A2012"/>
    </row>
    <row r="2013" spans="1:1" x14ac:dyDescent="0.2">
      <c r="A2013"/>
    </row>
    <row r="2014" spans="1:1" x14ac:dyDescent="0.2">
      <c r="A2014"/>
    </row>
    <row r="2015" spans="1:1" x14ac:dyDescent="0.2">
      <c r="A2015"/>
    </row>
    <row r="2016" spans="1:1" x14ac:dyDescent="0.2">
      <c r="A2016"/>
    </row>
    <row r="2017" spans="1:1" x14ac:dyDescent="0.2">
      <c r="A2017"/>
    </row>
    <row r="2018" spans="1:1" x14ac:dyDescent="0.2">
      <c r="A2018"/>
    </row>
    <row r="2019" spans="1:1" x14ac:dyDescent="0.2">
      <c r="A2019"/>
    </row>
    <row r="2020" spans="1:1" x14ac:dyDescent="0.2">
      <c r="A2020"/>
    </row>
    <row r="2021" spans="1:1" x14ac:dyDescent="0.2">
      <c r="A2021"/>
    </row>
    <row r="2022" spans="1:1" x14ac:dyDescent="0.2">
      <c r="A2022"/>
    </row>
    <row r="2023" spans="1:1" x14ac:dyDescent="0.2">
      <c r="A2023"/>
    </row>
    <row r="2024" spans="1:1" x14ac:dyDescent="0.2">
      <c r="A2024"/>
    </row>
    <row r="2025" spans="1:1" x14ac:dyDescent="0.2">
      <c r="A2025"/>
    </row>
    <row r="2026" spans="1:1" x14ac:dyDescent="0.2">
      <c r="A2026"/>
    </row>
    <row r="2027" spans="1:1" x14ac:dyDescent="0.2">
      <c r="A2027"/>
    </row>
    <row r="2028" spans="1:1" x14ac:dyDescent="0.2">
      <c r="A2028"/>
    </row>
    <row r="2029" spans="1:1" x14ac:dyDescent="0.2">
      <c r="A2029"/>
    </row>
    <row r="2030" spans="1:1" x14ac:dyDescent="0.2">
      <c r="A2030"/>
    </row>
    <row r="2031" spans="1:1" x14ac:dyDescent="0.2">
      <c r="A2031"/>
    </row>
    <row r="2032" spans="1:1" x14ac:dyDescent="0.2">
      <c r="A2032"/>
    </row>
    <row r="2033" spans="1:1" x14ac:dyDescent="0.2">
      <c r="A2033"/>
    </row>
    <row r="2034" spans="1:1" x14ac:dyDescent="0.2">
      <c r="A2034"/>
    </row>
    <row r="2035" spans="1:1" x14ac:dyDescent="0.2">
      <c r="A2035"/>
    </row>
    <row r="2036" spans="1:1" x14ac:dyDescent="0.2">
      <c r="A2036"/>
    </row>
    <row r="2037" spans="1:1" x14ac:dyDescent="0.2">
      <c r="A2037"/>
    </row>
    <row r="2038" spans="1:1" x14ac:dyDescent="0.2">
      <c r="A2038"/>
    </row>
    <row r="2039" spans="1:1" x14ac:dyDescent="0.2">
      <c r="A2039"/>
    </row>
    <row r="2040" spans="1:1" x14ac:dyDescent="0.2">
      <c r="A2040"/>
    </row>
    <row r="2041" spans="1:1" x14ac:dyDescent="0.2">
      <c r="A2041"/>
    </row>
    <row r="2042" spans="1:1" x14ac:dyDescent="0.2">
      <c r="A2042"/>
    </row>
    <row r="2043" spans="1:1" x14ac:dyDescent="0.2">
      <c r="A2043"/>
    </row>
    <row r="2044" spans="1:1" x14ac:dyDescent="0.2">
      <c r="A2044"/>
    </row>
    <row r="2045" spans="1:1" x14ac:dyDescent="0.2">
      <c r="A2045"/>
    </row>
    <row r="2046" spans="1:1" x14ac:dyDescent="0.2">
      <c r="A2046"/>
    </row>
    <row r="2047" spans="1:1" x14ac:dyDescent="0.2">
      <c r="A2047"/>
    </row>
    <row r="2048" spans="1:1" x14ac:dyDescent="0.2">
      <c r="A2048"/>
    </row>
    <row r="2049" spans="1:1" x14ac:dyDescent="0.2">
      <c r="A2049"/>
    </row>
    <row r="2050" spans="1:1" x14ac:dyDescent="0.2">
      <c r="A2050"/>
    </row>
    <row r="2051" spans="1:1" x14ac:dyDescent="0.2">
      <c r="A2051"/>
    </row>
    <row r="2052" spans="1:1" x14ac:dyDescent="0.2">
      <c r="A2052"/>
    </row>
    <row r="2053" spans="1:1" x14ac:dyDescent="0.2">
      <c r="A2053"/>
    </row>
    <row r="2054" spans="1:1" x14ac:dyDescent="0.2">
      <c r="A2054"/>
    </row>
    <row r="2055" spans="1:1" x14ac:dyDescent="0.2">
      <c r="A2055"/>
    </row>
    <row r="2056" spans="1:1" x14ac:dyDescent="0.2">
      <c r="A2056"/>
    </row>
    <row r="2057" spans="1:1" x14ac:dyDescent="0.2">
      <c r="A2057"/>
    </row>
    <row r="2058" spans="1:1" x14ac:dyDescent="0.2">
      <c r="A2058"/>
    </row>
    <row r="2059" spans="1:1" x14ac:dyDescent="0.2">
      <c r="A2059"/>
    </row>
    <row r="2060" spans="1:1" x14ac:dyDescent="0.2">
      <c r="A2060"/>
    </row>
    <row r="2061" spans="1:1" x14ac:dyDescent="0.2">
      <c r="A2061"/>
    </row>
    <row r="2062" spans="1:1" x14ac:dyDescent="0.2">
      <c r="A2062"/>
    </row>
    <row r="2063" spans="1:1" x14ac:dyDescent="0.2">
      <c r="A2063"/>
    </row>
    <row r="2064" spans="1:1" x14ac:dyDescent="0.2">
      <c r="A2064"/>
    </row>
    <row r="2065" spans="1:1" x14ac:dyDescent="0.2">
      <c r="A2065"/>
    </row>
    <row r="2066" spans="1:1" x14ac:dyDescent="0.2">
      <c r="A2066"/>
    </row>
    <row r="2067" spans="1:1" x14ac:dyDescent="0.2">
      <c r="A2067"/>
    </row>
    <row r="2068" spans="1:1" x14ac:dyDescent="0.2">
      <c r="A2068"/>
    </row>
    <row r="2069" spans="1:1" x14ac:dyDescent="0.2">
      <c r="A2069"/>
    </row>
    <row r="2070" spans="1:1" x14ac:dyDescent="0.2">
      <c r="A2070"/>
    </row>
    <row r="2071" spans="1:1" x14ac:dyDescent="0.2">
      <c r="A2071"/>
    </row>
    <row r="2072" spans="1:1" x14ac:dyDescent="0.2">
      <c r="A2072"/>
    </row>
    <row r="2073" spans="1:1" x14ac:dyDescent="0.2">
      <c r="A2073"/>
    </row>
    <row r="2074" spans="1:1" x14ac:dyDescent="0.2">
      <c r="A2074"/>
    </row>
    <row r="2075" spans="1:1" x14ac:dyDescent="0.2">
      <c r="A2075"/>
    </row>
    <row r="2076" spans="1:1" x14ac:dyDescent="0.2">
      <c r="A2076"/>
    </row>
    <row r="2077" spans="1:1" x14ac:dyDescent="0.2">
      <c r="A2077"/>
    </row>
    <row r="2078" spans="1:1" x14ac:dyDescent="0.2">
      <c r="A2078"/>
    </row>
    <row r="2079" spans="1:1" x14ac:dyDescent="0.2">
      <c r="A2079"/>
    </row>
    <row r="2080" spans="1:1" x14ac:dyDescent="0.2">
      <c r="A2080"/>
    </row>
    <row r="2081" spans="1:1" x14ac:dyDescent="0.2">
      <c r="A2081"/>
    </row>
    <row r="2082" spans="1:1" x14ac:dyDescent="0.2">
      <c r="A2082"/>
    </row>
    <row r="2083" spans="1:1" x14ac:dyDescent="0.2">
      <c r="A2083"/>
    </row>
    <row r="2084" spans="1:1" x14ac:dyDescent="0.2">
      <c r="A2084"/>
    </row>
    <row r="2085" spans="1:1" x14ac:dyDescent="0.2">
      <c r="A2085"/>
    </row>
    <row r="2086" spans="1:1" x14ac:dyDescent="0.2">
      <c r="A2086"/>
    </row>
    <row r="2087" spans="1:1" x14ac:dyDescent="0.2">
      <c r="A2087"/>
    </row>
    <row r="2088" spans="1:1" x14ac:dyDescent="0.2">
      <c r="A2088"/>
    </row>
    <row r="2089" spans="1:1" x14ac:dyDescent="0.2">
      <c r="A2089"/>
    </row>
    <row r="2090" spans="1:1" x14ac:dyDescent="0.2">
      <c r="A2090"/>
    </row>
    <row r="2091" spans="1:1" x14ac:dyDescent="0.2">
      <c r="A2091"/>
    </row>
    <row r="2092" spans="1:1" x14ac:dyDescent="0.2">
      <c r="A2092"/>
    </row>
    <row r="2093" spans="1:1" x14ac:dyDescent="0.2">
      <c r="A2093"/>
    </row>
    <row r="2094" spans="1:1" x14ac:dyDescent="0.2">
      <c r="A2094"/>
    </row>
    <row r="2095" spans="1:1" x14ac:dyDescent="0.2">
      <c r="A2095"/>
    </row>
    <row r="2096" spans="1:1" x14ac:dyDescent="0.2">
      <c r="A2096"/>
    </row>
    <row r="2097" spans="1:1" x14ac:dyDescent="0.2">
      <c r="A2097"/>
    </row>
    <row r="2098" spans="1:1" x14ac:dyDescent="0.2">
      <c r="A2098"/>
    </row>
    <row r="2099" spans="1:1" x14ac:dyDescent="0.2">
      <c r="A2099"/>
    </row>
    <row r="2100" spans="1:1" x14ac:dyDescent="0.2">
      <c r="A2100"/>
    </row>
    <row r="2101" spans="1:1" x14ac:dyDescent="0.2">
      <c r="A2101"/>
    </row>
    <row r="2102" spans="1:1" x14ac:dyDescent="0.2">
      <c r="A2102"/>
    </row>
    <row r="2103" spans="1:1" x14ac:dyDescent="0.2">
      <c r="A2103"/>
    </row>
    <row r="2104" spans="1:1" x14ac:dyDescent="0.2">
      <c r="A2104"/>
    </row>
    <row r="2105" spans="1:1" x14ac:dyDescent="0.2">
      <c r="A2105"/>
    </row>
    <row r="2106" spans="1:1" x14ac:dyDescent="0.2">
      <c r="A2106"/>
    </row>
    <row r="2107" spans="1:1" x14ac:dyDescent="0.2">
      <c r="A2107"/>
    </row>
    <row r="2108" spans="1:1" x14ac:dyDescent="0.2">
      <c r="A2108"/>
    </row>
    <row r="2109" spans="1:1" x14ac:dyDescent="0.2">
      <c r="A2109"/>
    </row>
    <row r="2110" spans="1:1" x14ac:dyDescent="0.2">
      <c r="A2110"/>
    </row>
    <row r="2111" spans="1:1" x14ac:dyDescent="0.2">
      <c r="A2111"/>
    </row>
    <row r="2112" spans="1:1" x14ac:dyDescent="0.2">
      <c r="A2112"/>
    </row>
    <row r="2113" spans="1:1" x14ac:dyDescent="0.2">
      <c r="A2113"/>
    </row>
    <row r="2114" spans="1:1" x14ac:dyDescent="0.2">
      <c r="A2114"/>
    </row>
    <row r="2115" spans="1:1" x14ac:dyDescent="0.2">
      <c r="A2115"/>
    </row>
    <row r="2116" spans="1:1" x14ac:dyDescent="0.2">
      <c r="A2116"/>
    </row>
    <row r="2117" spans="1:1" x14ac:dyDescent="0.2">
      <c r="A2117"/>
    </row>
    <row r="2118" spans="1:1" x14ac:dyDescent="0.2">
      <c r="A2118"/>
    </row>
    <row r="2119" spans="1:1" x14ac:dyDescent="0.2">
      <c r="A2119"/>
    </row>
    <row r="2120" spans="1:1" x14ac:dyDescent="0.2">
      <c r="A2120"/>
    </row>
    <row r="2121" spans="1:1" x14ac:dyDescent="0.2">
      <c r="A2121"/>
    </row>
    <row r="2122" spans="1:1" x14ac:dyDescent="0.2">
      <c r="A2122"/>
    </row>
    <row r="2123" spans="1:1" x14ac:dyDescent="0.2">
      <c r="A2123"/>
    </row>
    <row r="2124" spans="1:1" x14ac:dyDescent="0.2">
      <c r="A2124"/>
    </row>
    <row r="2125" spans="1:1" x14ac:dyDescent="0.2">
      <c r="A2125"/>
    </row>
    <row r="2126" spans="1:1" x14ac:dyDescent="0.2">
      <c r="A2126"/>
    </row>
    <row r="2127" spans="1:1" x14ac:dyDescent="0.2">
      <c r="A2127"/>
    </row>
    <row r="2128" spans="1:1" x14ac:dyDescent="0.2">
      <c r="A2128"/>
    </row>
    <row r="2129" spans="1:1" x14ac:dyDescent="0.2">
      <c r="A2129"/>
    </row>
    <row r="2130" spans="1:1" x14ac:dyDescent="0.2">
      <c r="A2130"/>
    </row>
    <row r="2131" spans="1:1" x14ac:dyDescent="0.2">
      <c r="A2131"/>
    </row>
    <row r="2132" spans="1:1" x14ac:dyDescent="0.2">
      <c r="A2132"/>
    </row>
    <row r="2133" spans="1:1" x14ac:dyDescent="0.2">
      <c r="A2133"/>
    </row>
    <row r="2134" spans="1:1" x14ac:dyDescent="0.2">
      <c r="A2134"/>
    </row>
    <row r="2135" spans="1:1" x14ac:dyDescent="0.2">
      <c r="A2135"/>
    </row>
    <row r="2136" spans="1:1" x14ac:dyDescent="0.2">
      <c r="A2136"/>
    </row>
    <row r="2137" spans="1:1" x14ac:dyDescent="0.2">
      <c r="A2137"/>
    </row>
    <row r="2138" spans="1:1" x14ac:dyDescent="0.2">
      <c r="A2138"/>
    </row>
    <row r="2139" spans="1:1" x14ac:dyDescent="0.2">
      <c r="A2139"/>
    </row>
    <row r="2140" spans="1:1" x14ac:dyDescent="0.2">
      <c r="A2140"/>
    </row>
    <row r="2141" spans="1:1" x14ac:dyDescent="0.2">
      <c r="A2141"/>
    </row>
    <row r="2142" spans="1:1" x14ac:dyDescent="0.2">
      <c r="A2142"/>
    </row>
    <row r="2143" spans="1:1" x14ac:dyDescent="0.2">
      <c r="A2143"/>
    </row>
    <row r="2144" spans="1:1" x14ac:dyDescent="0.2">
      <c r="A2144"/>
    </row>
    <row r="2145" spans="1:1" x14ac:dyDescent="0.2">
      <c r="A2145"/>
    </row>
    <row r="2146" spans="1:1" x14ac:dyDescent="0.2">
      <c r="A2146"/>
    </row>
    <row r="2147" spans="1:1" x14ac:dyDescent="0.2">
      <c r="A2147"/>
    </row>
    <row r="2148" spans="1:1" x14ac:dyDescent="0.2">
      <c r="A2148"/>
    </row>
    <row r="2149" spans="1:1" x14ac:dyDescent="0.2">
      <c r="A2149"/>
    </row>
    <row r="2150" spans="1:1" x14ac:dyDescent="0.2">
      <c r="A2150"/>
    </row>
    <row r="2151" spans="1:1" x14ac:dyDescent="0.2">
      <c r="A2151"/>
    </row>
    <row r="2152" spans="1:1" x14ac:dyDescent="0.2">
      <c r="A2152"/>
    </row>
    <row r="2153" spans="1:1" x14ac:dyDescent="0.2">
      <c r="A2153"/>
    </row>
  </sheetData>
  <sortState xmlns:xlrd2="http://schemas.microsoft.com/office/spreadsheetml/2017/richdata2" ref="A22:A2153">
    <sortCondition ref="A22:A2153"/>
  </sortState>
  <mergeCells count="2">
    <mergeCell ref="A5:H5"/>
    <mergeCell ref="A7:H7"/>
  </mergeCells>
  <pageMargins left="0.25" right="0.25" top="0.75" bottom="0.75" header="0.3" footer="0.3"/>
  <pageSetup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T2718"/>
  <sheetViews>
    <sheetView zoomScaleNormal="100" workbookViewId="0">
      <pane ySplit="1" topLeftCell="A2704" activePane="bottomLeft" state="frozen"/>
      <selection pane="bottomLeft" activeCell="H333" sqref="H333:H2716"/>
    </sheetView>
  </sheetViews>
  <sheetFormatPr defaultColWidth="12.42578125" defaultRowHeight="15.75" customHeight="1" x14ac:dyDescent="0.25"/>
  <cols>
    <col min="1" max="1" width="10.42578125" style="11" customWidth="1"/>
    <col min="2" max="2" width="47.7109375" style="11" customWidth="1"/>
    <col min="3" max="3" width="20.42578125" style="11" customWidth="1"/>
    <col min="4" max="4" width="9.28515625" style="4" customWidth="1"/>
    <col min="5" max="5" width="12.42578125" style="1" customWidth="1"/>
    <col min="6" max="6" width="12.42578125" style="4"/>
    <col min="7" max="7" width="12.42578125" style="1"/>
    <col min="8" max="8" width="17.42578125" style="1" customWidth="1"/>
    <col min="9" max="9" width="14.140625" style="1" customWidth="1"/>
    <col min="10" max="16384" width="12.42578125" style="1"/>
  </cols>
  <sheetData>
    <row r="1" spans="1:46" ht="15.75" customHeight="1" x14ac:dyDescent="0.25">
      <c r="A1" s="11" t="s">
        <v>38</v>
      </c>
      <c r="B1" s="11" t="s">
        <v>39</v>
      </c>
      <c r="C1" s="11" t="s">
        <v>1279</v>
      </c>
      <c r="D1" s="13" t="s">
        <v>33</v>
      </c>
      <c r="E1" s="2" t="s">
        <v>34</v>
      </c>
      <c r="F1" s="13" t="s">
        <v>35</v>
      </c>
      <c r="G1" s="2" t="s">
        <v>36</v>
      </c>
      <c r="H1" s="2" t="s">
        <v>37</v>
      </c>
      <c r="I1" s="2" t="s">
        <v>2412</v>
      </c>
    </row>
    <row r="2" spans="1:46" ht="15" x14ac:dyDescent="0.25">
      <c r="A2" s="3">
        <v>10010001</v>
      </c>
      <c r="B2" s="11" t="s">
        <v>40</v>
      </c>
      <c r="C2" s="11" t="s">
        <v>2636</v>
      </c>
      <c r="D2" s="1">
        <v>1</v>
      </c>
      <c r="E2" s="1">
        <v>1</v>
      </c>
      <c r="F2" s="1">
        <v>1</v>
      </c>
      <c r="H2" s="1" t="s">
        <v>2414</v>
      </c>
    </row>
    <row r="3" spans="1:46" ht="15" x14ac:dyDescent="0.25">
      <c r="A3" s="3">
        <v>10010001</v>
      </c>
      <c r="B3" s="11" t="s">
        <v>40</v>
      </c>
      <c r="C3" s="11" t="s">
        <v>1280</v>
      </c>
      <c r="D3" s="1">
        <f>E3*F3</f>
        <v>330</v>
      </c>
      <c r="E3" s="1">
        <v>1</v>
      </c>
      <c r="F3" s="1">
        <v>330</v>
      </c>
      <c r="H3" s="1" t="s">
        <v>2414</v>
      </c>
    </row>
    <row r="4" spans="1:46" ht="15" x14ac:dyDescent="0.25">
      <c r="A4" s="3">
        <v>10010002</v>
      </c>
      <c r="B4" s="11" t="s">
        <v>46</v>
      </c>
      <c r="C4" s="11" t="s">
        <v>1281</v>
      </c>
      <c r="D4" s="4">
        <f>G4</f>
        <v>1</v>
      </c>
      <c r="E4" s="1">
        <v>0.93899999999999995</v>
      </c>
      <c r="F4" s="4">
        <v>1</v>
      </c>
      <c r="G4" s="4">
        <v>1</v>
      </c>
      <c r="H4" s="1" t="s">
        <v>2413</v>
      </c>
    </row>
    <row r="5" spans="1:46" ht="15" x14ac:dyDescent="0.25">
      <c r="A5" s="3">
        <v>10010002</v>
      </c>
      <c r="B5" s="11" t="s">
        <v>41</v>
      </c>
      <c r="C5" s="11" t="s">
        <v>2677</v>
      </c>
      <c r="D5" s="1">
        <v>1</v>
      </c>
      <c r="E5" s="1">
        <v>0.93899999999999995</v>
      </c>
      <c r="F5" s="1">
        <v>1</v>
      </c>
      <c r="H5" s="1" t="s">
        <v>2413</v>
      </c>
    </row>
    <row r="6" spans="1:46" ht="15" x14ac:dyDescent="0.25">
      <c r="A6" s="3">
        <v>10010002</v>
      </c>
      <c r="B6" s="11" t="s">
        <v>41</v>
      </c>
      <c r="C6" s="11" t="s">
        <v>2636</v>
      </c>
      <c r="D6" s="1">
        <v>1</v>
      </c>
      <c r="E6" s="1">
        <v>0.93899999999999995</v>
      </c>
      <c r="F6" s="1">
        <v>1</v>
      </c>
      <c r="H6" s="1" t="s">
        <v>2413</v>
      </c>
    </row>
    <row r="7" spans="1:46" ht="15" x14ac:dyDescent="0.25">
      <c r="A7" s="3">
        <v>10010002</v>
      </c>
      <c r="B7" s="11" t="s">
        <v>41</v>
      </c>
      <c r="C7" s="11" t="s">
        <v>1280</v>
      </c>
      <c r="D7" s="1">
        <v>310</v>
      </c>
      <c r="E7" s="1">
        <v>0.93899999999999995</v>
      </c>
      <c r="F7" s="1">
        <v>330</v>
      </c>
      <c r="H7" s="1" t="s">
        <v>2413</v>
      </c>
      <c r="I7" s="1" t="s">
        <v>2415</v>
      </c>
    </row>
    <row r="8" spans="1:46" ht="15" x14ac:dyDescent="0.25">
      <c r="A8" s="3">
        <v>10010003</v>
      </c>
      <c r="B8" s="11" t="s">
        <v>42</v>
      </c>
      <c r="C8" s="11" t="s">
        <v>1280</v>
      </c>
      <c r="D8" s="1">
        <v>310</v>
      </c>
      <c r="E8" s="1">
        <v>0.93899999999999995</v>
      </c>
      <c r="F8" s="1">
        <v>330</v>
      </c>
      <c r="H8" s="1" t="s">
        <v>2413</v>
      </c>
    </row>
    <row r="9" spans="1:46" ht="15" x14ac:dyDescent="0.25">
      <c r="A9" s="3">
        <v>10010004</v>
      </c>
      <c r="B9" s="11" t="s">
        <v>43</v>
      </c>
      <c r="C9" s="11" t="s">
        <v>2636</v>
      </c>
      <c r="D9" s="1">
        <v>1</v>
      </c>
      <c r="E9" s="1">
        <v>1.016</v>
      </c>
      <c r="F9" s="1">
        <v>1</v>
      </c>
      <c r="H9" s="1" t="s">
        <v>2549</v>
      </c>
    </row>
    <row r="10" spans="1:46" ht="14.1" customHeight="1" x14ac:dyDescent="0.25">
      <c r="A10" s="3">
        <v>10010004</v>
      </c>
      <c r="B10" s="11" t="s">
        <v>43</v>
      </c>
      <c r="C10" s="11" t="s">
        <v>1280</v>
      </c>
      <c r="D10" s="1">
        <v>335</v>
      </c>
      <c r="E10" s="1">
        <v>1.016</v>
      </c>
      <c r="F10" s="1">
        <v>330</v>
      </c>
      <c r="H10" s="1" t="s">
        <v>2549</v>
      </c>
      <c r="I10" s="1" t="s">
        <v>2416</v>
      </c>
    </row>
    <row r="11" spans="1:46" ht="15" x14ac:dyDescent="0.25">
      <c r="A11" s="3">
        <v>10010006</v>
      </c>
      <c r="B11" s="11" t="s">
        <v>44</v>
      </c>
      <c r="C11" s="11" t="s">
        <v>1280</v>
      </c>
      <c r="D11" s="1">
        <v>335</v>
      </c>
      <c r="E11" s="1">
        <v>1.016</v>
      </c>
      <c r="F11" s="1">
        <v>330</v>
      </c>
      <c r="H11" s="1" t="s">
        <v>2549</v>
      </c>
    </row>
    <row r="12" spans="1:46" ht="15" x14ac:dyDescent="0.25">
      <c r="A12" s="3">
        <v>10010007</v>
      </c>
      <c r="B12" s="11" t="s">
        <v>45</v>
      </c>
      <c r="C12" s="11" t="s">
        <v>1280</v>
      </c>
      <c r="D12" s="1">
        <v>335</v>
      </c>
      <c r="E12" s="1">
        <v>1.016</v>
      </c>
      <c r="F12" s="1">
        <v>330</v>
      </c>
      <c r="H12" s="1" t="s">
        <v>2549</v>
      </c>
    </row>
    <row r="13" spans="1:46" ht="15" x14ac:dyDescent="0.25">
      <c r="A13" s="24">
        <v>10020101</v>
      </c>
      <c r="B13" s="25" t="s">
        <v>3216</v>
      </c>
      <c r="C13" s="25" t="s">
        <v>28</v>
      </c>
      <c r="D13" s="1">
        <v>340</v>
      </c>
    </row>
    <row r="14" spans="1:46" ht="15" x14ac:dyDescent="0.25">
      <c r="A14" s="3">
        <v>10020103</v>
      </c>
      <c r="B14" s="11" t="s">
        <v>47</v>
      </c>
      <c r="C14" s="11" t="s">
        <v>25</v>
      </c>
      <c r="D14" s="1">
        <f>ROUND(E14*F14,0)</f>
        <v>5</v>
      </c>
      <c r="E14" s="1">
        <v>1.03</v>
      </c>
      <c r="F14" s="1">
        <v>5</v>
      </c>
      <c r="G14" s="4"/>
      <c r="H14" s="1" t="s">
        <v>3132</v>
      </c>
      <c r="I14" s="1" t="s">
        <v>3132</v>
      </c>
      <c r="J14" s="1" t="s">
        <v>3132</v>
      </c>
    </row>
    <row r="15" spans="1:46" s="28" customFormat="1" ht="15" x14ac:dyDescent="0.25">
      <c r="A15" s="3">
        <v>10020103</v>
      </c>
      <c r="B15" s="11" t="s">
        <v>47</v>
      </c>
      <c r="C15" s="11" t="s">
        <v>11</v>
      </c>
      <c r="D15" s="1">
        <f>E15*F15</f>
        <v>15.450000000000001</v>
      </c>
      <c r="E15" s="1">
        <v>1.03</v>
      </c>
      <c r="F15" s="1">
        <v>15</v>
      </c>
      <c r="G15" s="4"/>
      <c r="H15" s="1"/>
      <c r="I15" s="1" t="s">
        <v>3028</v>
      </c>
      <c r="J15" s="1" t="s">
        <v>3132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s="2" customFormat="1" ht="15" x14ac:dyDescent="0.25">
      <c r="A16" s="3">
        <v>10020103</v>
      </c>
      <c r="B16" s="11" t="s">
        <v>47</v>
      </c>
      <c r="C16" s="11" t="s">
        <v>1282</v>
      </c>
      <c r="D16" s="1">
        <v>340</v>
      </c>
      <c r="E16" s="1">
        <v>1.03</v>
      </c>
      <c r="F16" s="1">
        <v>330</v>
      </c>
      <c r="G16" s="1"/>
      <c r="H16" s="1" t="s">
        <v>2418</v>
      </c>
      <c r="I16" s="1" t="s">
        <v>2417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5" x14ac:dyDescent="0.25">
      <c r="A17" s="3">
        <v>10020201</v>
      </c>
      <c r="B17" s="11" t="s">
        <v>2395</v>
      </c>
      <c r="C17" s="11" t="s">
        <v>24</v>
      </c>
      <c r="D17" s="1">
        <v>84</v>
      </c>
      <c r="E17" s="1">
        <v>1</v>
      </c>
      <c r="F17" s="1">
        <v>84</v>
      </c>
      <c r="G17" s="4"/>
      <c r="H17" s="1" t="s">
        <v>2419</v>
      </c>
      <c r="I17" s="1" t="s">
        <v>3132</v>
      </c>
      <c r="J17" s="1" t="s">
        <v>3132</v>
      </c>
    </row>
    <row r="18" spans="1:46" ht="15" x14ac:dyDescent="0.25">
      <c r="A18" s="3">
        <v>10020201</v>
      </c>
      <c r="B18" s="11" t="s">
        <v>2395</v>
      </c>
      <c r="C18" s="11" t="s">
        <v>27</v>
      </c>
      <c r="D18" s="4">
        <v>130</v>
      </c>
      <c r="E18" s="1">
        <v>1</v>
      </c>
      <c r="F18" s="1">
        <v>130</v>
      </c>
      <c r="G18" s="4"/>
      <c r="H18" s="1" t="s">
        <v>2419</v>
      </c>
      <c r="I18" s="1" t="s">
        <v>3132</v>
      </c>
      <c r="J18" s="1" t="s">
        <v>3132</v>
      </c>
    </row>
    <row r="19" spans="1:46" ht="15" x14ac:dyDescent="0.25">
      <c r="A19" s="16">
        <v>10020201</v>
      </c>
      <c r="B19" s="11" t="s">
        <v>2395</v>
      </c>
      <c r="C19" s="11" t="s">
        <v>26</v>
      </c>
      <c r="D19" s="1">
        <v>15</v>
      </c>
      <c r="E19" s="1">
        <v>1</v>
      </c>
      <c r="F19" s="1">
        <v>15</v>
      </c>
      <c r="G19" s="4"/>
      <c r="H19" s="1" t="s">
        <v>2419</v>
      </c>
      <c r="I19" s="1" t="s">
        <v>3132</v>
      </c>
      <c r="J19" s="1" t="s">
        <v>3132</v>
      </c>
    </row>
    <row r="20" spans="1:46" ht="15" x14ac:dyDescent="0.25">
      <c r="A20" s="5">
        <v>10020201</v>
      </c>
      <c r="B20" s="11" t="s">
        <v>2395</v>
      </c>
      <c r="C20" s="11" t="s">
        <v>28</v>
      </c>
      <c r="D20" s="1">
        <f>E20*F20</f>
        <v>330</v>
      </c>
      <c r="E20" s="1">
        <v>1</v>
      </c>
      <c r="F20" s="1">
        <v>330</v>
      </c>
      <c r="H20" s="1" t="s">
        <v>2419</v>
      </c>
    </row>
    <row r="21" spans="1:46" ht="14.1" customHeight="1" x14ac:dyDescent="0.25">
      <c r="A21" s="3">
        <v>10020202</v>
      </c>
      <c r="B21" s="11" t="s">
        <v>48</v>
      </c>
      <c r="C21" s="11" t="s">
        <v>1282</v>
      </c>
      <c r="D21" s="4">
        <v>340</v>
      </c>
      <c r="E21" s="10">
        <v>1.03</v>
      </c>
      <c r="F21" s="1">
        <v>330</v>
      </c>
      <c r="H21" s="6" t="s">
        <v>2550</v>
      </c>
      <c r="I21" s="1" t="s">
        <v>2421</v>
      </c>
      <c r="AT21" s="28"/>
    </row>
    <row r="22" spans="1:46" ht="15" x14ac:dyDescent="0.25">
      <c r="A22" s="3">
        <v>10020203</v>
      </c>
      <c r="B22" s="11" t="s">
        <v>49</v>
      </c>
      <c r="C22" s="11" t="s">
        <v>1282</v>
      </c>
      <c r="D22" s="1">
        <v>343</v>
      </c>
      <c r="E22" s="1">
        <v>1.04</v>
      </c>
      <c r="F22" s="1">
        <v>330</v>
      </c>
      <c r="H22" s="6" t="s">
        <v>2551</v>
      </c>
      <c r="AT22" s="2"/>
    </row>
    <row r="23" spans="1:46" ht="15" x14ac:dyDescent="0.25">
      <c r="A23" s="3">
        <v>10020204</v>
      </c>
      <c r="B23" s="11" t="s">
        <v>50</v>
      </c>
      <c r="C23" s="11" t="s">
        <v>1282</v>
      </c>
      <c r="D23" s="1">
        <v>347</v>
      </c>
      <c r="E23" s="1">
        <v>1.05</v>
      </c>
      <c r="F23" s="1">
        <v>330</v>
      </c>
      <c r="H23" s="7" t="s">
        <v>2552</v>
      </c>
    </row>
    <row r="24" spans="1:46" ht="15" x14ac:dyDescent="0.25">
      <c r="A24" s="3">
        <v>10020205</v>
      </c>
      <c r="B24" s="11" t="s">
        <v>51</v>
      </c>
      <c r="C24" s="11" t="s">
        <v>1282</v>
      </c>
      <c r="D24" s="1">
        <v>340</v>
      </c>
      <c r="E24" s="1">
        <v>1.03</v>
      </c>
      <c r="F24" s="1">
        <v>330</v>
      </c>
      <c r="H24" s="6" t="s">
        <v>2550</v>
      </c>
    </row>
    <row r="25" spans="1:46" ht="15" x14ac:dyDescent="0.25">
      <c r="A25" s="3">
        <v>10020206</v>
      </c>
      <c r="B25" s="11" t="s">
        <v>52</v>
      </c>
      <c r="C25" s="11" t="s">
        <v>2677</v>
      </c>
      <c r="D25" s="1">
        <v>1</v>
      </c>
      <c r="E25" s="1">
        <v>1.06</v>
      </c>
      <c r="F25" s="1">
        <v>1</v>
      </c>
      <c r="H25" s="5" t="s">
        <v>2422</v>
      </c>
    </row>
    <row r="26" spans="1:46" ht="15" x14ac:dyDescent="0.25">
      <c r="A26" s="3">
        <v>10020206</v>
      </c>
      <c r="B26" s="11" t="s">
        <v>52</v>
      </c>
      <c r="C26" s="11" t="s">
        <v>15</v>
      </c>
      <c r="D26" s="1">
        <v>350</v>
      </c>
      <c r="E26" s="1">
        <v>1.06</v>
      </c>
      <c r="F26" s="1">
        <v>330</v>
      </c>
      <c r="G26" s="4"/>
      <c r="H26" s="5" t="s">
        <v>3134</v>
      </c>
      <c r="I26" s="1" t="s">
        <v>3132</v>
      </c>
      <c r="J26" s="1" t="s">
        <v>3132</v>
      </c>
    </row>
    <row r="27" spans="1:46" ht="15" x14ac:dyDescent="0.25">
      <c r="A27" s="3">
        <v>10020206</v>
      </c>
      <c r="B27" s="11" t="s">
        <v>52</v>
      </c>
      <c r="C27" s="11" t="s">
        <v>1282</v>
      </c>
      <c r="D27" s="1">
        <v>350</v>
      </c>
      <c r="E27" s="1">
        <v>1.06</v>
      </c>
      <c r="F27" s="1">
        <v>330</v>
      </c>
      <c r="H27" s="1" t="s">
        <v>2422</v>
      </c>
    </row>
    <row r="28" spans="1:46" ht="15" x14ac:dyDescent="0.25">
      <c r="A28" s="3">
        <v>10020207</v>
      </c>
      <c r="B28" s="11" t="s">
        <v>53</v>
      </c>
      <c r="C28" s="11" t="s">
        <v>2636</v>
      </c>
      <c r="D28" s="1">
        <v>1</v>
      </c>
      <c r="E28" s="1">
        <v>1.06</v>
      </c>
      <c r="F28" s="1">
        <v>1</v>
      </c>
      <c r="H28" s="1" t="s">
        <v>2422</v>
      </c>
    </row>
    <row r="29" spans="1:46" ht="15" x14ac:dyDescent="0.25">
      <c r="A29" s="3">
        <v>10020207</v>
      </c>
      <c r="B29" s="11" t="s">
        <v>53</v>
      </c>
      <c r="C29" s="11" t="s">
        <v>1282</v>
      </c>
      <c r="D29" s="1">
        <v>350</v>
      </c>
      <c r="E29" s="1">
        <v>1.06</v>
      </c>
      <c r="F29" s="1">
        <v>330</v>
      </c>
      <c r="H29" s="1" t="s">
        <v>2422</v>
      </c>
    </row>
    <row r="30" spans="1:46" ht="15" x14ac:dyDescent="0.25">
      <c r="A30" s="3">
        <v>10020208</v>
      </c>
      <c r="B30" s="11" t="s">
        <v>54</v>
      </c>
      <c r="C30" s="11" t="s">
        <v>1282</v>
      </c>
      <c r="D30" s="1">
        <v>350</v>
      </c>
      <c r="E30" s="1">
        <v>1.06</v>
      </c>
      <c r="F30" s="1">
        <v>330</v>
      </c>
      <c r="H30" s="1" t="s">
        <v>2422</v>
      </c>
    </row>
    <row r="31" spans="1:46" s="11" customFormat="1" ht="15" x14ac:dyDescent="0.25">
      <c r="A31" s="16">
        <v>10020209</v>
      </c>
      <c r="B31" s="11" t="s">
        <v>2678</v>
      </c>
      <c r="C31" s="11" t="s">
        <v>30</v>
      </c>
      <c r="D31" s="11">
        <v>178</v>
      </c>
      <c r="E31" s="11">
        <v>1</v>
      </c>
      <c r="F31" s="11">
        <v>177.5</v>
      </c>
      <c r="H31" s="11" t="s">
        <v>3000</v>
      </c>
    </row>
    <row r="32" spans="1:46" s="11" customFormat="1" ht="15" x14ac:dyDescent="0.25">
      <c r="A32" s="24">
        <v>10020209</v>
      </c>
      <c r="B32" s="25" t="s">
        <v>2678</v>
      </c>
      <c r="C32" s="25" t="s">
        <v>28</v>
      </c>
      <c r="D32" s="21">
        <v>337</v>
      </c>
      <c r="F32" s="21"/>
      <c r="H32" s="11" t="s">
        <v>3000</v>
      </c>
    </row>
    <row r="33" spans="1:9" s="11" customFormat="1" ht="15" x14ac:dyDescent="0.25">
      <c r="A33" s="24">
        <v>10020209</v>
      </c>
      <c r="B33" s="25" t="s">
        <v>2678</v>
      </c>
      <c r="C33" s="11" t="s">
        <v>25</v>
      </c>
      <c r="D33" s="21">
        <v>5</v>
      </c>
      <c r="F33" s="21"/>
      <c r="H33" s="11" t="s">
        <v>3000</v>
      </c>
    </row>
    <row r="34" spans="1:9" s="11" customFormat="1" ht="15" x14ac:dyDescent="0.25">
      <c r="A34" s="24">
        <v>10020210</v>
      </c>
      <c r="B34" s="25" t="s">
        <v>3226</v>
      </c>
      <c r="C34" s="25" t="s">
        <v>28</v>
      </c>
      <c r="D34" s="21">
        <v>337</v>
      </c>
      <c r="F34" s="21"/>
      <c r="H34" s="11" t="s">
        <v>3000</v>
      </c>
    </row>
    <row r="35" spans="1:9" ht="15" x14ac:dyDescent="0.25">
      <c r="A35" s="16">
        <v>10020210</v>
      </c>
      <c r="B35" s="11" t="s">
        <v>3226</v>
      </c>
      <c r="C35" s="11" t="s">
        <v>25</v>
      </c>
      <c r="D35" s="4">
        <v>5</v>
      </c>
      <c r="H35" s="11" t="s">
        <v>3000</v>
      </c>
    </row>
    <row r="36" spans="1:9" ht="15" x14ac:dyDescent="0.25">
      <c r="A36" s="3">
        <v>10020301</v>
      </c>
      <c r="B36" s="11" t="s">
        <v>55</v>
      </c>
      <c r="C36" s="11" t="s">
        <v>2636</v>
      </c>
      <c r="D36" s="1">
        <f>ROUND(E36*F36,0)</f>
        <v>1</v>
      </c>
      <c r="E36" s="1">
        <v>1.02</v>
      </c>
      <c r="F36" s="1">
        <v>1</v>
      </c>
      <c r="H36" s="8" t="s">
        <v>2394</v>
      </c>
    </row>
    <row r="37" spans="1:9" ht="15" x14ac:dyDescent="0.25">
      <c r="A37" s="3">
        <v>10020301</v>
      </c>
      <c r="B37" s="11" t="s">
        <v>55</v>
      </c>
      <c r="C37" s="11" t="s">
        <v>24</v>
      </c>
      <c r="D37" s="1">
        <f>ROUND(E37*F37,0)</f>
        <v>86</v>
      </c>
      <c r="E37" s="1">
        <v>1.02</v>
      </c>
      <c r="F37" s="1">
        <v>84</v>
      </c>
      <c r="H37" s="7" t="s">
        <v>2394</v>
      </c>
    </row>
    <row r="38" spans="1:9" ht="15" x14ac:dyDescent="0.25">
      <c r="A38" s="24">
        <v>10020301</v>
      </c>
      <c r="B38" s="25" t="s">
        <v>55</v>
      </c>
      <c r="C38" s="25" t="s">
        <v>30</v>
      </c>
      <c r="D38" s="4">
        <v>178</v>
      </c>
      <c r="H38" s="8" t="s">
        <v>2394</v>
      </c>
    </row>
    <row r="39" spans="1:9" ht="15" x14ac:dyDescent="0.25">
      <c r="A39" s="3">
        <v>10020301</v>
      </c>
      <c r="B39" s="11" t="s">
        <v>55</v>
      </c>
      <c r="C39" s="11" t="s">
        <v>25</v>
      </c>
      <c r="D39" s="1">
        <f t="shared" ref="D39:D52" si="0">ROUND(E39*F39,0)</f>
        <v>4</v>
      </c>
      <c r="E39" s="1">
        <v>1.02</v>
      </c>
      <c r="F39" s="1">
        <v>4</v>
      </c>
      <c r="H39" s="8" t="s">
        <v>2394</v>
      </c>
    </row>
    <row r="40" spans="1:9" ht="15" x14ac:dyDescent="0.25">
      <c r="A40" s="16">
        <v>10020301</v>
      </c>
      <c r="B40" s="11" t="s">
        <v>55</v>
      </c>
      <c r="C40" s="11" t="s">
        <v>26</v>
      </c>
      <c r="D40" s="1">
        <f t="shared" si="0"/>
        <v>8</v>
      </c>
      <c r="E40" s="1">
        <v>1.02</v>
      </c>
      <c r="F40" s="1">
        <v>8</v>
      </c>
      <c r="H40" s="8" t="s">
        <v>2394</v>
      </c>
    </row>
    <row r="41" spans="1:9" ht="15" x14ac:dyDescent="0.25">
      <c r="A41" s="3">
        <v>10020301</v>
      </c>
      <c r="B41" s="11" t="s">
        <v>55</v>
      </c>
      <c r="C41" s="11" t="s">
        <v>1282</v>
      </c>
      <c r="D41" s="1">
        <f t="shared" si="0"/>
        <v>337</v>
      </c>
      <c r="E41" s="1">
        <v>1.02</v>
      </c>
      <c r="F41" s="1">
        <v>330</v>
      </c>
      <c r="H41" s="7" t="s">
        <v>2394</v>
      </c>
      <c r="I41" s="1" t="s">
        <v>2423</v>
      </c>
    </row>
    <row r="42" spans="1:9" ht="15" x14ac:dyDescent="0.25">
      <c r="A42" s="5">
        <v>10020302</v>
      </c>
      <c r="B42" s="11" t="s">
        <v>2396</v>
      </c>
      <c r="C42" s="11" t="s">
        <v>28</v>
      </c>
      <c r="D42" s="1">
        <f t="shared" si="0"/>
        <v>340</v>
      </c>
      <c r="E42" s="1">
        <v>1.03</v>
      </c>
      <c r="F42" s="1">
        <v>330</v>
      </c>
      <c r="H42" s="1" t="s">
        <v>2424</v>
      </c>
    </row>
    <row r="43" spans="1:9" ht="15" x14ac:dyDescent="0.25">
      <c r="A43" s="3">
        <v>10020304</v>
      </c>
      <c r="B43" s="11" t="s">
        <v>56</v>
      </c>
      <c r="C43" s="11" t="s">
        <v>1282</v>
      </c>
      <c r="D43" s="1">
        <f t="shared" si="0"/>
        <v>340</v>
      </c>
      <c r="E43" s="1">
        <v>1.03</v>
      </c>
      <c r="F43" s="1">
        <v>330</v>
      </c>
      <c r="H43" s="1" t="s">
        <v>2425</v>
      </c>
    </row>
    <row r="44" spans="1:9" ht="15" x14ac:dyDescent="0.25">
      <c r="A44" s="3">
        <v>10020305</v>
      </c>
      <c r="B44" s="11" t="s">
        <v>57</v>
      </c>
      <c r="C44" s="11" t="s">
        <v>1282</v>
      </c>
      <c r="D44" s="1">
        <f t="shared" si="0"/>
        <v>343</v>
      </c>
      <c r="E44" s="1">
        <v>1.04</v>
      </c>
      <c r="F44" s="1">
        <v>330</v>
      </c>
      <c r="H44" s="1" t="s">
        <v>2426</v>
      </c>
    </row>
    <row r="45" spans="1:9" ht="15" x14ac:dyDescent="0.25">
      <c r="A45" s="3">
        <v>10030001</v>
      </c>
      <c r="B45" s="11" t="s">
        <v>58</v>
      </c>
      <c r="C45" s="11" t="s">
        <v>1283</v>
      </c>
      <c r="D45" s="1">
        <f t="shared" si="0"/>
        <v>186</v>
      </c>
      <c r="E45" s="1">
        <v>1.05</v>
      </c>
      <c r="F45" s="1">
        <v>177.5</v>
      </c>
      <c r="H45" s="1" t="s">
        <v>2553</v>
      </c>
      <c r="I45" s="9" t="s">
        <v>3201</v>
      </c>
    </row>
    <row r="46" spans="1:9" ht="15" x14ac:dyDescent="0.25">
      <c r="A46" s="3">
        <v>10030002</v>
      </c>
      <c r="B46" s="11" t="s">
        <v>59</v>
      </c>
      <c r="C46" s="11" t="s">
        <v>2636</v>
      </c>
      <c r="D46" s="1">
        <f t="shared" si="0"/>
        <v>1</v>
      </c>
      <c r="E46" s="1">
        <v>1.05</v>
      </c>
      <c r="F46" s="1">
        <v>1</v>
      </c>
      <c r="H46" s="1" t="s">
        <v>2553</v>
      </c>
    </row>
    <row r="47" spans="1:9" ht="15" x14ac:dyDescent="0.25">
      <c r="A47" s="3">
        <v>10030002</v>
      </c>
      <c r="B47" s="11" t="s">
        <v>59</v>
      </c>
      <c r="C47" s="11" t="s">
        <v>27</v>
      </c>
      <c r="D47" s="4">
        <f t="shared" si="0"/>
        <v>137</v>
      </c>
      <c r="E47" s="1">
        <v>1.05</v>
      </c>
      <c r="F47" s="1">
        <v>130</v>
      </c>
      <c r="H47" s="1" t="s">
        <v>2553</v>
      </c>
    </row>
    <row r="48" spans="1:9" ht="15" x14ac:dyDescent="0.25">
      <c r="A48" s="5">
        <v>10030002</v>
      </c>
      <c r="B48" s="11" t="s">
        <v>59</v>
      </c>
      <c r="C48" s="11" t="s">
        <v>28</v>
      </c>
      <c r="D48" s="1">
        <f t="shared" si="0"/>
        <v>347</v>
      </c>
      <c r="E48" s="1">
        <f>ROUND(249/237,2)</f>
        <v>1.05</v>
      </c>
      <c r="F48" s="1">
        <v>330</v>
      </c>
      <c r="H48" s="1" t="s">
        <v>2553</v>
      </c>
    </row>
    <row r="49" spans="1:8" ht="15" x14ac:dyDescent="0.25">
      <c r="A49" s="3">
        <v>10030002</v>
      </c>
      <c r="B49" s="11" t="s">
        <v>59</v>
      </c>
      <c r="C49" s="11" t="s">
        <v>1283</v>
      </c>
      <c r="D49" s="1">
        <f t="shared" si="0"/>
        <v>186</v>
      </c>
      <c r="E49" s="1">
        <v>1.05</v>
      </c>
      <c r="F49" s="1">
        <v>177.5</v>
      </c>
      <c r="H49" s="1" t="s">
        <v>2553</v>
      </c>
    </row>
    <row r="50" spans="1:8" ht="15" x14ac:dyDescent="0.25">
      <c r="A50" s="3">
        <v>10040001</v>
      </c>
      <c r="B50" s="11" t="s">
        <v>60</v>
      </c>
      <c r="C50" s="11" t="s">
        <v>2636</v>
      </c>
      <c r="D50" s="1">
        <f t="shared" si="0"/>
        <v>1</v>
      </c>
      <c r="E50" s="1">
        <v>1.04</v>
      </c>
      <c r="F50" s="1">
        <v>1</v>
      </c>
      <c r="H50" s="1" t="s">
        <v>2554</v>
      </c>
    </row>
    <row r="51" spans="1:8" ht="15" x14ac:dyDescent="0.25">
      <c r="A51" s="3">
        <v>10040001</v>
      </c>
      <c r="B51" s="11" t="s">
        <v>60</v>
      </c>
      <c r="C51" s="11" t="s">
        <v>1284</v>
      </c>
      <c r="D51" s="1">
        <f t="shared" si="0"/>
        <v>343</v>
      </c>
      <c r="E51" s="1">
        <v>1.04</v>
      </c>
      <c r="F51" s="1">
        <v>330</v>
      </c>
      <c r="H51" s="1" t="s">
        <v>2554</v>
      </c>
    </row>
    <row r="52" spans="1:8" ht="15" x14ac:dyDescent="0.25">
      <c r="A52" s="3">
        <v>10040002</v>
      </c>
      <c r="B52" s="11" t="s">
        <v>61</v>
      </c>
      <c r="C52" s="11" t="s">
        <v>1284</v>
      </c>
      <c r="D52" s="1">
        <f t="shared" si="0"/>
        <v>343</v>
      </c>
      <c r="E52" s="1">
        <v>1.04</v>
      </c>
      <c r="F52" s="1">
        <v>330</v>
      </c>
      <c r="H52" s="8" t="s">
        <v>2555</v>
      </c>
    </row>
    <row r="53" spans="1:8" s="11" customFormat="1" ht="15" x14ac:dyDescent="0.25">
      <c r="A53" s="24">
        <v>10040003</v>
      </c>
      <c r="B53" s="25" t="s">
        <v>62</v>
      </c>
      <c r="C53" s="25" t="s">
        <v>2636</v>
      </c>
      <c r="D53" s="21">
        <v>1</v>
      </c>
      <c r="F53" s="21"/>
    </row>
    <row r="54" spans="1:8" ht="15" x14ac:dyDescent="0.25">
      <c r="A54" s="3">
        <v>10040003</v>
      </c>
      <c r="B54" s="11" t="s">
        <v>62</v>
      </c>
      <c r="C54" s="11" t="s">
        <v>1284</v>
      </c>
      <c r="D54" s="1">
        <f t="shared" ref="D54:D63" si="1">ROUND(E54*F54,0)</f>
        <v>340</v>
      </c>
      <c r="E54" s="1">
        <v>1.03</v>
      </c>
      <c r="F54" s="1">
        <v>330</v>
      </c>
      <c r="H54" s="1" t="s">
        <v>2427</v>
      </c>
    </row>
    <row r="55" spans="1:8" ht="15" x14ac:dyDescent="0.25">
      <c r="A55" s="3">
        <v>10040004</v>
      </c>
      <c r="B55" s="11" t="s">
        <v>63</v>
      </c>
      <c r="C55" s="11" t="s">
        <v>2636</v>
      </c>
      <c r="D55" s="1">
        <f t="shared" si="1"/>
        <v>1</v>
      </c>
      <c r="E55" s="10">
        <f t="shared" ref="E55:E61" si="2">ROUND(31/30,2)</f>
        <v>1.03</v>
      </c>
      <c r="F55" s="1">
        <v>1</v>
      </c>
      <c r="H55" s="1" t="s">
        <v>2556</v>
      </c>
    </row>
    <row r="56" spans="1:8" ht="15" x14ac:dyDescent="0.25">
      <c r="A56" s="3">
        <v>10040004</v>
      </c>
      <c r="B56" s="11" t="s">
        <v>63</v>
      </c>
      <c r="C56" s="11" t="s">
        <v>1284</v>
      </c>
      <c r="D56" s="1">
        <f t="shared" si="1"/>
        <v>340</v>
      </c>
      <c r="E56" s="10">
        <f t="shared" si="2"/>
        <v>1.03</v>
      </c>
      <c r="F56" s="1">
        <v>330</v>
      </c>
      <c r="H56" s="1" t="s">
        <v>2556</v>
      </c>
    </row>
    <row r="57" spans="1:8" ht="15" x14ac:dyDescent="0.25">
      <c r="A57" s="3">
        <v>10040005</v>
      </c>
      <c r="B57" s="11" t="s">
        <v>64</v>
      </c>
      <c r="C57" s="11" t="s">
        <v>1284</v>
      </c>
      <c r="D57" s="1">
        <f t="shared" si="1"/>
        <v>340</v>
      </c>
      <c r="E57" s="10">
        <f t="shared" si="2"/>
        <v>1.03</v>
      </c>
      <c r="F57" s="1">
        <v>330</v>
      </c>
      <c r="H57" s="1" t="s">
        <v>3001</v>
      </c>
    </row>
    <row r="58" spans="1:8" ht="15" x14ac:dyDescent="0.25">
      <c r="A58" s="3">
        <v>10040006</v>
      </c>
      <c r="B58" s="11" t="s">
        <v>65</v>
      </c>
      <c r="C58" s="11" t="s">
        <v>2636</v>
      </c>
      <c r="D58" s="1">
        <f t="shared" si="1"/>
        <v>1</v>
      </c>
      <c r="E58" s="10">
        <f t="shared" si="2"/>
        <v>1.03</v>
      </c>
      <c r="F58" s="1">
        <v>1</v>
      </c>
      <c r="H58" s="1" t="s">
        <v>2556</v>
      </c>
    </row>
    <row r="59" spans="1:8" ht="15" x14ac:dyDescent="0.25">
      <c r="A59" s="3">
        <v>10040006</v>
      </c>
      <c r="B59" s="11" t="s">
        <v>65</v>
      </c>
      <c r="C59" s="11" t="s">
        <v>1284</v>
      </c>
      <c r="D59" s="1">
        <f t="shared" si="1"/>
        <v>340</v>
      </c>
      <c r="E59" s="10">
        <f t="shared" si="2"/>
        <v>1.03</v>
      </c>
      <c r="F59" s="1">
        <v>330</v>
      </c>
      <c r="H59" s="1" t="s">
        <v>2556</v>
      </c>
    </row>
    <row r="60" spans="1:8" ht="15" x14ac:dyDescent="0.25">
      <c r="A60" s="3">
        <v>10040007</v>
      </c>
      <c r="B60" s="11" t="s">
        <v>66</v>
      </c>
      <c r="C60" s="11" t="s">
        <v>2636</v>
      </c>
      <c r="D60" s="1">
        <f t="shared" si="1"/>
        <v>1</v>
      </c>
      <c r="E60" s="10">
        <f t="shared" si="2"/>
        <v>1.03</v>
      </c>
      <c r="F60" s="1">
        <v>1</v>
      </c>
      <c r="G60" s="5"/>
      <c r="H60" s="1" t="s">
        <v>2556</v>
      </c>
    </row>
    <row r="61" spans="1:8" ht="15" x14ac:dyDescent="0.25">
      <c r="A61" s="3">
        <v>10040007</v>
      </c>
      <c r="B61" s="11" t="s">
        <v>66</v>
      </c>
      <c r="C61" s="11" t="s">
        <v>1284</v>
      </c>
      <c r="D61" s="1">
        <f t="shared" si="1"/>
        <v>340</v>
      </c>
      <c r="E61" s="10">
        <f t="shared" si="2"/>
        <v>1.03</v>
      </c>
      <c r="F61" s="1">
        <v>330</v>
      </c>
      <c r="H61" s="1" t="s">
        <v>2556</v>
      </c>
    </row>
    <row r="62" spans="1:8" ht="15" x14ac:dyDescent="0.25">
      <c r="A62" s="3">
        <v>10050001</v>
      </c>
      <c r="B62" s="11" t="s">
        <v>68</v>
      </c>
      <c r="C62" s="11" t="s">
        <v>1285</v>
      </c>
      <c r="D62" s="1">
        <f t="shared" si="1"/>
        <v>178</v>
      </c>
      <c r="E62" s="1">
        <v>1</v>
      </c>
      <c r="F62" s="1">
        <v>177.5</v>
      </c>
      <c r="H62" s="1" t="s">
        <v>2428</v>
      </c>
    </row>
    <row r="63" spans="1:8" ht="15" x14ac:dyDescent="0.25">
      <c r="A63" s="3">
        <v>10050002</v>
      </c>
      <c r="B63" s="11" t="s">
        <v>69</v>
      </c>
      <c r="C63" s="11" t="s">
        <v>1285</v>
      </c>
      <c r="D63" s="1">
        <f t="shared" si="1"/>
        <v>178</v>
      </c>
      <c r="E63" s="1">
        <v>1</v>
      </c>
      <c r="F63" s="1">
        <v>177.5</v>
      </c>
      <c r="H63" s="1" t="s">
        <v>2428</v>
      </c>
    </row>
    <row r="64" spans="1:8" ht="15" x14ac:dyDescent="0.25">
      <c r="A64" s="16">
        <v>10050002</v>
      </c>
      <c r="B64" s="11" t="s">
        <v>69</v>
      </c>
      <c r="C64" s="11" t="s">
        <v>25</v>
      </c>
      <c r="D64" s="4">
        <v>5</v>
      </c>
    </row>
    <row r="65" spans="1:11" ht="15" x14ac:dyDescent="0.25">
      <c r="A65" s="24">
        <v>10050003</v>
      </c>
      <c r="B65" s="25" t="s">
        <v>3217</v>
      </c>
      <c r="C65" s="25" t="s">
        <v>28</v>
      </c>
      <c r="D65" s="4">
        <v>340</v>
      </c>
      <c r="H65" s="1" t="s">
        <v>2429</v>
      </c>
    </row>
    <row r="66" spans="1:11" ht="15" x14ac:dyDescent="0.25">
      <c r="A66" s="3">
        <v>10050004</v>
      </c>
      <c r="B66" s="11" t="s">
        <v>70</v>
      </c>
      <c r="C66" s="11" t="s">
        <v>1286</v>
      </c>
      <c r="D66" s="1">
        <f t="shared" ref="D66:D73" si="3">E66*F66</f>
        <v>177.5</v>
      </c>
      <c r="E66" s="1">
        <v>1</v>
      </c>
      <c r="F66" s="1">
        <v>177.5</v>
      </c>
      <c r="H66" s="1" t="s">
        <v>2429</v>
      </c>
      <c r="I66" s="1" t="s">
        <v>3002</v>
      </c>
      <c r="K66" s="2"/>
    </row>
    <row r="67" spans="1:11" ht="15" x14ac:dyDescent="0.25">
      <c r="A67" s="3">
        <v>10050004</v>
      </c>
      <c r="B67" s="11" t="s">
        <v>67</v>
      </c>
      <c r="C67" s="11" t="s">
        <v>25</v>
      </c>
      <c r="D67" s="1">
        <f t="shared" si="3"/>
        <v>5</v>
      </c>
      <c r="E67" s="1">
        <v>1</v>
      </c>
      <c r="F67" s="1">
        <v>5</v>
      </c>
      <c r="H67" s="1" t="s">
        <v>2429</v>
      </c>
    </row>
    <row r="68" spans="1:11" ht="15" x14ac:dyDescent="0.25">
      <c r="A68" s="20">
        <v>10050004</v>
      </c>
      <c r="B68" s="11" t="s">
        <v>67</v>
      </c>
      <c r="C68" s="11" t="s">
        <v>28</v>
      </c>
      <c r="D68" s="1">
        <f t="shared" si="3"/>
        <v>330</v>
      </c>
      <c r="E68" s="1">
        <v>1</v>
      </c>
      <c r="F68" s="1">
        <v>330</v>
      </c>
      <c r="H68" s="1" t="s">
        <v>2429</v>
      </c>
    </row>
    <row r="69" spans="1:11" ht="15" x14ac:dyDescent="0.25">
      <c r="A69" s="3">
        <v>10050004</v>
      </c>
      <c r="B69" s="11" t="s">
        <v>67</v>
      </c>
      <c r="C69" s="11" t="s">
        <v>2636</v>
      </c>
      <c r="D69" s="1">
        <f t="shared" si="3"/>
        <v>1</v>
      </c>
      <c r="E69" s="1">
        <v>1</v>
      </c>
      <c r="F69" s="1">
        <v>1</v>
      </c>
      <c r="H69" s="1" t="s">
        <v>2429</v>
      </c>
    </row>
    <row r="70" spans="1:11" ht="15" x14ac:dyDescent="0.25">
      <c r="A70" s="16">
        <v>10050004</v>
      </c>
      <c r="B70" s="11" t="s">
        <v>67</v>
      </c>
      <c r="C70" s="11" t="s">
        <v>26</v>
      </c>
      <c r="D70" s="1">
        <f t="shared" si="3"/>
        <v>8</v>
      </c>
      <c r="E70" s="1">
        <v>1</v>
      </c>
      <c r="F70" s="1">
        <v>8</v>
      </c>
      <c r="H70" s="1" t="s">
        <v>2429</v>
      </c>
    </row>
    <row r="71" spans="1:11" ht="15" x14ac:dyDescent="0.25">
      <c r="A71" s="3">
        <v>10050004</v>
      </c>
      <c r="B71" s="11" t="s">
        <v>70</v>
      </c>
      <c r="C71" s="11" t="s">
        <v>1287</v>
      </c>
      <c r="D71" s="1">
        <f t="shared" si="3"/>
        <v>152</v>
      </c>
      <c r="E71" s="1">
        <v>1</v>
      </c>
      <c r="F71" s="1">
        <v>152</v>
      </c>
      <c r="H71" s="1" t="s">
        <v>2429</v>
      </c>
    </row>
    <row r="72" spans="1:11" ht="15" x14ac:dyDescent="0.25">
      <c r="A72" s="16">
        <v>10050005</v>
      </c>
      <c r="B72" s="11" t="s">
        <v>71</v>
      </c>
      <c r="C72" s="11" t="s">
        <v>26</v>
      </c>
      <c r="D72" s="1">
        <f t="shared" si="3"/>
        <v>8</v>
      </c>
      <c r="E72" s="1">
        <v>1</v>
      </c>
      <c r="F72" s="1">
        <v>8</v>
      </c>
      <c r="H72" s="1" t="s">
        <v>2429</v>
      </c>
    </row>
    <row r="73" spans="1:11" ht="15" x14ac:dyDescent="0.25">
      <c r="A73" s="3">
        <v>10050005</v>
      </c>
      <c r="B73" s="11" t="s">
        <v>71</v>
      </c>
      <c r="C73" s="11" t="s">
        <v>1287</v>
      </c>
      <c r="D73" s="4">
        <f t="shared" si="3"/>
        <v>152</v>
      </c>
      <c r="E73" s="1">
        <v>1</v>
      </c>
      <c r="F73" s="1">
        <v>152</v>
      </c>
      <c r="H73" s="1" t="s">
        <v>2429</v>
      </c>
    </row>
    <row r="74" spans="1:11" ht="15" x14ac:dyDescent="0.25">
      <c r="A74" s="16">
        <v>10050005</v>
      </c>
      <c r="B74" s="11" t="s">
        <v>71</v>
      </c>
      <c r="C74" s="11" t="s">
        <v>25</v>
      </c>
      <c r="D74" s="4">
        <v>5</v>
      </c>
    </row>
    <row r="75" spans="1:11" ht="15" x14ac:dyDescent="0.25">
      <c r="A75" s="3">
        <v>10050006</v>
      </c>
      <c r="B75" s="11" t="s">
        <v>72</v>
      </c>
      <c r="C75" s="11" t="s">
        <v>2636</v>
      </c>
      <c r="D75" s="1">
        <f>E75*F75</f>
        <v>1</v>
      </c>
      <c r="E75" s="1">
        <v>1</v>
      </c>
      <c r="F75" s="1">
        <v>1</v>
      </c>
      <c r="H75" s="1" t="s">
        <v>2429</v>
      </c>
    </row>
    <row r="76" spans="1:11" ht="15" x14ac:dyDescent="0.25">
      <c r="A76" s="24">
        <v>10050006</v>
      </c>
      <c r="B76" s="25" t="s">
        <v>72</v>
      </c>
      <c r="C76" s="25" t="s">
        <v>28</v>
      </c>
      <c r="D76" s="1">
        <v>330</v>
      </c>
      <c r="H76" s="1" t="s">
        <v>2429</v>
      </c>
    </row>
    <row r="77" spans="1:11" ht="15" x14ac:dyDescent="0.25">
      <c r="A77" s="3">
        <v>10050006</v>
      </c>
      <c r="B77" s="11" t="s">
        <v>72</v>
      </c>
      <c r="C77" s="11" t="s">
        <v>1287</v>
      </c>
      <c r="D77" s="1">
        <f>E77*F77</f>
        <v>177.5</v>
      </c>
      <c r="E77" s="1">
        <v>1</v>
      </c>
      <c r="F77" s="1">
        <v>177.5</v>
      </c>
      <c r="H77" s="1" t="s">
        <v>2429</v>
      </c>
    </row>
    <row r="78" spans="1:11" ht="15" x14ac:dyDescent="0.25">
      <c r="A78" s="3">
        <v>10060001</v>
      </c>
      <c r="B78" s="11" t="s">
        <v>73</v>
      </c>
      <c r="C78" s="11" t="s">
        <v>1289</v>
      </c>
      <c r="D78" s="4">
        <v>1</v>
      </c>
      <c r="E78" s="1">
        <v>1</v>
      </c>
      <c r="F78" s="1"/>
      <c r="G78" s="4"/>
      <c r="H78" s="1" t="s">
        <v>3004</v>
      </c>
    </row>
    <row r="79" spans="1:11" ht="15" x14ac:dyDescent="0.25">
      <c r="A79" s="3">
        <v>10060001</v>
      </c>
      <c r="B79" s="11" t="s">
        <v>73</v>
      </c>
      <c r="C79" s="11" t="s">
        <v>2636</v>
      </c>
      <c r="D79" s="1">
        <f>E79*F79</f>
        <v>1</v>
      </c>
      <c r="E79" s="1">
        <v>1</v>
      </c>
      <c r="F79" s="1">
        <v>1</v>
      </c>
      <c r="G79" s="4"/>
      <c r="H79" s="1" t="s">
        <v>3004</v>
      </c>
    </row>
    <row r="80" spans="1:11" ht="15" x14ac:dyDescent="0.25">
      <c r="A80" s="3">
        <v>10060001</v>
      </c>
      <c r="B80" s="11" t="s">
        <v>73</v>
      </c>
      <c r="C80" s="11" t="s">
        <v>1288</v>
      </c>
      <c r="D80" s="1">
        <f>E80*F80</f>
        <v>330</v>
      </c>
      <c r="E80" s="1">
        <v>1</v>
      </c>
      <c r="F80" s="1">
        <v>330</v>
      </c>
      <c r="H80" s="1" t="s">
        <v>3004</v>
      </c>
      <c r="I80" s="5"/>
    </row>
    <row r="81" spans="1:46" ht="15" x14ac:dyDescent="0.25">
      <c r="A81" s="16">
        <v>11010001</v>
      </c>
      <c r="B81" s="11" t="s">
        <v>86</v>
      </c>
      <c r="C81" s="11" t="s">
        <v>1304</v>
      </c>
      <c r="D81" s="1">
        <f t="shared" ref="D81:D92" si="4">G81</f>
        <v>56</v>
      </c>
      <c r="F81" s="1"/>
      <c r="G81" s="1">
        <v>56</v>
      </c>
      <c r="H81" s="1" t="s">
        <v>2565</v>
      </c>
      <c r="I81" s="5" t="s">
        <v>2566</v>
      </c>
    </row>
    <row r="82" spans="1:46" ht="15" x14ac:dyDescent="0.25">
      <c r="A82" s="16">
        <v>11010001</v>
      </c>
      <c r="B82" s="11" t="s">
        <v>74</v>
      </c>
      <c r="C82" s="11" t="s">
        <v>13</v>
      </c>
      <c r="D82" s="1">
        <f t="shared" si="4"/>
        <v>56</v>
      </c>
      <c r="E82" s="4"/>
      <c r="F82" s="1" t="s">
        <v>3132</v>
      </c>
      <c r="G82" s="1">
        <v>56</v>
      </c>
      <c r="H82" s="1" t="s">
        <v>3135</v>
      </c>
      <c r="I82" s="1" t="s">
        <v>3132</v>
      </c>
      <c r="J82" s="1" t="s">
        <v>3132</v>
      </c>
    </row>
    <row r="83" spans="1:46" ht="15" x14ac:dyDescent="0.25">
      <c r="A83" s="3">
        <v>11010001</v>
      </c>
      <c r="B83" s="11" t="s">
        <v>74</v>
      </c>
      <c r="C83" s="11" t="s">
        <v>2674</v>
      </c>
      <c r="D83" s="1">
        <f t="shared" si="4"/>
        <v>56</v>
      </c>
      <c r="F83" s="1"/>
      <c r="G83" s="1">
        <v>56</v>
      </c>
      <c r="H83" s="1" t="s">
        <v>2565</v>
      </c>
    </row>
    <row r="84" spans="1:46" ht="15" x14ac:dyDescent="0.25">
      <c r="A84" s="3">
        <v>11010001</v>
      </c>
      <c r="B84" s="11" t="s">
        <v>74</v>
      </c>
      <c r="C84" s="11" t="s">
        <v>29</v>
      </c>
      <c r="D84" s="1">
        <f t="shared" si="4"/>
        <v>56</v>
      </c>
      <c r="F84" s="1"/>
      <c r="G84" s="1">
        <v>56</v>
      </c>
      <c r="H84" s="1" t="s">
        <v>2565</v>
      </c>
    </row>
    <row r="85" spans="1:46" ht="15" x14ac:dyDescent="0.25">
      <c r="A85" s="3">
        <v>11010001</v>
      </c>
      <c r="B85" s="11" t="s">
        <v>76</v>
      </c>
      <c r="C85" s="11" t="s">
        <v>1291</v>
      </c>
      <c r="D85" s="1">
        <f t="shared" si="4"/>
        <v>56</v>
      </c>
      <c r="F85" s="1"/>
      <c r="G85" s="1">
        <v>56</v>
      </c>
      <c r="H85" s="1" t="s">
        <v>2565</v>
      </c>
      <c r="I85" s="1" t="s">
        <v>2561</v>
      </c>
    </row>
    <row r="86" spans="1:46" ht="15" x14ac:dyDescent="0.25">
      <c r="A86" s="3">
        <v>11010001</v>
      </c>
      <c r="B86" s="11" t="s">
        <v>78</v>
      </c>
      <c r="C86" s="11" t="s">
        <v>1292</v>
      </c>
      <c r="D86" s="1">
        <f t="shared" si="4"/>
        <v>70</v>
      </c>
      <c r="F86" s="1"/>
      <c r="G86" s="1">
        <v>70</v>
      </c>
      <c r="H86" s="1" t="s">
        <v>2564</v>
      </c>
      <c r="I86" s="1" t="s">
        <v>2561</v>
      </c>
    </row>
    <row r="87" spans="1:46" ht="15" x14ac:dyDescent="0.25">
      <c r="A87" s="3">
        <v>11010001</v>
      </c>
      <c r="B87" s="11" t="s">
        <v>74</v>
      </c>
      <c r="C87" s="11" t="s">
        <v>1290</v>
      </c>
      <c r="D87" s="1">
        <f t="shared" si="4"/>
        <v>28</v>
      </c>
      <c r="F87" s="1"/>
      <c r="G87" s="1">
        <v>28</v>
      </c>
      <c r="H87" s="1" t="s">
        <v>2563</v>
      </c>
      <c r="I87" s="1" t="s">
        <v>2561</v>
      </c>
    </row>
    <row r="88" spans="1:46" ht="15" x14ac:dyDescent="0.25">
      <c r="A88" s="3">
        <v>11010001</v>
      </c>
      <c r="B88" s="11" t="s">
        <v>78</v>
      </c>
      <c r="C88" s="11" t="s">
        <v>1293</v>
      </c>
      <c r="D88" s="5">
        <f t="shared" si="4"/>
        <v>116</v>
      </c>
      <c r="E88" s="5"/>
      <c r="F88" s="5"/>
      <c r="G88" s="5">
        <v>116</v>
      </c>
      <c r="H88" s="5" t="s">
        <v>2562</v>
      </c>
      <c r="I88" s="5" t="s">
        <v>2561</v>
      </c>
    </row>
    <row r="89" spans="1:46" ht="15" x14ac:dyDescent="0.25">
      <c r="A89" s="16">
        <v>11010002</v>
      </c>
      <c r="B89" s="11" t="s">
        <v>81</v>
      </c>
      <c r="C89" s="11" t="s">
        <v>1297</v>
      </c>
      <c r="D89" s="5">
        <f t="shared" si="4"/>
        <v>14</v>
      </c>
      <c r="F89" s="1"/>
      <c r="G89" s="5">
        <v>14</v>
      </c>
      <c r="H89" s="5" t="s">
        <v>2565</v>
      </c>
      <c r="I89" s="1" t="s">
        <v>2558</v>
      </c>
    </row>
    <row r="90" spans="1:46" ht="15" x14ac:dyDescent="0.25">
      <c r="A90" s="16">
        <v>11010002</v>
      </c>
      <c r="B90" s="11" t="s">
        <v>81</v>
      </c>
      <c r="C90" s="11" t="s">
        <v>1298</v>
      </c>
      <c r="D90" s="1">
        <f t="shared" si="4"/>
        <v>28</v>
      </c>
      <c r="F90" s="1"/>
      <c r="G90" s="1">
        <v>28</v>
      </c>
      <c r="H90" s="5" t="s">
        <v>2565</v>
      </c>
      <c r="I90" s="5" t="s">
        <v>2557</v>
      </c>
    </row>
    <row r="91" spans="1:46" s="11" customFormat="1" ht="15" x14ac:dyDescent="0.25">
      <c r="A91" s="3">
        <v>11010002</v>
      </c>
      <c r="B91" s="11" t="s">
        <v>83</v>
      </c>
      <c r="C91" s="11" t="s">
        <v>1302</v>
      </c>
      <c r="D91" s="1">
        <f t="shared" si="4"/>
        <v>28</v>
      </c>
      <c r="E91" s="1"/>
      <c r="F91" s="1"/>
      <c r="G91" s="1">
        <v>28</v>
      </c>
      <c r="H91" s="1" t="s">
        <v>2563</v>
      </c>
      <c r="I91" s="1" t="s">
        <v>2560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5" x14ac:dyDescent="0.25">
      <c r="A92" s="16">
        <v>11010002</v>
      </c>
      <c r="B92" s="11" t="s">
        <v>81</v>
      </c>
      <c r="C92" s="11" t="s">
        <v>1299</v>
      </c>
      <c r="D92" s="1">
        <f t="shared" si="4"/>
        <v>56</v>
      </c>
      <c r="F92" s="1"/>
      <c r="G92" s="1">
        <v>56</v>
      </c>
      <c r="H92" s="1" t="s">
        <v>2565</v>
      </c>
      <c r="I92" s="1" t="s">
        <v>2559</v>
      </c>
    </row>
    <row r="93" spans="1:46" ht="15" x14ac:dyDescent="0.25">
      <c r="A93" s="24">
        <v>11010002</v>
      </c>
      <c r="B93" s="25" t="s">
        <v>75</v>
      </c>
      <c r="C93" s="25" t="s">
        <v>2674</v>
      </c>
      <c r="D93" s="21">
        <v>56</v>
      </c>
      <c r="E93" s="11"/>
      <c r="F93" s="2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</row>
    <row r="94" spans="1:46" ht="15" x14ac:dyDescent="0.25">
      <c r="A94" s="3">
        <v>11010002</v>
      </c>
      <c r="B94" s="11" t="s">
        <v>79</v>
      </c>
      <c r="C94" s="11" t="s">
        <v>1294</v>
      </c>
      <c r="D94" s="1">
        <f t="shared" ref="D94:D110" si="5">G94</f>
        <v>70</v>
      </c>
      <c r="F94" s="1"/>
      <c r="G94" s="1">
        <v>70</v>
      </c>
      <c r="H94" s="5" t="s">
        <v>2564</v>
      </c>
    </row>
    <row r="95" spans="1:46" ht="15" x14ac:dyDescent="0.25">
      <c r="A95" s="3">
        <v>11010002</v>
      </c>
      <c r="B95" s="11" t="s">
        <v>75</v>
      </c>
      <c r="C95" s="11" t="s">
        <v>1290</v>
      </c>
      <c r="D95" s="1">
        <f t="shared" si="5"/>
        <v>28</v>
      </c>
      <c r="F95" s="1"/>
      <c r="G95" s="1">
        <v>28</v>
      </c>
      <c r="H95" s="1" t="s">
        <v>2563</v>
      </c>
    </row>
    <row r="96" spans="1:46" ht="15" x14ac:dyDescent="0.25">
      <c r="A96" s="3">
        <v>11010002</v>
      </c>
      <c r="B96" s="11" t="s">
        <v>77</v>
      </c>
      <c r="C96" s="11" t="s">
        <v>1291</v>
      </c>
      <c r="D96" s="1">
        <f t="shared" si="5"/>
        <v>56</v>
      </c>
      <c r="F96" s="1"/>
      <c r="G96" s="1">
        <v>56</v>
      </c>
      <c r="H96" s="1" t="s">
        <v>2565</v>
      </c>
    </row>
    <row r="97" spans="1:46" ht="15" x14ac:dyDescent="0.25">
      <c r="A97" s="3">
        <v>11010002</v>
      </c>
      <c r="B97" s="11" t="s">
        <v>79</v>
      </c>
      <c r="C97" s="11" t="s">
        <v>1295</v>
      </c>
      <c r="D97" s="1">
        <f t="shared" si="5"/>
        <v>116</v>
      </c>
      <c r="F97" s="1"/>
      <c r="G97" s="1">
        <v>116</v>
      </c>
      <c r="H97" s="1" t="s">
        <v>2562</v>
      </c>
    </row>
    <row r="98" spans="1:46" ht="15" x14ac:dyDescent="0.25">
      <c r="A98" s="3">
        <v>11010003</v>
      </c>
      <c r="B98" s="11" t="s">
        <v>87</v>
      </c>
      <c r="C98" s="11" t="s">
        <v>1305</v>
      </c>
      <c r="D98" s="1">
        <f t="shared" si="5"/>
        <v>50</v>
      </c>
      <c r="F98" s="1"/>
      <c r="G98" s="1">
        <v>50</v>
      </c>
      <c r="H98" s="5" t="s">
        <v>2755</v>
      </c>
    </row>
    <row r="99" spans="1:46" s="2" customFormat="1" ht="15" x14ac:dyDescent="0.25">
      <c r="A99" s="3">
        <v>11010004</v>
      </c>
      <c r="B99" s="11" t="s">
        <v>88</v>
      </c>
      <c r="C99" s="11" t="s">
        <v>1305</v>
      </c>
      <c r="D99" s="1">
        <f t="shared" si="5"/>
        <v>50</v>
      </c>
      <c r="E99" s="1"/>
      <c r="F99" s="1"/>
      <c r="G99" s="1">
        <v>50</v>
      </c>
      <c r="H99" s="1" t="s">
        <v>2755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5" x14ac:dyDescent="0.25">
      <c r="A100" s="16">
        <v>11010005</v>
      </c>
      <c r="B100" s="11" t="s">
        <v>82</v>
      </c>
      <c r="C100" s="11" t="s">
        <v>1300</v>
      </c>
      <c r="D100" s="1">
        <f t="shared" si="5"/>
        <v>32</v>
      </c>
      <c r="F100" s="1"/>
      <c r="G100" s="1">
        <v>32</v>
      </c>
      <c r="H100" s="1" t="s">
        <v>2756</v>
      </c>
      <c r="I100" s="1" t="s">
        <v>2682</v>
      </c>
    </row>
    <row r="101" spans="1:46" ht="14.1" customHeight="1" x14ac:dyDescent="0.25">
      <c r="A101" s="3">
        <v>11010005</v>
      </c>
      <c r="B101" s="11" t="s">
        <v>82</v>
      </c>
      <c r="C101" s="11" t="s">
        <v>0</v>
      </c>
      <c r="D101" s="1">
        <f t="shared" si="5"/>
        <v>32</v>
      </c>
      <c r="F101" s="1"/>
      <c r="G101" s="1">
        <v>32</v>
      </c>
      <c r="H101" s="1" t="s">
        <v>2756</v>
      </c>
      <c r="I101" s="1" t="s">
        <v>2682</v>
      </c>
    </row>
    <row r="102" spans="1:46" ht="15" x14ac:dyDescent="0.25">
      <c r="A102" s="16">
        <v>11010005</v>
      </c>
      <c r="B102" s="11" t="s">
        <v>82</v>
      </c>
      <c r="C102" s="11" t="s">
        <v>1301</v>
      </c>
      <c r="D102" s="1">
        <f t="shared" si="5"/>
        <v>64</v>
      </c>
      <c r="F102" s="1"/>
      <c r="G102" s="1">
        <v>64</v>
      </c>
      <c r="H102" s="1" t="s">
        <v>2756</v>
      </c>
      <c r="I102" s="1" t="s">
        <v>2567</v>
      </c>
    </row>
    <row r="103" spans="1:46" ht="15" x14ac:dyDescent="0.25">
      <c r="A103" s="3">
        <v>11010005</v>
      </c>
      <c r="B103" s="11" t="s">
        <v>82</v>
      </c>
      <c r="C103" s="11" t="s">
        <v>3</v>
      </c>
      <c r="D103" s="1">
        <f t="shared" si="5"/>
        <v>64</v>
      </c>
      <c r="F103" s="1"/>
      <c r="G103" s="1">
        <v>64</v>
      </c>
      <c r="H103" s="1" t="s">
        <v>2756</v>
      </c>
      <c r="I103" s="1" t="s">
        <v>2567</v>
      </c>
    </row>
    <row r="104" spans="1:46" ht="15" x14ac:dyDescent="0.25">
      <c r="A104" s="3">
        <v>11010005</v>
      </c>
      <c r="B104" s="11" t="s">
        <v>89</v>
      </c>
      <c r="C104" s="11" t="s">
        <v>1305</v>
      </c>
      <c r="D104" s="1">
        <f t="shared" si="5"/>
        <v>64</v>
      </c>
      <c r="F104" s="1"/>
      <c r="G104" s="1">
        <v>64</v>
      </c>
      <c r="H104" s="1" t="s">
        <v>2756</v>
      </c>
    </row>
    <row r="105" spans="1:46" ht="15" x14ac:dyDescent="0.25">
      <c r="A105" s="3">
        <v>11010006</v>
      </c>
      <c r="B105" s="11" t="s">
        <v>80</v>
      </c>
      <c r="C105" s="11" t="s">
        <v>1296</v>
      </c>
      <c r="D105" s="1">
        <f t="shared" si="5"/>
        <v>116</v>
      </c>
      <c r="F105" s="1"/>
      <c r="G105" s="1">
        <v>116</v>
      </c>
      <c r="H105" s="1" t="s">
        <v>2562</v>
      </c>
      <c r="I105" s="1" t="s">
        <v>2568</v>
      </c>
    </row>
    <row r="106" spans="1:46" ht="15" x14ac:dyDescent="0.25">
      <c r="A106" s="3">
        <v>11010006</v>
      </c>
      <c r="B106" s="11" t="s">
        <v>90</v>
      </c>
      <c r="C106" s="11" t="s">
        <v>1305</v>
      </c>
      <c r="D106" s="1">
        <f t="shared" si="5"/>
        <v>116</v>
      </c>
      <c r="F106" s="1"/>
      <c r="G106" s="1">
        <v>116</v>
      </c>
      <c r="H106" s="1" t="s">
        <v>2562</v>
      </c>
      <c r="I106" s="1" t="s">
        <v>2569</v>
      </c>
    </row>
    <row r="107" spans="1:46" ht="15" x14ac:dyDescent="0.25">
      <c r="A107" s="16">
        <v>11010007</v>
      </c>
      <c r="B107" s="11" t="s">
        <v>84</v>
      </c>
      <c r="C107" s="11" t="s">
        <v>1303</v>
      </c>
      <c r="D107" s="1">
        <f t="shared" si="5"/>
        <v>83</v>
      </c>
      <c r="F107" s="1"/>
      <c r="G107" s="1">
        <v>83</v>
      </c>
      <c r="H107" s="1" t="s">
        <v>2757</v>
      </c>
      <c r="I107" s="1" t="s">
        <v>2567</v>
      </c>
    </row>
    <row r="108" spans="1:46" ht="15" x14ac:dyDescent="0.25">
      <c r="A108" s="3">
        <v>11010007</v>
      </c>
      <c r="B108" s="11" t="s">
        <v>91</v>
      </c>
      <c r="C108" s="11" t="s">
        <v>1305</v>
      </c>
      <c r="D108" s="1">
        <f t="shared" si="5"/>
        <v>83</v>
      </c>
      <c r="F108" s="1"/>
      <c r="G108" s="1">
        <v>83</v>
      </c>
      <c r="H108" s="1" t="s">
        <v>2757</v>
      </c>
    </row>
    <row r="109" spans="1:46" ht="15" x14ac:dyDescent="0.25">
      <c r="A109" s="16">
        <v>11010008</v>
      </c>
      <c r="B109" s="11" t="s">
        <v>85</v>
      </c>
      <c r="C109" s="11" t="s">
        <v>1303</v>
      </c>
      <c r="D109" s="1">
        <f t="shared" si="5"/>
        <v>34</v>
      </c>
      <c r="F109" s="1"/>
      <c r="G109" s="1">
        <v>34</v>
      </c>
      <c r="H109" s="1" t="s">
        <v>2758</v>
      </c>
      <c r="I109" s="1" t="s">
        <v>2567</v>
      </c>
    </row>
    <row r="110" spans="1:46" ht="15" x14ac:dyDescent="0.25">
      <c r="A110" s="3">
        <v>11010008</v>
      </c>
      <c r="B110" s="11" t="s">
        <v>92</v>
      </c>
      <c r="C110" s="11" t="s">
        <v>1305</v>
      </c>
      <c r="D110" s="1">
        <f t="shared" si="5"/>
        <v>34</v>
      </c>
      <c r="F110" s="1"/>
      <c r="G110" s="1">
        <v>34</v>
      </c>
      <c r="H110" s="1" t="s">
        <v>2758</v>
      </c>
    </row>
    <row r="111" spans="1:46" ht="15" x14ac:dyDescent="0.25">
      <c r="A111" s="16">
        <v>11010009</v>
      </c>
      <c r="B111" s="11" t="s">
        <v>93</v>
      </c>
      <c r="C111" s="11" t="s">
        <v>11</v>
      </c>
      <c r="D111" s="1">
        <v>47</v>
      </c>
      <c r="F111" s="1"/>
      <c r="G111" s="1">
        <v>47</v>
      </c>
      <c r="H111" s="1" t="s">
        <v>2759</v>
      </c>
      <c r="I111" s="1" t="s">
        <v>2682</v>
      </c>
    </row>
    <row r="112" spans="1:46" ht="15" x14ac:dyDescent="0.25">
      <c r="A112" s="3">
        <v>11010009</v>
      </c>
      <c r="B112" s="11" t="s">
        <v>93</v>
      </c>
      <c r="C112" s="11" t="s">
        <v>3</v>
      </c>
      <c r="D112" s="1">
        <v>93</v>
      </c>
      <c r="F112" s="1"/>
      <c r="G112" s="1">
        <v>93</v>
      </c>
      <c r="H112" s="1" t="s">
        <v>2759</v>
      </c>
      <c r="I112" s="1" t="s">
        <v>2567</v>
      </c>
    </row>
    <row r="113" spans="1:46" ht="15" x14ac:dyDescent="0.25">
      <c r="A113" s="3">
        <v>11010009</v>
      </c>
      <c r="B113" s="11" t="s">
        <v>93</v>
      </c>
      <c r="C113" s="11" t="s">
        <v>1305</v>
      </c>
      <c r="D113" s="1">
        <f>G113</f>
        <v>93</v>
      </c>
      <c r="F113" s="1"/>
      <c r="G113" s="1">
        <v>93</v>
      </c>
      <c r="H113" s="1" t="s">
        <v>2759</v>
      </c>
    </row>
    <row r="114" spans="1:46" ht="15" x14ac:dyDescent="0.25">
      <c r="A114" s="3">
        <v>11020001</v>
      </c>
      <c r="B114" s="11" t="s">
        <v>95</v>
      </c>
      <c r="C114" s="11" t="s">
        <v>1307</v>
      </c>
      <c r="D114" s="1">
        <f>G114</f>
        <v>1.5</v>
      </c>
      <c r="F114" s="1"/>
      <c r="G114" s="1">
        <v>1.5</v>
      </c>
      <c r="H114" s="1" t="s">
        <v>2760</v>
      </c>
      <c r="I114" s="1" t="s">
        <v>2574</v>
      </c>
    </row>
    <row r="115" spans="1:46" ht="15" x14ac:dyDescent="0.25">
      <c r="A115" s="16">
        <v>11020001</v>
      </c>
      <c r="B115" s="11" t="s">
        <v>143</v>
      </c>
      <c r="C115" s="11" t="s">
        <v>26</v>
      </c>
      <c r="D115" s="1">
        <v>2</v>
      </c>
      <c r="F115" s="1"/>
      <c r="G115" s="1">
        <v>1.5</v>
      </c>
      <c r="H115" s="1" t="s">
        <v>2760</v>
      </c>
      <c r="I115" s="1" t="s">
        <v>2574</v>
      </c>
    </row>
    <row r="116" spans="1:46" ht="15" x14ac:dyDescent="0.25">
      <c r="A116" s="3">
        <v>11020001</v>
      </c>
      <c r="B116" s="11" t="s">
        <v>143</v>
      </c>
      <c r="C116" s="11" t="s">
        <v>1357</v>
      </c>
      <c r="D116" s="1">
        <v>2</v>
      </c>
      <c r="F116" s="1"/>
      <c r="G116" s="1">
        <v>1.5</v>
      </c>
      <c r="H116" s="1" t="s">
        <v>2760</v>
      </c>
      <c r="I116" s="1" t="s">
        <v>2574</v>
      </c>
    </row>
    <row r="117" spans="1:46" ht="15" x14ac:dyDescent="0.25">
      <c r="A117" s="24">
        <v>11020001</v>
      </c>
      <c r="B117" s="25" t="s">
        <v>95</v>
      </c>
      <c r="C117" s="25" t="s">
        <v>18</v>
      </c>
      <c r="D117" s="4">
        <v>4</v>
      </c>
      <c r="H117" s="1" t="s">
        <v>2760</v>
      </c>
    </row>
    <row r="118" spans="1:46" ht="15" x14ac:dyDescent="0.25">
      <c r="A118" s="20">
        <v>11020001</v>
      </c>
      <c r="B118" s="11" t="s">
        <v>95</v>
      </c>
      <c r="C118" s="11" t="s">
        <v>19</v>
      </c>
      <c r="D118" s="1">
        <f>G118</f>
        <v>14</v>
      </c>
      <c r="F118" s="1"/>
      <c r="G118" s="1">
        <v>14</v>
      </c>
      <c r="H118" s="1" t="s">
        <v>2760</v>
      </c>
      <c r="I118" s="1" t="s">
        <v>2575</v>
      </c>
    </row>
    <row r="119" spans="1:46" ht="15" x14ac:dyDescent="0.25">
      <c r="A119" s="24">
        <v>11020001</v>
      </c>
      <c r="B119" s="25" t="s">
        <v>95</v>
      </c>
      <c r="C119" s="25" t="s">
        <v>24</v>
      </c>
      <c r="D119" s="4">
        <v>18</v>
      </c>
      <c r="H119" s="1" t="s">
        <v>2760</v>
      </c>
    </row>
    <row r="120" spans="1:46" ht="15" x14ac:dyDescent="0.25">
      <c r="A120" s="24">
        <v>11020001</v>
      </c>
      <c r="B120" s="25" t="s">
        <v>95</v>
      </c>
      <c r="C120" s="25" t="s">
        <v>0</v>
      </c>
      <c r="D120" s="4">
        <v>18</v>
      </c>
      <c r="H120" s="1" t="s">
        <v>2760</v>
      </c>
    </row>
    <row r="121" spans="1:46" ht="14.1" customHeight="1" x14ac:dyDescent="0.25">
      <c r="A121" s="3">
        <v>11020001</v>
      </c>
      <c r="B121" s="11" t="s">
        <v>135</v>
      </c>
      <c r="C121" s="11" t="s">
        <v>1346</v>
      </c>
      <c r="D121" s="4">
        <v>36</v>
      </c>
      <c r="F121" s="1"/>
      <c r="G121" s="5">
        <v>36</v>
      </c>
      <c r="H121" s="1" t="s">
        <v>2760</v>
      </c>
      <c r="I121" s="1" t="s">
        <v>2576</v>
      </c>
    </row>
    <row r="122" spans="1:46" ht="15" x14ac:dyDescent="0.25">
      <c r="A122" s="24">
        <v>11020001</v>
      </c>
      <c r="B122" s="25" t="s">
        <v>95</v>
      </c>
      <c r="C122" s="25" t="s">
        <v>1</v>
      </c>
      <c r="D122" s="4">
        <v>36</v>
      </c>
      <c r="H122" s="1" t="s">
        <v>2760</v>
      </c>
    </row>
    <row r="123" spans="1:46" ht="15" x14ac:dyDescent="0.25">
      <c r="A123" s="16">
        <v>11020001</v>
      </c>
      <c r="B123" s="11" t="s">
        <v>140</v>
      </c>
      <c r="C123" s="11" t="s">
        <v>1353</v>
      </c>
      <c r="D123" s="1">
        <f t="shared" ref="D123:D133" si="6">G123</f>
        <v>1.5</v>
      </c>
      <c r="F123" s="10"/>
      <c r="G123" s="5">
        <v>1.5</v>
      </c>
      <c r="H123" s="1" t="s">
        <v>2760</v>
      </c>
      <c r="I123" s="1" t="s">
        <v>2574</v>
      </c>
      <c r="AT123" s="2"/>
    </row>
    <row r="124" spans="1:46" ht="15" x14ac:dyDescent="0.25">
      <c r="A124" s="16">
        <v>11020001</v>
      </c>
      <c r="B124" s="11" t="s">
        <v>123</v>
      </c>
      <c r="C124" s="11" t="s">
        <v>1335</v>
      </c>
      <c r="D124" s="1">
        <f t="shared" si="6"/>
        <v>1.5</v>
      </c>
      <c r="F124" s="1"/>
      <c r="G124" s="1">
        <v>1.5</v>
      </c>
      <c r="H124" s="1" t="s">
        <v>2760</v>
      </c>
      <c r="I124" s="1" t="s">
        <v>2574</v>
      </c>
    </row>
    <row r="125" spans="1:46" ht="14.1" customHeight="1" x14ac:dyDescent="0.25">
      <c r="A125" s="3">
        <v>11020001</v>
      </c>
      <c r="B125" s="11" t="s">
        <v>132</v>
      </c>
      <c r="C125" s="11" t="s">
        <v>1343</v>
      </c>
      <c r="D125" s="1">
        <f t="shared" si="6"/>
        <v>6</v>
      </c>
      <c r="F125" s="1"/>
      <c r="G125" s="1">
        <v>6</v>
      </c>
      <c r="H125" s="1" t="s">
        <v>2760</v>
      </c>
      <c r="I125" s="1" t="s">
        <v>2570</v>
      </c>
    </row>
    <row r="126" spans="1:46" ht="15" x14ac:dyDescent="0.25">
      <c r="A126" s="3">
        <v>11020001</v>
      </c>
      <c r="B126" s="11" t="s">
        <v>135</v>
      </c>
      <c r="C126" s="11" t="s">
        <v>1347</v>
      </c>
      <c r="D126" s="1">
        <f t="shared" si="6"/>
        <v>21</v>
      </c>
      <c r="F126" s="1"/>
      <c r="G126" s="1">
        <v>21</v>
      </c>
      <c r="H126" s="1" t="s">
        <v>2760</v>
      </c>
      <c r="I126" s="1" t="s">
        <v>2573</v>
      </c>
    </row>
    <row r="127" spans="1:46" ht="15" x14ac:dyDescent="0.25">
      <c r="A127" s="16">
        <v>11020001</v>
      </c>
      <c r="B127" s="11" t="s">
        <v>128</v>
      </c>
      <c r="C127" s="11" t="s">
        <v>1340</v>
      </c>
      <c r="D127" s="1">
        <f t="shared" si="6"/>
        <v>3</v>
      </c>
      <c r="F127" s="1"/>
      <c r="G127" s="1">
        <v>3</v>
      </c>
      <c r="H127" s="1" t="s">
        <v>2760</v>
      </c>
      <c r="I127" s="1" t="s">
        <v>2572</v>
      </c>
    </row>
    <row r="128" spans="1:46" ht="15" x14ac:dyDescent="0.25">
      <c r="A128" s="3">
        <v>11020001</v>
      </c>
      <c r="B128" s="11" t="s">
        <v>103</v>
      </c>
      <c r="C128" s="11" t="s">
        <v>1316</v>
      </c>
      <c r="D128" s="1">
        <f t="shared" si="6"/>
        <v>12</v>
      </c>
      <c r="F128" s="1"/>
      <c r="G128" s="1">
        <v>12</v>
      </c>
      <c r="H128" s="1" t="s">
        <v>2760</v>
      </c>
      <c r="I128" s="1" t="s">
        <v>2440</v>
      </c>
    </row>
    <row r="129" spans="1:9" ht="15" x14ac:dyDescent="0.25">
      <c r="A129" s="16">
        <v>11020001</v>
      </c>
      <c r="B129" s="11" t="s">
        <v>130</v>
      </c>
      <c r="C129" s="11" t="s">
        <v>1342</v>
      </c>
      <c r="D129" s="1">
        <f t="shared" si="6"/>
        <v>6</v>
      </c>
      <c r="F129" s="1"/>
      <c r="G129" s="1">
        <v>6</v>
      </c>
      <c r="H129" s="1" t="s">
        <v>2760</v>
      </c>
      <c r="I129" s="1" t="s">
        <v>2570</v>
      </c>
    </row>
    <row r="130" spans="1:9" ht="15" x14ac:dyDescent="0.25">
      <c r="A130" s="3">
        <v>11020001</v>
      </c>
      <c r="B130" s="11" t="s">
        <v>98</v>
      </c>
      <c r="C130" s="11" t="s">
        <v>1311</v>
      </c>
      <c r="D130" s="1">
        <f t="shared" si="6"/>
        <v>6</v>
      </c>
      <c r="F130" s="1"/>
      <c r="G130" s="1">
        <v>6</v>
      </c>
      <c r="H130" s="1" t="s">
        <v>2760</v>
      </c>
      <c r="I130" s="1" t="s">
        <v>2440</v>
      </c>
    </row>
    <row r="131" spans="1:9" ht="15" x14ac:dyDescent="0.25">
      <c r="A131" s="3">
        <v>11020001</v>
      </c>
      <c r="B131" s="11" t="s">
        <v>107</v>
      </c>
      <c r="C131" s="11" t="s">
        <v>1320</v>
      </c>
      <c r="D131" s="1">
        <f t="shared" si="6"/>
        <v>21</v>
      </c>
      <c r="F131" s="1"/>
      <c r="G131" s="1">
        <v>21</v>
      </c>
      <c r="H131" s="1" t="s">
        <v>2760</v>
      </c>
      <c r="I131" s="1" t="s">
        <v>2571</v>
      </c>
    </row>
    <row r="132" spans="1:9" ht="15" x14ac:dyDescent="0.25">
      <c r="A132" s="3">
        <v>11020001</v>
      </c>
      <c r="B132" s="11" t="s">
        <v>98</v>
      </c>
      <c r="C132" s="11" t="s">
        <v>1312</v>
      </c>
      <c r="D132" s="1">
        <f t="shared" si="6"/>
        <v>12</v>
      </c>
      <c r="F132" s="1"/>
      <c r="G132" s="1">
        <v>12</v>
      </c>
      <c r="H132" s="1" t="s">
        <v>2760</v>
      </c>
    </row>
    <row r="133" spans="1:9" ht="15" x14ac:dyDescent="0.25">
      <c r="A133" s="3">
        <v>11020001</v>
      </c>
      <c r="B133" s="11" t="s">
        <v>95</v>
      </c>
      <c r="C133" s="11" t="s">
        <v>1308</v>
      </c>
      <c r="D133" s="1">
        <f t="shared" si="6"/>
        <v>6</v>
      </c>
      <c r="F133" s="1"/>
      <c r="G133" s="1">
        <v>6</v>
      </c>
      <c r="H133" s="1" t="s">
        <v>2760</v>
      </c>
    </row>
    <row r="134" spans="1:9" ht="15" x14ac:dyDescent="0.25">
      <c r="A134" s="24">
        <v>11020002</v>
      </c>
      <c r="B134" s="25" t="s">
        <v>97</v>
      </c>
      <c r="C134" s="25" t="s">
        <v>25</v>
      </c>
      <c r="D134" s="4">
        <v>3</v>
      </c>
      <c r="H134" s="1" t="s">
        <v>2430</v>
      </c>
    </row>
    <row r="135" spans="1:9" ht="15" x14ac:dyDescent="0.25">
      <c r="A135" s="24">
        <v>11020002</v>
      </c>
      <c r="B135" s="25" t="s">
        <v>97</v>
      </c>
      <c r="C135" s="25" t="s">
        <v>14</v>
      </c>
      <c r="D135" s="4">
        <v>15</v>
      </c>
      <c r="H135" s="1" t="s">
        <v>2761</v>
      </c>
    </row>
    <row r="136" spans="1:9" ht="15" x14ac:dyDescent="0.25">
      <c r="A136" s="24">
        <v>11020002</v>
      </c>
      <c r="B136" s="25" t="s">
        <v>97</v>
      </c>
      <c r="C136" s="25" t="s">
        <v>19</v>
      </c>
      <c r="D136" s="4">
        <v>45</v>
      </c>
      <c r="H136" s="1" t="s">
        <v>2761</v>
      </c>
    </row>
    <row r="137" spans="1:9" ht="15" x14ac:dyDescent="0.25">
      <c r="A137" s="3">
        <v>11020002</v>
      </c>
      <c r="B137" s="11" t="s">
        <v>97</v>
      </c>
      <c r="C137" s="11" t="s">
        <v>2674</v>
      </c>
      <c r="D137" s="1">
        <f t="shared" ref="D137:D145" si="7">G137</f>
        <v>70</v>
      </c>
      <c r="F137" s="1"/>
      <c r="G137" s="1">
        <v>70</v>
      </c>
      <c r="H137" s="1" t="s">
        <v>2761</v>
      </c>
      <c r="I137" s="1" t="s">
        <v>2683</v>
      </c>
    </row>
    <row r="138" spans="1:9" ht="15" x14ac:dyDescent="0.25">
      <c r="A138" s="3">
        <v>11020002</v>
      </c>
      <c r="B138" s="11" t="s">
        <v>142</v>
      </c>
      <c r="C138" s="11" t="s">
        <v>1356</v>
      </c>
      <c r="D138" s="1">
        <f t="shared" si="7"/>
        <v>70</v>
      </c>
      <c r="F138" s="10"/>
      <c r="G138" s="1">
        <v>70</v>
      </c>
      <c r="H138" s="1" t="s">
        <v>2430</v>
      </c>
    </row>
    <row r="139" spans="1:9" ht="15" x14ac:dyDescent="0.25">
      <c r="A139" s="3">
        <v>11020002</v>
      </c>
      <c r="B139" s="11" t="s">
        <v>118</v>
      </c>
      <c r="C139" s="11" t="s">
        <v>1330</v>
      </c>
      <c r="D139" s="1">
        <f t="shared" si="7"/>
        <v>124</v>
      </c>
      <c r="F139" s="1"/>
      <c r="G139" s="1">
        <v>124</v>
      </c>
      <c r="H139" s="1" t="s">
        <v>2761</v>
      </c>
      <c r="I139" s="1" t="s">
        <v>2578</v>
      </c>
    </row>
    <row r="140" spans="1:9" ht="15" x14ac:dyDescent="0.25">
      <c r="A140" s="16">
        <v>11020002</v>
      </c>
      <c r="B140" s="11" t="s">
        <v>131</v>
      </c>
      <c r="C140" s="11" t="s">
        <v>13</v>
      </c>
      <c r="D140" s="1">
        <f t="shared" si="7"/>
        <v>20</v>
      </c>
      <c r="F140" s="1"/>
      <c r="G140" s="1">
        <v>20</v>
      </c>
      <c r="H140" s="1" t="s">
        <v>2761</v>
      </c>
      <c r="I140" s="1" t="s">
        <v>2577</v>
      </c>
    </row>
    <row r="141" spans="1:9" ht="15" x14ac:dyDescent="0.25">
      <c r="A141" s="3">
        <v>11020002</v>
      </c>
      <c r="B141" s="11" t="s">
        <v>100</v>
      </c>
      <c r="C141" s="11" t="s">
        <v>1314</v>
      </c>
      <c r="D141" s="1">
        <f t="shared" si="7"/>
        <v>20</v>
      </c>
      <c r="F141" s="1"/>
      <c r="G141" s="1">
        <v>20</v>
      </c>
      <c r="H141" s="1" t="s">
        <v>2761</v>
      </c>
    </row>
    <row r="142" spans="1:9" ht="15" x14ac:dyDescent="0.25">
      <c r="A142" s="3">
        <v>11020002</v>
      </c>
      <c r="B142" s="11" t="s">
        <v>111</v>
      </c>
      <c r="C142" s="11" t="s">
        <v>1323</v>
      </c>
      <c r="D142" s="1">
        <f t="shared" si="7"/>
        <v>124</v>
      </c>
      <c r="F142" s="1"/>
      <c r="G142" s="1">
        <v>124</v>
      </c>
      <c r="H142" s="1" t="s">
        <v>2761</v>
      </c>
      <c r="I142" s="1" t="s">
        <v>2578</v>
      </c>
    </row>
    <row r="143" spans="1:9" ht="15" x14ac:dyDescent="0.25">
      <c r="A143" s="3">
        <v>11020002</v>
      </c>
      <c r="B143" s="11" t="s">
        <v>97</v>
      </c>
      <c r="C143" s="11" t="s">
        <v>1310</v>
      </c>
      <c r="D143" s="1">
        <f t="shared" si="7"/>
        <v>20</v>
      </c>
      <c r="F143" s="1"/>
      <c r="G143" s="1">
        <v>20</v>
      </c>
      <c r="H143" s="1" t="s">
        <v>2761</v>
      </c>
    </row>
    <row r="144" spans="1:9" ht="15" x14ac:dyDescent="0.25">
      <c r="A144" s="3">
        <v>11020002</v>
      </c>
      <c r="B144" s="11" t="s">
        <v>108</v>
      </c>
      <c r="C144" s="11" t="s">
        <v>1321</v>
      </c>
      <c r="D144" s="1">
        <f t="shared" si="7"/>
        <v>70</v>
      </c>
      <c r="F144" s="1"/>
      <c r="G144" s="1">
        <v>70</v>
      </c>
      <c r="H144" s="1" t="s">
        <v>2430</v>
      </c>
    </row>
    <row r="145" spans="1:9" ht="15" x14ac:dyDescent="0.25">
      <c r="A145" s="3">
        <v>11020002</v>
      </c>
      <c r="B145" s="11" t="s">
        <v>102</v>
      </c>
      <c r="C145" s="11" t="s">
        <v>1315</v>
      </c>
      <c r="D145" s="1">
        <f t="shared" si="7"/>
        <v>70</v>
      </c>
      <c r="F145" s="1"/>
      <c r="G145" s="1">
        <v>70</v>
      </c>
      <c r="H145" s="1" t="s">
        <v>2430</v>
      </c>
    </row>
    <row r="146" spans="1:9" ht="15" x14ac:dyDescent="0.25">
      <c r="A146" s="24">
        <v>11020003</v>
      </c>
      <c r="B146" s="25" t="s">
        <v>94</v>
      </c>
      <c r="C146" s="25" t="s">
        <v>20</v>
      </c>
      <c r="D146" s="4">
        <v>20</v>
      </c>
      <c r="H146" s="1" t="s">
        <v>2431</v>
      </c>
    </row>
    <row r="147" spans="1:9" ht="15" x14ac:dyDescent="0.25">
      <c r="A147" s="5">
        <v>11020003</v>
      </c>
      <c r="B147" s="11" t="s">
        <v>94</v>
      </c>
      <c r="C147" s="11" t="s">
        <v>14</v>
      </c>
      <c r="D147" s="1">
        <f>G147</f>
        <v>27</v>
      </c>
      <c r="F147" s="1"/>
      <c r="G147" s="1">
        <v>27</v>
      </c>
      <c r="H147" s="1" t="s">
        <v>2431</v>
      </c>
      <c r="I147" s="1" t="s">
        <v>2442</v>
      </c>
    </row>
    <row r="148" spans="1:9" ht="15" x14ac:dyDescent="0.25">
      <c r="A148" s="24">
        <v>11020003</v>
      </c>
      <c r="B148" s="25" t="s">
        <v>94</v>
      </c>
      <c r="C148" s="25" t="s">
        <v>1</v>
      </c>
      <c r="D148" s="4">
        <v>40</v>
      </c>
      <c r="H148" s="1" t="s">
        <v>2431</v>
      </c>
    </row>
    <row r="149" spans="1:9" ht="15" x14ac:dyDescent="0.25">
      <c r="A149" s="3">
        <v>11020003</v>
      </c>
      <c r="B149" s="11" t="s">
        <v>96</v>
      </c>
      <c r="C149" s="11" t="s">
        <v>1309</v>
      </c>
      <c r="D149" s="1">
        <f>G149</f>
        <v>43</v>
      </c>
      <c r="F149" s="1"/>
      <c r="G149" s="1">
        <v>43</v>
      </c>
      <c r="H149" s="1" t="s">
        <v>2431</v>
      </c>
    </row>
    <row r="150" spans="1:9" ht="15" x14ac:dyDescent="0.25">
      <c r="A150" s="3">
        <v>11020003</v>
      </c>
      <c r="B150" s="11" t="s">
        <v>94</v>
      </c>
      <c r="C150" s="11" t="s">
        <v>1306</v>
      </c>
      <c r="D150" s="1">
        <f>G150</f>
        <v>43</v>
      </c>
      <c r="F150" s="1"/>
      <c r="G150" s="1">
        <v>43</v>
      </c>
      <c r="H150" s="1" t="s">
        <v>2431</v>
      </c>
    </row>
    <row r="151" spans="1:9" ht="15" x14ac:dyDescent="0.25">
      <c r="A151" s="16">
        <v>11020003</v>
      </c>
      <c r="B151" s="11" t="s">
        <v>138</v>
      </c>
      <c r="C151" s="11" t="s">
        <v>1351</v>
      </c>
      <c r="D151" s="1">
        <f>G151</f>
        <v>52</v>
      </c>
      <c r="F151" s="1"/>
      <c r="G151" s="1">
        <v>52</v>
      </c>
      <c r="H151" s="1" t="s">
        <v>2431</v>
      </c>
    </row>
    <row r="152" spans="1:9" ht="15" x14ac:dyDescent="0.25">
      <c r="A152" s="16">
        <v>11020003</v>
      </c>
      <c r="B152" s="11" t="s">
        <v>134</v>
      </c>
      <c r="C152" s="11" t="s">
        <v>1345</v>
      </c>
      <c r="D152" s="1">
        <f>G152</f>
        <v>27</v>
      </c>
      <c r="F152" s="1"/>
      <c r="G152" s="1">
        <v>27</v>
      </c>
      <c r="H152" s="1" t="s">
        <v>2431</v>
      </c>
      <c r="I152" s="1" t="s">
        <v>2685</v>
      </c>
    </row>
    <row r="153" spans="1:9" ht="15" x14ac:dyDescent="0.25">
      <c r="A153" s="3">
        <v>11020003</v>
      </c>
      <c r="B153" s="11" t="s">
        <v>94</v>
      </c>
      <c r="C153" s="11" t="s">
        <v>2674</v>
      </c>
      <c r="D153" s="1">
        <v>40</v>
      </c>
      <c r="F153" s="1"/>
      <c r="G153" s="1">
        <v>40</v>
      </c>
      <c r="H153" s="1" t="s">
        <v>2431</v>
      </c>
    </row>
    <row r="154" spans="1:9" ht="15" x14ac:dyDescent="0.25">
      <c r="A154" s="16">
        <v>11020003</v>
      </c>
      <c r="B154" s="11" t="s">
        <v>136</v>
      </c>
      <c r="C154" s="11" t="s">
        <v>1348</v>
      </c>
      <c r="D154" s="4">
        <f t="shared" ref="D154:D161" si="8">G154</f>
        <v>40</v>
      </c>
      <c r="F154" s="1"/>
      <c r="G154" s="1">
        <v>40</v>
      </c>
      <c r="H154" s="1" t="s">
        <v>2431</v>
      </c>
    </row>
    <row r="155" spans="1:9" ht="15" x14ac:dyDescent="0.25">
      <c r="A155" s="3">
        <v>11020003</v>
      </c>
      <c r="B155" s="11" t="s">
        <v>101</v>
      </c>
      <c r="C155" s="11" t="s">
        <v>1314</v>
      </c>
      <c r="D155" s="1">
        <f t="shared" si="8"/>
        <v>30</v>
      </c>
      <c r="F155" s="1"/>
      <c r="G155" s="1">
        <v>30</v>
      </c>
      <c r="H155" s="1" t="s">
        <v>2431</v>
      </c>
      <c r="I155" s="1" t="s">
        <v>2441</v>
      </c>
    </row>
    <row r="156" spans="1:9" ht="15" x14ac:dyDescent="0.25">
      <c r="A156" s="3">
        <v>11020003</v>
      </c>
      <c r="B156" s="11" t="s">
        <v>99</v>
      </c>
      <c r="C156" s="11" t="s">
        <v>1313</v>
      </c>
      <c r="D156" s="1">
        <f t="shared" si="8"/>
        <v>20</v>
      </c>
      <c r="F156" s="1"/>
      <c r="G156" s="1">
        <v>20</v>
      </c>
      <c r="H156" s="1" t="s">
        <v>2431</v>
      </c>
    </row>
    <row r="157" spans="1:9" ht="15" x14ac:dyDescent="0.25">
      <c r="A157" s="16">
        <v>11020003</v>
      </c>
      <c r="B157" s="11" t="s">
        <v>120</v>
      </c>
      <c r="C157" s="11" t="s">
        <v>1332</v>
      </c>
      <c r="D157" s="1">
        <f t="shared" si="8"/>
        <v>78</v>
      </c>
      <c r="F157" s="1"/>
      <c r="G157" s="1">
        <v>78</v>
      </c>
      <c r="H157" s="1" t="s">
        <v>2431</v>
      </c>
      <c r="I157" s="1" t="s">
        <v>2579</v>
      </c>
    </row>
    <row r="158" spans="1:9" ht="15" x14ac:dyDescent="0.25">
      <c r="A158" s="16">
        <v>11020003</v>
      </c>
      <c r="B158" s="11" t="s">
        <v>115</v>
      </c>
      <c r="C158" s="11" t="s">
        <v>1327</v>
      </c>
      <c r="D158" s="1">
        <f t="shared" si="8"/>
        <v>52</v>
      </c>
      <c r="F158" s="1"/>
      <c r="G158" s="1">
        <v>52</v>
      </c>
      <c r="H158" s="1" t="s">
        <v>2431</v>
      </c>
    </row>
    <row r="159" spans="1:9" ht="15" x14ac:dyDescent="0.25">
      <c r="A159" s="3">
        <v>11020003</v>
      </c>
      <c r="B159" s="11" t="s">
        <v>109</v>
      </c>
      <c r="C159" s="11" t="s">
        <v>1321</v>
      </c>
      <c r="D159" s="1">
        <f t="shared" si="8"/>
        <v>42</v>
      </c>
      <c r="F159" s="1"/>
      <c r="G159" s="1">
        <v>42</v>
      </c>
      <c r="H159" s="1" t="s">
        <v>2431</v>
      </c>
      <c r="I159" s="1" t="s">
        <v>2579</v>
      </c>
    </row>
    <row r="160" spans="1:9" ht="15" x14ac:dyDescent="0.25">
      <c r="A160" s="3">
        <v>11020003</v>
      </c>
      <c r="B160" s="11" t="s">
        <v>104</v>
      </c>
      <c r="C160" s="11" t="s">
        <v>1317</v>
      </c>
      <c r="D160" s="1">
        <f t="shared" si="8"/>
        <v>27</v>
      </c>
      <c r="F160" s="1"/>
      <c r="G160" s="1">
        <v>27</v>
      </c>
      <c r="H160" s="1" t="s">
        <v>2431</v>
      </c>
    </row>
    <row r="161" spans="1:10" ht="15" x14ac:dyDescent="0.25">
      <c r="A161" s="3">
        <v>11020004</v>
      </c>
      <c r="B161" s="11" t="s">
        <v>117</v>
      </c>
      <c r="C161" s="11" t="s">
        <v>1329</v>
      </c>
      <c r="D161" s="1">
        <f t="shared" si="8"/>
        <v>27</v>
      </c>
      <c r="F161" s="1"/>
      <c r="G161" s="1">
        <v>27</v>
      </c>
      <c r="H161" s="1" t="s">
        <v>2431</v>
      </c>
    </row>
    <row r="162" spans="1:10" ht="15" x14ac:dyDescent="0.25">
      <c r="A162" s="3">
        <v>11020004</v>
      </c>
      <c r="B162" s="11" t="s">
        <v>139</v>
      </c>
      <c r="C162" s="11" t="s">
        <v>1352</v>
      </c>
      <c r="D162" s="4">
        <v>40</v>
      </c>
      <c r="F162" s="1"/>
      <c r="G162" s="1">
        <v>40</v>
      </c>
      <c r="H162" s="1" t="s">
        <v>2431</v>
      </c>
    </row>
    <row r="163" spans="1:10" ht="15" x14ac:dyDescent="0.25">
      <c r="A163" s="3">
        <v>11020004</v>
      </c>
      <c r="B163" s="11" t="s">
        <v>112</v>
      </c>
      <c r="C163" s="11" t="s">
        <v>1324</v>
      </c>
      <c r="D163" s="1">
        <f t="shared" ref="D163:D175" si="9">G163</f>
        <v>27</v>
      </c>
      <c r="F163" s="1"/>
      <c r="G163" s="1">
        <v>27</v>
      </c>
      <c r="H163" s="1" t="s">
        <v>2431</v>
      </c>
    </row>
    <row r="164" spans="1:10" ht="15" x14ac:dyDescent="0.25">
      <c r="A164" s="3">
        <v>11020004</v>
      </c>
      <c r="B164" s="11" t="s">
        <v>106</v>
      </c>
      <c r="C164" s="11" t="s">
        <v>1319</v>
      </c>
      <c r="D164" s="1">
        <f t="shared" si="9"/>
        <v>30</v>
      </c>
      <c r="F164" s="1"/>
      <c r="G164" s="1">
        <v>30</v>
      </c>
      <c r="H164" s="1" t="s">
        <v>2431</v>
      </c>
    </row>
    <row r="165" spans="1:10" ht="15" x14ac:dyDescent="0.25">
      <c r="A165" s="16">
        <v>11020005</v>
      </c>
      <c r="B165" s="11" t="s">
        <v>105</v>
      </c>
      <c r="C165" s="11" t="s">
        <v>13</v>
      </c>
      <c r="D165" s="1">
        <f t="shared" si="9"/>
        <v>27</v>
      </c>
      <c r="F165" s="1"/>
      <c r="G165" s="1">
        <v>27</v>
      </c>
      <c r="H165" s="1" t="s">
        <v>2431</v>
      </c>
      <c r="I165" s="1" t="s">
        <v>2684</v>
      </c>
    </row>
    <row r="166" spans="1:10" ht="15" x14ac:dyDescent="0.25">
      <c r="A166" s="3">
        <v>11020005</v>
      </c>
      <c r="B166" s="11" t="s">
        <v>141</v>
      </c>
      <c r="C166" s="11" t="s">
        <v>1354</v>
      </c>
      <c r="D166" s="10">
        <f t="shared" si="9"/>
        <v>40</v>
      </c>
      <c r="F166" s="1"/>
      <c r="G166" s="1">
        <v>40</v>
      </c>
      <c r="H166" s="1" t="s">
        <v>2431</v>
      </c>
    </row>
    <row r="167" spans="1:10" ht="15" x14ac:dyDescent="0.25">
      <c r="A167" s="16">
        <v>11020005</v>
      </c>
      <c r="B167" s="11" t="s">
        <v>105</v>
      </c>
      <c r="C167" s="11" t="s">
        <v>18</v>
      </c>
      <c r="D167" s="1">
        <f t="shared" si="9"/>
        <v>43</v>
      </c>
      <c r="E167" s="4"/>
      <c r="F167" s="1" t="s">
        <v>3132</v>
      </c>
      <c r="G167" s="1">
        <v>43</v>
      </c>
      <c r="H167" s="1" t="s">
        <v>3137</v>
      </c>
      <c r="I167" s="1" t="s">
        <v>3132</v>
      </c>
      <c r="J167" s="1" t="s">
        <v>3132</v>
      </c>
    </row>
    <row r="168" spans="1:10" ht="15" x14ac:dyDescent="0.25">
      <c r="A168" s="3">
        <v>11020005</v>
      </c>
      <c r="B168" s="11" t="s">
        <v>105</v>
      </c>
      <c r="C168" s="11" t="s">
        <v>0</v>
      </c>
      <c r="D168" s="1">
        <f t="shared" si="9"/>
        <v>43</v>
      </c>
      <c r="E168" s="4"/>
      <c r="F168" s="1" t="s">
        <v>3132</v>
      </c>
      <c r="G168" s="1">
        <v>43</v>
      </c>
      <c r="H168" s="1" t="s">
        <v>3136</v>
      </c>
      <c r="I168" s="1" t="s">
        <v>3132</v>
      </c>
      <c r="J168" s="1" t="s">
        <v>3132</v>
      </c>
    </row>
    <row r="169" spans="1:10" ht="15" x14ac:dyDescent="0.25">
      <c r="A169" s="3">
        <v>11020005</v>
      </c>
      <c r="B169" s="11" t="s">
        <v>141</v>
      </c>
      <c r="C169" s="11" t="s">
        <v>1355</v>
      </c>
      <c r="D169" s="1">
        <f t="shared" si="9"/>
        <v>52</v>
      </c>
      <c r="F169" s="1"/>
      <c r="G169" s="1">
        <v>52</v>
      </c>
      <c r="H169" s="1" t="s">
        <v>2431</v>
      </c>
    </row>
    <row r="170" spans="1:10" ht="15" x14ac:dyDescent="0.25">
      <c r="A170" s="3">
        <v>11020005</v>
      </c>
      <c r="B170" s="11" t="s">
        <v>110</v>
      </c>
      <c r="C170" s="11" t="s">
        <v>1322</v>
      </c>
      <c r="D170" s="1">
        <f t="shared" si="9"/>
        <v>43</v>
      </c>
      <c r="F170" s="1"/>
      <c r="G170" s="1">
        <v>43</v>
      </c>
      <c r="H170" s="1" t="s">
        <v>2431</v>
      </c>
    </row>
    <row r="171" spans="1:10" ht="15" x14ac:dyDescent="0.25">
      <c r="A171" s="3">
        <v>11020005</v>
      </c>
      <c r="B171" s="11" t="s">
        <v>105</v>
      </c>
      <c r="C171" s="11" t="s">
        <v>1318</v>
      </c>
      <c r="D171" s="1">
        <f t="shared" si="9"/>
        <v>43</v>
      </c>
      <c r="F171" s="1"/>
      <c r="G171" s="1">
        <v>43</v>
      </c>
      <c r="H171" s="1" t="s">
        <v>2431</v>
      </c>
    </row>
    <row r="172" spans="1:10" ht="15" x14ac:dyDescent="0.25">
      <c r="A172" s="3">
        <v>11020005</v>
      </c>
      <c r="B172" s="11" t="s">
        <v>126</v>
      </c>
      <c r="C172" s="11" t="s">
        <v>1338</v>
      </c>
      <c r="D172" s="2">
        <f t="shared" si="9"/>
        <v>52</v>
      </c>
      <c r="F172" s="1"/>
      <c r="G172" s="1">
        <v>52</v>
      </c>
      <c r="H172" s="1" t="s">
        <v>2431</v>
      </c>
    </row>
    <row r="173" spans="1:10" ht="15" x14ac:dyDescent="0.25">
      <c r="A173" s="3">
        <v>11020005</v>
      </c>
      <c r="B173" s="11" t="s">
        <v>122</v>
      </c>
      <c r="C173" s="11" t="s">
        <v>1334</v>
      </c>
      <c r="D173" s="1">
        <f t="shared" si="9"/>
        <v>52</v>
      </c>
      <c r="F173" s="1"/>
      <c r="G173" s="1">
        <v>52</v>
      </c>
      <c r="H173" s="1" t="s">
        <v>2431</v>
      </c>
    </row>
    <row r="174" spans="1:10" ht="15" x14ac:dyDescent="0.25">
      <c r="A174" s="3">
        <v>11020005</v>
      </c>
      <c r="B174" s="11" t="s">
        <v>119</v>
      </c>
      <c r="C174" s="11" t="s">
        <v>1331</v>
      </c>
      <c r="D174" s="1">
        <f t="shared" si="9"/>
        <v>27</v>
      </c>
      <c r="F174" s="1"/>
      <c r="G174" s="1">
        <v>27</v>
      </c>
      <c r="H174" s="1" t="s">
        <v>2431</v>
      </c>
    </row>
    <row r="175" spans="1:10" ht="15" x14ac:dyDescent="0.25">
      <c r="A175" s="3">
        <v>11020005</v>
      </c>
      <c r="B175" s="11" t="s">
        <v>114</v>
      </c>
      <c r="C175" s="11" t="s">
        <v>1326</v>
      </c>
      <c r="D175" s="1">
        <f t="shared" si="9"/>
        <v>27</v>
      </c>
      <c r="F175" s="1"/>
      <c r="G175" s="1">
        <v>27</v>
      </c>
      <c r="H175" s="1" t="s">
        <v>2431</v>
      </c>
    </row>
    <row r="176" spans="1:10" ht="15" x14ac:dyDescent="0.25">
      <c r="A176" s="3">
        <v>11020006</v>
      </c>
      <c r="B176" s="11" t="s">
        <v>113</v>
      </c>
      <c r="C176" s="11" t="s">
        <v>29</v>
      </c>
      <c r="D176" s="1">
        <v>110</v>
      </c>
      <c r="F176" s="1"/>
      <c r="G176" s="1">
        <v>110</v>
      </c>
      <c r="H176" s="1" t="s">
        <v>2762</v>
      </c>
    </row>
    <row r="177" spans="1:10" ht="15" x14ac:dyDescent="0.25">
      <c r="A177" s="3">
        <v>11020006</v>
      </c>
      <c r="B177" s="11" t="s">
        <v>125</v>
      </c>
      <c r="C177" s="11" t="s">
        <v>1337</v>
      </c>
      <c r="D177" s="1">
        <f t="shared" ref="D177:D183" si="10">G177</f>
        <v>27</v>
      </c>
      <c r="F177" s="1"/>
      <c r="G177" s="1">
        <v>27</v>
      </c>
      <c r="H177" s="1" t="s">
        <v>2431</v>
      </c>
    </row>
    <row r="178" spans="1:10" ht="15" x14ac:dyDescent="0.25">
      <c r="A178" s="3">
        <v>11020006</v>
      </c>
      <c r="B178" s="11" t="s">
        <v>127</v>
      </c>
      <c r="C178" s="11" t="s">
        <v>1339</v>
      </c>
      <c r="D178" s="1">
        <f t="shared" si="10"/>
        <v>52</v>
      </c>
      <c r="F178" s="1"/>
      <c r="G178" s="1">
        <v>52</v>
      </c>
      <c r="H178" s="1" t="s">
        <v>2431</v>
      </c>
    </row>
    <row r="179" spans="1:10" ht="15" x14ac:dyDescent="0.25">
      <c r="A179" s="3">
        <v>11020006</v>
      </c>
      <c r="B179" s="11" t="s">
        <v>113</v>
      </c>
      <c r="C179" s="11" t="s">
        <v>1325</v>
      </c>
      <c r="D179" s="1">
        <f t="shared" si="10"/>
        <v>68</v>
      </c>
      <c r="F179" s="1"/>
      <c r="G179" s="1">
        <v>68</v>
      </c>
      <c r="H179" s="1" t="s">
        <v>2431</v>
      </c>
    </row>
    <row r="180" spans="1:10" ht="15" x14ac:dyDescent="0.25">
      <c r="A180" s="3">
        <v>11020006</v>
      </c>
      <c r="B180" s="11" t="s">
        <v>113</v>
      </c>
      <c r="C180" s="11" t="s">
        <v>27</v>
      </c>
      <c r="D180" s="4">
        <f t="shared" si="10"/>
        <v>110</v>
      </c>
      <c r="E180" s="4"/>
      <c r="F180" s="1" t="s">
        <v>3132</v>
      </c>
      <c r="G180" s="1">
        <v>110</v>
      </c>
      <c r="H180" s="1" t="s">
        <v>3138</v>
      </c>
      <c r="I180" s="1" t="s">
        <v>3132</v>
      </c>
      <c r="J180" s="1" t="s">
        <v>3132</v>
      </c>
    </row>
    <row r="181" spans="1:10" ht="15" x14ac:dyDescent="0.25">
      <c r="A181" s="3">
        <v>11020006</v>
      </c>
      <c r="B181" s="11" t="s">
        <v>121</v>
      </c>
      <c r="C181" s="11" t="s">
        <v>1333</v>
      </c>
      <c r="D181" s="1">
        <f t="shared" si="10"/>
        <v>27</v>
      </c>
      <c r="F181" s="1"/>
      <c r="G181" s="1">
        <v>27</v>
      </c>
      <c r="H181" s="1" t="s">
        <v>2431</v>
      </c>
    </row>
    <row r="182" spans="1:10" ht="15" x14ac:dyDescent="0.25">
      <c r="A182" s="16">
        <v>11020006</v>
      </c>
      <c r="B182" s="11" t="s">
        <v>137</v>
      </c>
      <c r="C182" s="11" t="s">
        <v>1349</v>
      </c>
      <c r="D182" s="1">
        <f t="shared" si="10"/>
        <v>55</v>
      </c>
      <c r="F182" s="1"/>
      <c r="G182" s="1">
        <v>55</v>
      </c>
      <c r="H182" s="1" t="s">
        <v>2762</v>
      </c>
      <c r="I182" s="1" t="s">
        <v>2682</v>
      </c>
    </row>
    <row r="183" spans="1:10" ht="15" x14ac:dyDescent="0.25">
      <c r="A183" s="3">
        <v>11020006</v>
      </c>
      <c r="B183" s="11" t="s">
        <v>116</v>
      </c>
      <c r="C183" s="11" t="s">
        <v>1328</v>
      </c>
      <c r="D183" s="1">
        <f t="shared" si="10"/>
        <v>68</v>
      </c>
      <c r="F183" s="1"/>
      <c r="G183" s="1">
        <v>68</v>
      </c>
      <c r="H183" s="1" t="s">
        <v>2431</v>
      </c>
    </row>
    <row r="184" spans="1:10" ht="15" x14ac:dyDescent="0.25">
      <c r="A184" s="16">
        <v>11020006</v>
      </c>
      <c r="B184" s="11" t="s">
        <v>113</v>
      </c>
      <c r="C184" s="11" t="s">
        <v>26</v>
      </c>
      <c r="D184" s="4">
        <v>27</v>
      </c>
      <c r="E184" s="4"/>
      <c r="F184" s="1" t="s">
        <v>3132</v>
      </c>
      <c r="G184" s="4">
        <v>27</v>
      </c>
      <c r="H184" s="1" t="s">
        <v>3139</v>
      </c>
      <c r="I184" s="1" t="s">
        <v>3132</v>
      </c>
      <c r="J184" s="1" t="s">
        <v>3132</v>
      </c>
    </row>
    <row r="185" spans="1:10" ht="15" x14ac:dyDescent="0.25">
      <c r="A185" s="16">
        <v>11020006</v>
      </c>
      <c r="B185" s="11" t="s">
        <v>137</v>
      </c>
      <c r="C185" s="11" t="s">
        <v>1350</v>
      </c>
      <c r="D185" s="1">
        <f t="shared" ref="D185:D209" si="11">G185</f>
        <v>110</v>
      </c>
      <c r="F185" s="1"/>
      <c r="G185" s="1">
        <v>110</v>
      </c>
      <c r="H185" s="1" t="s">
        <v>2762</v>
      </c>
      <c r="I185" s="1" t="s">
        <v>2567</v>
      </c>
    </row>
    <row r="186" spans="1:10" ht="15" x14ac:dyDescent="0.25">
      <c r="A186" s="3">
        <v>11020007</v>
      </c>
      <c r="B186" s="11" t="s">
        <v>133</v>
      </c>
      <c r="C186" s="11" t="s">
        <v>1344</v>
      </c>
      <c r="D186" s="1">
        <f t="shared" si="11"/>
        <v>52</v>
      </c>
      <c r="F186" s="1"/>
      <c r="G186" s="1">
        <v>52</v>
      </c>
      <c r="H186" s="1" t="s">
        <v>2431</v>
      </c>
    </row>
    <row r="187" spans="1:10" ht="15" x14ac:dyDescent="0.25">
      <c r="A187" s="3">
        <v>11020007</v>
      </c>
      <c r="B187" s="11" t="s">
        <v>129</v>
      </c>
      <c r="C187" s="11" t="s">
        <v>1341</v>
      </c>
      <c r="D187" s="1">
        <f t="shared" si="11"/>
        <v>27</v>
      </c>
      <c r="F187" s="1"/>
      <c r="G187" s="1">
        <v>27</v>
      </c>
      <c r="H187" s="1" t="s">
        <v>2431</v>
      </c>
      <c r="I187" s="1" t="s">
        <v>2443</v>
      </c>
    </row>
    <row r="188" spans="1:10" ht="15" x14ac:dyDescent="0.25">
      <c r="A188" s="3">
        <v>11020007</v>
      </c>
      <c r="B188" s="11" t="s">
        <v>124</v>
      </c>
      <c r="C188" s="11" t="s">
        <v>1336</v>
      </c>
      <c r="D188" s="1">
        <f t="shared" si="11"/>
        <v>27</v>
      </c>
      <c r="F188" s="1"/>
      <c r="G188" s="1">
        <v>27</v>
      </c>
      <c r="H188" s="1" t="s">
        <v>2431</v>
      </c>
    </row>
    <row r="189" spans="1:10" ht="15" x14ac:dyDescent="0.25">
      <c r="A189" s="3">
        <v>11030001</v>
      </c>
      <c r="B189" s="11" t="s">
        <v>144</v>
      </c>
      <c r="C189" s="11" t="s">
        <v>23</v>
      </c>
      <c r="D189" s="1">
        <f t="shared" si="11"/>
        <v>9</v>
      </c>
      <c r="F189" s="1"/>
      <c r="G189" s="1">
        <v>9</v>
      </c>
      <c r="H189" s="1" t="s">
        <v>2432</v>
      </c>
    </row>
    <row r="190" spans="1:10" ht="15" x14ac:dyDescent="0.25">
      <c r="A190" s="3">
        <v>11030001</v>
      </c>
      <c r="B190" s="11" t="s">
        <v>144</v>
      </c>
      <c r="C190" s="11" t="s">
        <v>7</v>
      </c>
      <c r="D190" s="1">
        <f t="shared" si="11"/>
        <v>40</v>
      </c>
      <c r="F190" s="1"/>
      <c r="G190" s="1">
        <v>40</v>
      </c>
      <c r="H190" s="1" t="s">
        <v>2763</v>
      </c>
    </row>
    <row r="191" spans="1:10" ht="15" x14ac:dyDescent="0.25">
      <c r="A191" s="16">
        <v>11030001</v>
      </c>
      <c r="B191" s="11" t="s">
        <v>144</v>
      </c>
      <c r="C191" s="11" t="s">
        <v>1358</v>
      </c>
      <c r="D191" s="1">
        <f t="shared" si="11"/>
        <v>40</v>
      </c>
      <c r="F191" s="1"/>
      <c r="G191" s="1">
        <v>40</v>
      </c>
      <c r="H191" s="1" t="s">
        <v>2763</v>
      </c>
      <c r="I191" s="1" t="s">
        <v>2567</v>
      </c>
    </row>
    <row r="192" spans="1:10" ht="15" x14ac:dyDescent="0.25">
      <c r="A192" s="3">
        <v>11030001</v>
      </c>
      <c r="B192" s="11" t="s">
        <v>144</v>
      </c>
      <c r="C192" s="11" t="s">
        <v>15</v>
      </c>
      <c r="D192" s="1">
        <f t="shared" si="11"/>
        <v>80</v>
      </c>
      <c r="F192" s="1"/>
      <c r="G192" s="1">
        <v>80</v>
      </c>
      <c r="H192" s="1" t="s">
        <v>2432</v>
      </c>
    </row>
    <row r="193" spans="1:9" ht="15" x14ac:dyDescent="0.25">
      <c r="A193" s="3">
        <v>11030001</v>
      </c>
      <c r="B193" s="11" t="s">
        <v>144</v>
      </c>
      <c r="C193" s="11" t="s">
        <v>6</v>
      </c>
      <c r="D193" s="1">
        <f t="shared" si="11"/>
        <v>40</v>
      </c>
      <c r="F193" s="1"/>
      <c r="G193" s="1">
        <v>40</v>
      </c>
      <c r="H193" s="1" t="s">
        <v>2763</v>
      </c>
    </row>
    <row r="194" spans="1:9" ht="15" x14ac:dyDescent="0.25">
      <c r="A194" s="3">
        <v>11030001</v>
      </c>
      <c r="B194" s="11" t="s">
        <v>144</v>
      </c>
      <c r="C194" s="11" t="s">
        <v>1359</v>
      </c>
      <c r="D194" s="1">
        <f t="shared" si="11"/>
        <v>40</v>
      </c>
      <c r="F194" s="1"/>
      <c r="G194" s="1">
        <v>40</v>
      </c>
      <c r="H194" s="1" t="s">
        <v>2763</v>
      </c>
    </row>
    <row r="195" spans="1:9" ht="15" x14ac:dyDescent="0.25">
      <c r="A195" s="3">
        <v>11030002</v>
      </c>
      <c r="B195" s="11" t="s">
        <v>145</v>
      </c>
      <c r="C195" s="11" t="s">
        <v>1359</v>
      </c>
      <c r="D195" s="1">
        <f t="shared" si="11"/>
        <v>80</v>
      </c>
      <c r="F195" s="1"/>
      <c r="G195" s="1">
        <v>80</v>
      </c>
      <c r="H195" s="1" t="s">
        <v>2432</v>
      </c>
    </row>
    <row r="196" spans="1:9" ht="15" x14ac:dyDescent="0.25">
      <c r="A196" s="3">
        <v>11030003</v>
      </c>
      <c r="B196" s="11" t="s">
        <v>146</v>
      </c>
      <c r="C196" s="11" t="s">
        <v>1359</v>
      </c>
      <c r="D196" s="1">
        <f t="shared" si="11"/>
        <v>267</v>
      </c>
      <c r="F196" s="1"/>
      <c r="G196" s="1">
        <v>267</v>
      </c>
      <c r="H196" s="1" t="s">
        <v>2433</v>
      </c>
      <c r="I196" s="1" t="s">
        <v>2434</v>
      </c>
    </row>
    <row r="197" spans="1:9" ht="15" x14ac:dyDescent="0.25">
      <c r="A197" s="3">
        <v>11040001</v>
      </c>
      <c r="B197" s="11" t="s">
        <v>160</v>
      </c>
      <c r="C197" s="11" t="s">
        <v>1372</v>
      </c>
      <c r="D197" s="1">
        <f t="shared" si="11"/>
        <v>105</v>
      </c>
      <c r="F197" s="1"/>
      <c r="G197" s="1">
        <v>105</v>
      </c>
      <c r="H197" s="1" t="s">
        <v>2764</v>
      </c>
    </row>
    <row r="198" spans="1:9" ht="15" x14ac:dyDescent="0.25">
      <c r="A198" s="3">
        <v>11040002</v>
      </c>
      <c r="B198" s="11" t="s">
        <v>161</v>
      </c>
      <c r="C198" s="11" t="s">
        <v>1372</v>
      </c>
      <c r="D198" s="1">
        <f t="shared" si="11"/>
        <v>60</v>
      </c>
      <c r="F198" s="1"/>
      <c r="G198" s="1">
        <v>60</v>
      </c>
      <c r="H198" s="1" t="s">
        <v>2765</v>
      </c>
    </row>
    <row r="199" spans="1:9" ht="15" x14ac:dyDescent="0.25">
      <c r="A199" s="16">
        <v>11040003</v>
      </c>
      <c r="B199" s="11" t="s">
        <v>157</v>
      </c>
      <c r="C199" s="11" t="s">
        <v>1369</v>
      </c>
      <c r="D199" s="1">
        <f t="shared" si="11"/>
        <v>8</v>
      </c>
      <c r="F199" s="1"/>
      <c r="G199" s="1">
        <v>8</v>
      </c>
      <c r="H199" s="1" t="s">
        <v>2766</v>
      </c>
      <c r="I199" s="1" t="s">
        <v>2687</v>
      </c>
    </row>
    <row r="200" spans="1:9" ht="15" x14ac:dyDescent="0.25">
      <c r="A200" s="3">
        <v>11040003</v>
      </c>
      <c r="B200" s="11" t="s">
        <v>159</v>
      </c>
      <c r="C200" s="11" t="s">
        <v>1371</v>
      </c>
      <c r="D200" s="4">
        <f t="shared" si="11"/>
        <v>8</v>
      </c>
      <c r="F200" s="1"/>
      <c r="G200" s="1">
        <v>8</v>
      </c>
      <c r="H200" s="1" t="s">
        <v>2766</v>
      </c>
    </row>
    <row r="201" spans="1:9" ht="15" x14ac:dyDescent="0.25">
      <c r="A201" s="3">
        <v>11040003</v>
      </c>
      <c r="B201" s="11" t="s">
        <v>150</v>
      </c>
      <c r="C201" s="11" t="s">
        <v>1364</v>
      </c>
      <c r="D201" s="1">
        <f t="shared" si="11"/>
        <v>12</v>
      </c>
      <c r="F201" s="1"/>
      <c r="G201" s="1">
        <v>12</v>
      </c>
      <c r="H201" s="1" t="s">
        <v>2766</v>
      </c>
      <c r="I201" s="1" t="s">
        <v>2686</v>
      </c>
    </row>
    <row r="202" spans="1:9" ht="15" x14ac:dyDescent="0.25">
      <c r="A202" s="3">
        <v>11040003</v>
      </c>
      <c r="B202" s="11" t="s">
        <v>147</v>
      </c>
      <c r="C202" s="11" t="s">
        <v>1362</v>
      </c>
      <c r="D202" s="1">
        <f t="shared" si="11"/>
        <v>12</v>
      </c>
      <c r="F202" s="1"/>
      <c r="G202" s="1">
        <v>12</v>
      </c>
      <c r="H202" s="1" t="s">
        <v>2766</v>
      </c>
    </row>
    <row r="203" spans="1:9" ht="15" x14ac:dyDescent="0.25">
      <c r="A203" s="3">
        <v>11040003</v>
      </c>
      <c r="B203" s="11" t="s">
        <v>147</v>
      </c>
      <c r="C203" s="11" t="s">
        <v>27</v>
      </c>
      <c r="D203" s="4">
        <f t="shared" si="11"/>
        <v>36</v>
      </c>
      <c r="F203" s="1"/>
      <c r="G203" s="1">
        <v>36</v>
      </c>
      <c r="H203" s="1" t="s">
        <v>2766</v>
      </c>
      <c r="I203" s="1" t="s">
        <v>2688</v>
      </c>
    </row>
    <row r="204" spans="1:9" ht="15" x14ac:dyDescent="0.25">
      <c r="A204" s="3">
        <v>11040003</v>
      </c>
      <c r="B204" s="11" t="s">
        <v>147</v>
      </c>
      <c r="C204" s="11" t="s">
        <v>1363</v>
      </c>
      <c r="D204" s="1">
        <f t="shared" si="11"/>
        <v>8</v>
      </c>
      <c r="F204" s="1"/>
      <c r="G204" s="1">
        <v>8</v>
      </c>
      <c r="H204" s="1" t="s">
        <v>2766</v>
      </c>
      <c r="I204" s="1" t="s">
        <v>2687</v>
      </c>
    </row>
    <row r="205" spans="1:9" ht="15" x14ac:dyDescent="0.25">
      <c r="A205" s="3">
        <v>11040003</v>
      </c>
      <c r="B205" s="11" t="s">
        <v>147</v>
      </c>
      <c r="C205" s="11" t="s">
        <v>1360</v>
      </c>
      <c r="D205" s="1">
        <f t="shared" si="11"/>
        <v>8</v>
      </c>
      <c r="F205" s="1"/>
      <c r="G205" s="1">
        <v>8</v>
      </c>
      <c r="H205" s="1" t="s">
        <v>2766</v>
      </c>
    </row>
    <row r="206" spans="1:9" ht="15" x14ac:dyDescent="0.25">
      <c r="A206" s="16">
        <v>11040003</v>
      </c>
      <c r="B206" s="11" t="s">
        <v>157</v>
      </c>
      <c r="C206" s="11" t="s">
        <v>1370</v>
      </c>
      <c r="D206" s="1">
        <f t="shared" si="11"/>
        <v>12</v>
      </c>
      <c r="F206" s="1"/>
      <c r="G206" s="1">
        <v>12</v>
      </c>
      <c r="H206" s="1" t="s">
        <v>2766</v>
      </c>
      <c r="I206" s="1" t="s">
        <v>2686</v>
      </c>
    </row>
    <row r="207" spans="1:9" ht="15" x14ac:dyDescent="0.25">
      <c r="A207" s="3">
        <v>11040003</v>
      </c>
      <c r="B207" s="11" t="s">
        <v>147</v>
      </c>
      <c r="C207" s="11" t="s">
        <v>1361</v>
      </c>
      <c r="D207" s="1">
        <f t="shared" si="11"/>
        <v>8</v>
      </c>
      <c r="F207" s="1"/>
      <c r="G207" s="1">
        <v>8</v>
      </c>
      <c r="H207" s="1" t="s">
        <v>2766</v>
      </c>
    </row>
    <row r="208" spans="1:9" ht="15" x14ac:dyDescent="0.25">
      <c r="A208" s="3">
        <v>11040003</v>
      </c>
      <c r="B208" s="11" t="s">
        <v>152</v>
      </c>
      <c r="C208" s="11" t="s">
        <v>1365</v>
      </c>
      <c r="D208" s="1">
        <f t="shared" si="11"/>
        <v>8</v>
      </c>
      <c r="F208" s="1"/>
      <c r="G208" s="1">
        <v>8</v>
      </c>
      <c r="H208" s="1" t="s">
        <v>2766</v>
      </c>
    </row>
    <row r="209" spans="1:10" ht="15" x14ac:dyDescent="0.25">
      <c r="A209" s="3">
        <v>11040003</v>
      </c>
      <c r="B209" s="11" t="s">
        <v>152</v>
      </c>
      <c r="C209" s="11" t="s">
        <v>1366</v>
      </c>
      <c r="D209" s="1">
        <f t="shared" si="11"/>
        <v>12</v>
      </c>
      <c r="F209" s="1"/>
      <c r="G209" s="1">
        <v>12</v>
      </c>
      <c r="H209" s="1" t="s">
        <v>2766</v>
      </c>
    </row>
    <row r="210" spans="1:10" ht="15" x14ac:dyDescent="0.25">
      <c r="A210" s="24">
        <v>11040004</v>
      </c>
      <c r="B210" s="25" t="s">
        <v>148</v>
      </c>
      <c r="C210" s="25" t="s">
        <v>0</v>
      </c>
      <c r="D210" s="4">
        <v>8</v>
      </c>
      <c r="H210" s="1" t="s">
        <v>2766</v>
      </c>
    </row>
    <row r="211" spans="1:10" ht="15" x14ac:dyDescent="0.25">
      <c r="A211" s="3">
        <v>11040004</v>
      </c>
      <c r="B211" s="11" t="s">
        <v>148</v>
      </c>
      <c r="C211" s="11" t="s">
        <v>1363</v>
      </c>
      <c r="D211" s="1">
        <f t="shared" ref="D211:D218" si="12">G211</f>
        <v>12</v>
      </c>
      <c r="F211" s="1"/>
      <c r="G211" s="1">
        <v>12</v>
      </c>
      <c r="H211" s="1" t="s">
        <v>2766</v>
      </c>
      <c r="I211" s="1" t="s">
        <v>2686</v>
      </c>
    </row>
    <row r="212" spans="1:10" ht="15" x14ac:dyDescent="0.25">
      <c r="A212" s="3">
        <v>11040004</v>
      </c>
      <c r="B212" s="11" t="s">
        <v>151</v>
      </c>
      <c r="C212" s="11" t="s">
        <v>1364</v>
      </c>
      <c r="D212" s="1">
        <f t="shared" si="12"/>
        <v>12</v>
      </c>
      <c r="F212" s="1"/>
      <c r="G212" s="1">
        <v>12</v>
      </c>
      <c r="H212" s="1" t="s">
        <v>2766</v>
      </c>
      <c r="I212" s="1" t="s">
        <v>2686</v>
      </c>
    </row>
    <row r="213" spans="1:10" ht="15" x14ac:dyDescent="0.25">
      <c r="A213" s="16">
        <v>11040004</v>
      </c>
      <c r="B213" s="11" t="s">
        <v>158</v>
      </c>
      <c r="C213" s="11" t="s">
        <v>1370</v>
      </c>
      <c r="D213" s="1">
        <f t="shared" si="12"/>
        <v>12</v>
      </c>
      <c r="F213" s="1"/>
      <c r="G213" s="1">
        <v>12</v>
      </c>
      <c r="H213" s="1" t="s">
        <v>2766</v>
      </c>
      <c r="I213" s="1" t="s">
        <v>2686</v>
      </c>
    </row>
    <row r="214" spans="1:10" ht="15" x14ac:dyDescent="0.25">
      <c r="A214" s="3">
        <v>11040004</v>
      </c>
      <c r="B214" s="11" t="s">
        <v>155</v>
      </c>
      <c r="C214" s="11" t="s">
        <v>1368</v>
      </c>
      <c r="D214" s="1">
        <f t="shared" si="12"/>
        <v>12</v>
      </c>
      <c r="F214" s="1"/>
      <c r="G214" s="1">
        <v>12</v>
      </c>
      <c r="H214" s="1" t="s">
        <v>2766</v>
      </c>
    </row>
    <row r="215" spans="1:10" ht="15" x14ac:dyDescent="0.25">
      <c r="A215" s="3">
        <v>11040004</v>
      </c>
      <c r="B215" s="11" t="s">
        <v>153</v>
      </c>
      <c r="C215" s="11" t="s">
        <v>1367</v>
      </c>
      <c r="D215" s="4">
        <f t="shared" si="12"/>
        <v>8</v>
      </c>
      <c r="F215" s="1"/>
      <c r="G215" s="1">
        <v>8</v>
      </c>
      <c r="H215" s="1" t="s">
        <v>2766</v>
      </c>
    </row>
    <row r="216" spans="1:10" ht="15" x14ac:dyDescent="0.25">
      <c r="A216" s="3">
        <v>11040005</v>
      </c>
      <c r="B216" s="11" t="s">
        <v>149</v>
      </c>
      <c r="C216" s="11" t="s">
        <v>1363</v>
      </c>
      <c r="D216" s="1">
        <f t="shared" si="12"/>
        <v>8</v>
      </c>
      <c r="F216" s="1"/>
      <c r="G216" s="1">
        <v>8</v>
      </c>
      <c r="H216" s="1" t="s">
        <v>2766</v>
      </c>
      <c r="I216" s="1" t="s">
        <v>2687</v>
      </c>
    </row>
    <row r="217" spans="1:10" ht="15" x14ac:dyDescent="0.25">
      <c r="A217" s="3">
        <v>11040005</v>
      </c>
      <c r="B217" s="11" t="s">
        <v>156</v>
      </c>
      <c r="C217" s="11" t="s">
        <v>1368</v>
      </c>
      <c r="D217" s="1">
        <f t="shared" si="12"/>
        <v>12</v>
      </c>
      <c r="F217" s="1"/>
      <c r="G217" s="1">
        <v>12</v>
      </c>
      <c r="H217" s="1" t="s">
        <v>2766</v>
      </c>
    </row>
    <row r="218" spans="1:10" ht="15" x14ac:dyDescent="0.25">
      <c r="A218" s="3">
        <v>11040005</v>
      </c>
      <c r="B218" s="11" t="s">
        <v>154</v>
      </c>
      <c r="C218" s="11" t="s">
        <v>1367</v>
      </c>
      <c r="D218" s="1">
        <f t="shared" si="12"/>
        <v>8</v>
      </c>
      <c r="F218" s="1"/>
      <c r="G218" s="1">
        <v>8</v>
      </c>
      <c r="H218" s="1" t="s">
        <v>2766</v>
      </c>
    </row>
    <row r="219" spans="1:10" ht="15" x14ac:dyDescent="0.25">
      <c r="A219" s="3">
        <v>11050001</v>
      </c>
      <c r="B219" s="11" t="s">
        <v>162</v>
      </c>
      <c r="C219" s="11" t="s">
        <v>1373</v>
      </c>
      <c r="D219" s="4">
        <f>ROUND(E219*F219,0)</f>
        <v>91</v>
      </c>
      <c r="E219" s="1">
        <f>ROUND(162/237,1)</f>
        <v>0.7</v>
      </c>
      <c r="F219" s="1">
        <v>130</v>
      </c>
      <c r="H219" s="1" t="s">
        <v>3005</v>
      </c>
    </row>
    <row r="220" spans="1:10" ht="15" x14ac:dyDescent="0.25">
      <c r="A220" s="3">
        <v>11050002</v>
      </c>
      <c r="B220" s="11" t="s">
        <v>163</v>
      </c>
      <c r="C220" s="11" t="s">
        <v>1373</v>
      </c>
      <c r="D220" s="4">
        <f>ROUND(E220*F220,0)</f>
        <v>91</v>
      </c>
      <c r="E220" s="1">
        <f>ROUND(162/237,1)</f>
        <v>0.7</v>
      </c>
      <c r="F220" s="1">
        <v>130</v>
      </c>
      <c r="H220" s="1" t="s">
        <v>3005</v>
      </c>
    </row>
    <row r="221" spans="1:10" ht="15" x14ac:dyDescent="0.25">
      <c r="A221" s="16">
        <v>11050003</v>
      </c>
      <c r="B221" s="11" t="s">
        <v>164</v>
      </c>
      <c r="C221" s="11" t="s">
        <v>13</v>
      </c>
      <c r="D221" s="1">
        <v>91</v>
      </c>
      <c r="E221" s="4"/>
      <c r="F221" s="1" t="s">
        <v>3132</v>
      </c>
      <c r="G221" s="4"/>
      <c r="H221" s="1" t="s">
        <v>3029</v>
      </c>
      <c r="I221" s="1" t="s">
        <v>3132</v>
      </c>
      <c r="J221" s="1" t="s">
        <v>3132</v>
      </c>
    </row>
    <row r="222" spans="1:10" ht="15" x14ac:dyDescent="0.25">
      <c r="A222" s="3">
        <v>11050003</v>
      </c>
      <c r="B222" s="11" t="s">
        <v>164</v>
      </c>
      <c r="C222" s="11" t="s">
        <v>1373</v>
      </c>
      <c r="D222" s="4">
        <f>ROUND(E222*F222,0)</f>
        <v>91</v>
      </c>
      <c r="E222" s="1">
        <f>ROUND(162/237,1)</f>
        <v>0.7</v>
      </c>
      <c r="F222" s="1">
        <v>130</v>
      </c>
      <c r="H222" s="1" t="s">
        <v>3005</v>
      </c>
    </row>
    <row r="223" spans="1:10" ht="15" x14ac:dyDescent="0.25">
      <c r="A223" s="3">
        <v>11060001</v>
      </c>
      <c r="B223" s="11" t="s">
        <v>167</v>
      </c>
      <c r="C223" s="11" t="s">
        <v>1376</v>
      </c>
      <c r="D223" s="1">
        <v>20</v>
      </c>
      <c r="F223" s="1"/>
      <c r="G223" s="1">
        <v>20</v>
      </c>
      <c r="H223" s="1" t="s">
        <v>2767</v>
      </c>
      <c r="I223" s="1" t="s">
        <v>2689</v>
      </c>
    </row>
    <row r="224" spans="1:10" ht="15" x14ac:dyDescent="0.25">
      <c r="A224" s="3">
        <v>11060001</v>
      </c>
      <c r="B224" s="11" t="s">
        <v>167</v>
      </c>
      <c r="C224" s="11" t="s">
        <v>5</v>
      </c>
      <c r="D224" s="1">
        <v>35</v>
      </c>
      <c r="E224" s="4"/>
      <c r="F224" s="1" t="s">
        <v>3132</v>
      </c>
      <c r="G224" s="4"/>
      <c r="H224" s="1" t="s">
        <v>3140</v>
      </c>
      <c r="I224" s="1" t="s">
        <v>3132</v>
      </c>
      <c r="J224" s="1" t="s">
        <v>3132</v>
      </c>
    </row>
    <row r="225" spans="1:9" ht="15" x14ac:dyDescent="0.25">
      <c r="A225" s="3">
        <v>11060001</v>
      </c>
      <c r="B225" s="11" t="s">
        <v>167</v>
      </c>
      <c r="C225" s="11" t="s">
        <v>1377</v>
      </c>
      <c r="D225" s="1">
        <v>25</v>
      </c>
      <c r="F225" s="1"/>
      <c r="G225" s="1">
        <v>20</v>
      </c>
      <c r="H225" s="1" t="s">
        <v>2767</v>
      </c>
      <c r="I225" s="1" t="s">
        <v>2689</v>
      </c>
    </row>
    <row r="226" spans="1:9" ht="15" x14ac:dyDescent="0.25">
      <c r="A226" s="3">
        <v>11060002</v>
      </c>
      <c r="B226" s="11" t="s">
        <v>170</v>
      </c>
      <c r="C226" s="11" t="s">
        <v>1379</v>
      </c>
      <c r="D226" s="1">
        <v>25</v>
      </c>
      <c r="F226" s="1"/>
      <c r="G226" s="1">
        <v>20</v>
      </c>
      <c r="H226" s="1" t="s">
        <v>2767</v>
      </c>
      <c r="I226" s="1" t="s">
        <v>2411</v>
      </c>
    </row>
    <row r="227" spans="1:9" ht="15" x14ac:dyDescent="0.25">
      <c r="A227" s="5">
        <v>11060002</v>
      </c>
      <c r="B227" s="11" t="s">
        <v>170</v>
      </c>
      <c r="C227" s="11" t="s">
        <v>10</v>
      </c>
      <c r="D227" s="1">
        <v>25</v>
      </c>
      <c r="F227" s="1"/>
      <c r="G227" s="1">
        <v>20</v>
      </c>
      <c r="H227" s="1" t="s">
        <v>2767</v>
      </c>
      <c r="I227" s="1" t="s">
        <v>2689</v>
      </c>
    </row>
    <row r="228" spans="1:9" ht="15" x14ac:dyDescent="0.25">
      <c r="A228" s="3">
        <v>11060002</v>
      </c>
      <c r="B228" s="11" t="s">
        <v>170</v>
      </c>
      <c r="C228" s="11" t="s">
        <v>1380</v>
      </c>
      <c r="D228" s="4">
        <v>35</v>
      </c>
      <c r="F228" s="1"/>
      <c r="G228" s="1">
        <v>20</v>
      </c>
      <c r="H228" s="1" t="s">
        <v>2767</v>
      </c>
      <c r="I228" s="1" t="s">
        <v>2411</v>
      </c>
    </row>
    <row r="229" spans="1:9" ht="15" x14ac:dyDescent="0.25">
      <c r="A229" s="3">
        <v>11060002</v>
      </c>
      <c r="B229" s="11" t="s">
        <v>170</v>
      </c>
      <c r="C229" s="11" t="s">
        <v>1381</v>
      </c>
      <c r="D229" s="1">
        <v>45</v>
      </c>
      <c r="F229" s="1"/>
      <c r="G229" s="5">
        <v>20</v>
      </c>
      <c r="H229" s="1" t="s">
        <v>2767</v>
      </c>
      <c r="I229" s="1" t="s">
        <v>2411</v>
      </c>
    </row>
    <row r="230" spans="1:9" ht="15" x14ac:dyDescent="0.25">
      <c r="A230" s="20">
        <v>11060002</v>
      </c>
      <c r="B230" s="11" t="s">
        <v>170</v>
      </c>
      <c r="C230" s="11" t="s">
        <v>13</v>
      </c>
      <c r="D230" s="1">
        <v>52</v>
      </c>
      <c r="F230" s="1"/>
      <c r="G230" s="5">
        <v>20</v>
      </c>
      <c r="H230" s="1" t="s">
        <v>2767</v>
      </c>
      <c r="I230" s="1" t="s">
        <v>2689</v>
      </c>
    </row>
    <row r="231" spans="1:9" ht="15" x14ac:dyDescent="0.25">
      <c r="A231" s="5">
        <v>11060002</v>
      </c>
      <c r="B231" s="11" t="s">
        <v>170</v>
      </c>
      <c r="C231" s="11" t="s">
        <v>9</v>
      </c>
      <c r="D231" s="1">
        <v>20</v>
      </c>
      <c r="F231" s="1"/>
      <c r="G231" s="1">
        <v>20</v>
      </c>
      <c r="H231" s="1" t="s">
        <v>2767</v>
      </c>
      <c r="I231" s="1" t="s">
        <v>2689</v>
      </c>
    </row>
    <row r="232" spans="1:9" ht="15" x14ac:dyDescent="0.25">
      <c r="A232" s="24">
        <v>11060004</v>
      </c>
      <c r="B232" s="25" t="s">
        <v>166</v>
      </c>
      <c r="C232" s="25" t="s">
        <v>2</v>
      </c>
      <c r="D232" s="4">
        <v>25</v>
      </c>
      <c r="H232" s="1" t="s">
        <v>2767</v>
      </c>
    </row>
    <row r="233" spans="1:9" ht="15" x14ac:dyDescent="0.25">
      <c r="A233" s="24">
        <v>11060004</v>
      </c>
      <c r="B233" s="25" t="s">
        <v>166</v>
      </c>
      <c r="C233" s="25" t="s">
        <v>23</v>
      </c>
      <c r="D233" s="4">
        <v>26</v>
      </c>
      <c r="H233" s="1" t="s">
        <v>2767</v>
      </c>
    </row>
    <row r="234" spans="1:9" ht="15" x14ac:dyDescent="0.25">
      <c r="A234" s="16">
        <v>11060004</v>
      </c>
      <c r="B234" s="11" t="s">
        <v>166</v>
      </c>
      <c r="C234" s="11" t="s">
        <v>1375</v>
      </c>
      <c r="D234" s="1">
        <v>35</v>
      </c>
      <c r="F234" s="1"/>
      <c r="G234" s="1">
        <v>20</v>
      </c>
      <c r="H234" s="1" t="s">
        <v>2767</v>
      </c>
      <c r="I234" s="1" t="s">
        <v>2689</v>
      </c>
    </row>
    <row r="235" spans="1:9" ht="15" x14ac:dyDescent="0.25">
      <c r="A235" s="16">
        <v>11060004</v>
      </c>
      <c r="B235" s="11" t="s">
        <v>166</v>
      </c>
      <c r="C235" s="11" t="s">
        <v>13</v>
      </c>
      <c r="D235" s="1">
        <v>52</v>
      </c>
      <c r="F235" s="1"/>
      <c r="G235" s="1">
        <v>20</v>
      </c>
      <c r="H235" s="1" t="s">
        <v>2767</v>
      </c>
      <c r="I235" s="1" t="s">
        <v>2689</v>
      </c>
    </row>
    <row r="236" spans="1:9" ht="15" x14ac:dyDescent="0.25">
      <c r="A236" s="3">
        <v>11060004</v>
      </c>
      <c r="B236" s="11" t="s">
        <v>168</v>
      </c>
      <c r="C236" s="11" t="s">
        <v>1378</v>
      </c>
      <c r="D236" s="1">
        <v>25</v>
      </c>
      <c r="F236" s="1"/>
      <c r="G236" s="1">
        <v>20</v>
      </c>
      <c r="H236" s="1" t="s">
        <v>2767</v>
      </c>
      <c r="I236" s="1" t="s">
        <v>2689</v>
      </c>
    </row>
    <row r="237" spans="1:9" ht="15" x14ac:dyDescent="0.25">
      <c r="A237" s="16">
        <v>11060005</v>
      </c>
      <c r="B237" s="11" t="s">
        <v>177</v>
      </c>
      <c r="C237" s="11" t="s">
        <v>11</v>
      </c>
      <c r="D237" s="11">
        <v>16</v>
      </c>
      <c r="F237" s="1"/>
      <c r="H237" s="1" t="s">
        <v>2768</v>
      </c>
      <c r="I237" s="1" t="s">
        <v>2693</v>
      </c>
    </row>
    <row r="238" spans="1:9" ht="15" x14ac:dyDescent="0.25">
      <c r="A238" s="24">
        <v>11060005</v>
      </c>
      <c r="B238" s="25" t="s">
        <v>177</v>
      </c>
      <c r="C238" s="25" t="s">
        <v>23</v>
      </c>
      <c r="D238" s="21">
        <v>32</v>
      </c>
      <c r="H238" s="1" t="s">
        <v>2768</v>
      </c>
    </row>
    <row r="239" spans="1:9" ht="15" x14ac:dyDescent="0.25">
      <c r="A239" s="16">
        <v>11060005</v>
      </c>
      <c r="B239" s="11" t="s">
        <v>177</v>
      </c>
      <c r="C239" s="11" t="s">
        <v>1386</v>
      </c>
      <c r="D239" s="21">
        <v>65</v>
      </c>
      <c r="E239" s="1">
        <v>0.85</v>
      </c>
      <c r="F239" s="1">
        <v>84</v>
      </c>
      <c r="H239" s="1" t="s">
        <v>2435</v>
      </c>
    </row>
    <row r="240" spans="1:9" ht="15" x14ac:dyDescent="0.25">
      <c r="A240" s="24">
        <v>11060006</v>
      </c>
      <c r="B240" s="25" t="s">
        <v>165</v>
      </c>
      <c r="C240" s="25" t="s">
        <v>26</v>
      </c>
      <c r="D240" s="21">
        <v>16</v>
      </c>
      <c r="H240" s="1" t="s">
        <v>2768</v>
      </c>
    </row>
    <row r="241" spans="1:46" ht="15" x14ac:dyDescent="0.25">
      <c r="A241" s="16">
        <v>11060006</v>
      </c>
      <c r="B241" s="11" t="s">
        <v>165</v>
      </c>
      <c r="C241" s="11" t="s">
        <v>1382</v>
      </c>
      <c r="D241" s="21">
        <v>32</v>
      </c>
      <c r="E241" s="10"/>
      <c r="F241" s="1"/>
      <c r="H241" s="1" t="s">
        <v>2768</v>
      </c>
      <c r="I241" s="1" t="s">
        <v>2691</v>
      </c>
    </row>
    <row r="242" spans="1:46" ht="15" x14ac:dyDescent="0.25">
      <c r="A242" s="16">
        <v>11060006</v>
      </c>
      <c r="B242" s="11" t="s">
        <v>176</v>
      </c>
      <c r="C242" s="11" t="s">
        <v>1385</v>
      </c>
      <c r="D242" s="11">
        <v>64</v>
      </c>
      <c r="E242" s="10"/>
      <c r="F242" s="10"/>
      <c r="H242" s="1" t="s">
        <v>2768</v>
      </c>
      <c r="I242" s="1" t="s">
        <v>2692</v>
      </c>
    </row>
    <row r="243" spans="1:46" ht="15" x14ac:dyDescent="0.25">
      <c r="A243" s="20">
        <v>11060006</v>
      </c>
      <c r="B243" s="11" t="s">
        <v>165</v>
      </c>
      <c r="C243" s="11" t="s">
        <v>4</v>
      </c>
      <c r="D243" s="21">
        <v>65</v>
      </c>
      <c r="E243" s="10"/>
      <c r="F243" s="1"/>
      <c r="H243" s="1" t="s">
        <v>2768</v>
      </c>
      <c r="I243" s="1" t="s">
        <v>2691</v>
      </c>
    </row>
    <row r="244" spans="1:46" ht="15" x14ac:dyDescent="0.25">
      <c r="A244" s="24">
        <v>11060006</v>
      </c>
      <c r="B244" s="25" t="s">
        <v>165</v>
      </c>
      <c r="C244" s="25" t="s">
        <v>13</v>
      </c>
      <c r="D244" s="21">
        <v>65</v>
      </c>
      <c r="H244" s="1" t="s">
        <v>2768</v>
      </c>
    </row>
    <row r="245" spans="1:46" ht="15" x14ac:dyDescent="0.25">
      <c r="A245" s="16">
        <v>11060006</v>
      </c>
      <c r="B245" s="11" t="s">
        <v>165</v>
      </c>
      <c r="C245" s="11" t="s">
        <v>1374</v>
      </c>
      <c r="D245" s="11">
        <v>65</v>
      </c>
      <c r="E245" s="10"/>
      <c r="F245" s="1"/>
      <c r="H245" s="1" t="s">
        <v>2768</v>
      </c>
      <c r="I245" s="1" t="s">
        <v>2691</v>
      </c>
    </row>
    <row r="246" spans="1:46" ht="15" x14ac:dyDescent="0.25">
      <c r="A246" s="16">
        <v>11060006</v>
      </c>
      <c r="B246" s="11" t="s">
        <v>165</v>
      </c>
      <c r="C246" s="11" t="s">
        <v>2676</v>
      </c>
      <c r="D246" s="11">
        <v>65</v>
      </c>
      <c r="E246" s="10"/>
      <c r="F246" s="1"/>
      <c r="H246" s="1" t="s">
        <v>2768</v>
      </c>
      <c r="I246" s="1" t="s">
        <v>2691</v>
      </c>
    </row>
    <row r="247" spans="1:46" ht="15" x14ac:dyDescent="0.25">
      <c r="A247" s="24">
        <v>11060006</v>
      </c>
      <c r="B247" s="25" t="s">
        <v>165</v>
      </c>
      <c r="C247" s="25" t="s">
        <v>8</v>
      </c>
      <c r="D247" s="21">
        <v>130</v>
      </c>
      <c r="H247" s="1" t="s">
        <v>2768</v>
      </c>
    </row>
    <row r="248" spans="1:46" ht="15" x14ac:dyDescent="0.25">
      <c r="A248" s="16">
        <v>11060006</v>
      </c>
      <c r="B248" s="11" t="s">
        <v>171</v>
      </c>
      <c r="C248" s="11" t="s">
        <v>1383</v>
      </c>
      <c r="D248" s="21">
        <v>65</v>
      </c>
      <c r="E248" s="10"/>
      <c r="F248" s="1"/>
      <c r="H248" s="1" t="s">
        <v>2768</v>
      </c>
      <c r="I248" s="1" t="s">
        <v>2691</v>
      </c>
    </row>
    <row r="249" spans="1:46" s="2" customFormat="1" ht="15" x14ac:dyDescent="0.25">
      <c r="A249" s="16">
        <v>11060006</v>
      </c>
      <c r="B249" s="11" t="s">
        <v>181</v>
      </c>
      <c r="C249" s="11" t="s">
        <v>1392</v>
      </c>
      <c r="D249" s="21">
        <v>100</v>
      </c>
      <c r="E249" s="22">
        <v>0.85</v>
      </c>
      <c r="F249" s="1">
        <v>130</v>
      </c>
      <c r="G249" s="1"/>
      <c r="H249" s="1" t="s">
        <v>2435</v>
      </c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5" x14ac:dyDescent="0.25">
      <c r="A250" s="16">
        <v>11060006</v>
      </c>
      <c r="B250" s="11" t="s">
        <v>178</v>
      </c>
      <c r="C250" s="11" t="s">
        <v>1387</v>
      </c>
      <c r="D250" s="21">
        <v>32</v>
      </c>
      <c r="E250" s="10">
        <v>0.85</v>
      </c>
      <c r="F250" s="1">
        <v>155</v>
      </c>
      <c r="H250" s="1" t="s">
        <v>2435</v>
      </c>
      <c r="I250" s="1" t="s">
        <v>2690</v>
      </c>
    </row>
    <row r="251" spans="1:46" ht="15" x14ac:dyDescent="0.25">
      <c r="A251" s="16">
        <v>11060006</v>
      </c>
      <c r="B251" s="11" t="s">
        <v>178</v>
      </c>
      <c r="C251" s="11" t="s">
        <v>1388</v>
      </c>
      <c r="D251" s="21">
        <v>65</v>
      </c>
      <c r="E251" s="10">
        <f>200/236.6</f>
        <v>0.84530853761622993</v>
      </c>
      <c r="F251" s="1">
        <v>84</v>
      </c>
      <c r="H251" s="1" t="s">
        <v>2435</v>
      </c>
    </row>
    <row r="252" spans="1:46" ht="15" x14ac:dyDescent="0.25">
      <c r="A252" s="16">
        <v>11060007</v>
      </c>
      <c r="B252" s="11" t="s">
        <v>169</v>
      </c>
      <c r="C252" s="11" t="s">
        <v>26</v>
      </c>
      <c r="D252" s="21">
        <v>16</v>
      </c>
      <c r="F252" s="1"/>
      <c r="H252" s="1" t="s">
        <v>2768</v>
      </c>
    </row>
    <row r="253" spans="1:46" ht="15" x14ac:dyDescent="0.25">
      <c r="A253" s="16">
        <v>11060007</v>
      </c>
      <c r="B253" s="11" t="s">
        <v>169</v>
      </c>
      <c r="C253" s="11" t="s">
        <v>1382</v>
      </c>
      <c r="D253" s="21">
        <v>32</v>
      </c>
      <c r="E253" s="10"/>
      <c r="F253" s="1"/>
      <c r="H253" s="1" t="s">
        <v>2768</v>
      </c>
      <c r="I253" s="1" t="s">
        <v>2691</v>
      </c>
    </row>
    <row r="254" spans="1:46" ht="15" x14ac:dyDescent="0.25">
      <c r="A254" s="16">
        <v>11060007</v>
      </c>
      <c r="B254" s="11" t="s">
        <v>175</v>
      </c>
      <c r="C254" s="11" t="s">
        <v>1384</v>
      </c>
      <c r="D254" s="11">
        <v>43</v>
      </c>
      <c r="E254" s="10"/>
      <c r="F254" s="10"/>
      <c r="H254" s="1" t="s">
        <v>2768</v>
      </c>
      <c r="I254" s="1" t="s">
        <v>2694</v>
      </c>
    </row>
    <row r="255" spans="1:46" ht="15" x14ac:dyDescent="0.25">
      <c r="A255" s="24">
        <v>11060007</v>
      </c>
      <c r="B255" s="25" t="s">
        <v>169</v>
      </c>
      <c r="C255" s="25" t="s">
        <v>13</v>
      </c>
      <c r="D255" s="21">
        <v>65</v>
      </c>
      <c r="H255" s="1" t="s">
        <v>2768</v>
      </c>
    </row>
    <row r="256" spans="1:46" ht="15" x14ac:dyDescent="0.25">
      <c r="A256" s="20">
        <v>11060007</v>
      </c>
      <c r="B256" s="11" t="s">
        <v>169</v>
      </c>
      <c r="C256" s="11" t="s">
        <v>4</v>
      </c>
      <c r="D256" s="21">
        <v>65</v>
      </c>
      <c r="E256" s="10"/>
      <c r="F256" s="1"/>
      <c r="H256" s="1" t="s">
        <v>2768</v>
      </c>
      <c r="I256" s="1" t="s">
        <v>2691</v>
      </c>
    </row>
    <row r="257" spans="1:9" ht="15" x14ac:dyDescent="0.25">
      <c r="A257" s="16">
        <v>11060007</v>
      </c>
      <c r="B257" s="11" t="s">
        <v>169</v>
      </c>
      <c r="C257" s="11" t="s">
        <v>2676</v>
      </c>
      <c r="D257" s="11">
        <v>65</v>
      </c>
      <c r="E257" s="10"/>
      <c r="F257" s="1"/>
      <c r="H257" s="1" t="s">
        <v>2768</v>
      </c>
      <c r="I257" s="1" t="s">
        <v>2691</v>
      </c>
    </row>
    <row r="258" spans="1:9" ht="15" x14ac:dyDescent="0.25">
      <c r="A258" s="16">
        <v>11060007</v>
      </c>
      <c r="B258" s="11" t="s">
        <v>172</v>
      </c>
      <c r="C258" s="11" t="s">
        <v>1383</v>
      </c>
      <c r="D258" s="21">
        <v>65</v>
      </c>
      <c r="E258" s="10"/>
      <c r="F258" s="1"/>
      <c r="H258" s="1" t="s">
        <v>2768</v>
      </c>
      <c r="I258" s="1" t="s">
        <v>2691</v>
      </c>
    </row>
    <row r="259" spans="1:9" ht="15" x14ac:dyDescent="0.25">
      <c r="A259" s="16">
        <v>11060007</v>
      </c>
      <c r="B259" s="11" t="s">
        <v>185</v>
      </c>
      <c r="C259" s="11" t="s">
        <v>1397</v>
      </c>
      <c r="D259" s="21">
        <v>100</v>
      </c>
      <c r="E259" s="11">
        <v>0.85</v>
      </c>
      <c r="F259" s="1">
        <v>130</v>
      </c>
      <c r="H259" s="1" t="s">
        <v>2435</v>
      </c>
    </row>
    <row r="260" spans="1:9" ht="15" x14ac:dyDescent="0.25">
      <c r="A260" s="16">
        <v>11060007</v>
      </c>
      <c r="B260" s="11" t="s">
        <v>179</v>
      </c>
      <c r="C260" s="11" t="s">
        <v>1389</v>
      </c>
      <c r="D260" s="21">
        <v>32</v>
      </c>
      <c r="E260" s="10">
        <v>0.85</v>
      </c>
      <c r="F260" s="1">
        <v>155</v>
      </c>
      <c r="H260" s="1" t="s">
        <v>2435</v>
      </c>
      <c r="I260" s="1" t="s">
        <v>2690</v>
      </c>
    </row>
    <row r="261" spans="1:9" ht="15" x14ac:dyDescent="0.25">
      <c r="A261" s="16">
        <v>11060007</v>
      </c>
      <c r="B261" s="11" t="s">
        <v>179</v>
      </c>
      <c r="C261" s="11" t="s">
        <v>1390</v>
      </c>
      <c r="D261" s="21">
        <v>65</v>
      </c>
      <c r="E261" s="1">
        <v>0.85</v>
      </c>
      <c r="F261" s="1">
        <v>84</v>
      </c>
      <c r="H261" s="1" t="s">
        <v>2435</v>
      </c>
    </row>
    <row r="262" spans="1:9" ht="15" x14ac:dyDescent="0.25">
      <c r="A262" s="16">
        <v>11060008</v>
      </c>
      <c r="B262" s="11" t="s">
        <v>187</v>
      </c>
      <c r="C262" s="11" t="s">
        <v>1399</v>
      </c>
      <c r="D262" s="21">
        <f>ROUND(E262*F262,0)</f>
        <v>91</v>
      </c>
      <c r="E262" s="1">
        <f>ROUND(166/237,1)</f>
        <v>0.7</v>
      </c>
      <c r="F262" s="1">
        <v>130</v>
      </c>
      <c r="H262" s="1" t="s">
        <v>3006</v>
      </c>
    </row>
    <row r="263" spans="1:9" ht="15" x14ac:dyDescent="0.25">
      <c r="A263" s="20">
        <v>11060009</v>
      </c>
      <c r="B263" s="11" t="s">
        <v>180</v>
      </c>
      <c r="C263" s="11" t="s">
        <v>27</v>
      </c>
      <c r="D263" s="21">
        <v>100</v>
      </c>
      <c r="E263" s="22">
        <v>0.85</v>
      </c>
      <c r="F263" s="1">
        <v>130</v>
      </c>
      <c r="H263" s="1" t="s">
        <v>2768</v>
      </c>
      <c r="I263" s="1" t="s">
        <v>2410</v>
      </c>
    </row>
    <row r="264" spans="1:9" ht="15" x14ac:dyDescent="0.25">
      <c r="A264" s="16">
        <v>11060009</v>
      </c>
      <c r="B264" s="11" t="s">
        <v>180</v>
      </c>
      <c r="C264" s="11" t="s">
        <v>1391</v>
      </c>
      <c r="D264" s="21">
        <v>32</v>
      </c>
      <c r="E264" s="10">
        <v>0.85</v>
      </c>
      <c r="F264" s="1">
        <v>155</v>
      </c>
      <c r="H264" s="1" t="s">
        <v>2435</v>
      </c>
      <c r="I264" s="1" t="s">
        <v>2690</v>
      </c>
    </row>
    <row r="265" spans="1:9" ht="15" x14ac:dyDescent="0.25">
      <c r="A265" s="16">
        <v>11060009</v>
      </c>
      <c r="B265" s="11" t="s">
        <v>182</v>
      </c>
      <c r="C265" s="11" t="s">
        <v>1393</v>
      </c>
      <c r="D265" s="21">
        <v>65</v>
      </c>
      <c r="E265" s="10">
        <v>0.85</v>
      </c>
      <c r="F265" s="1">
        <v>84</v>
      </c>
      <c r="H265" s="1" t="s">
        <v>2768</v>
      </c>
      <c r="I265" s="1" t="s">
        <v>2410</v>
      </c>
    </row>
    <row r="266" spans="1:9" ht="15" x14ac:dyDescent="0.25">
      <c r="A266" s="16">
        <v>11060010</v>
      </c>
      <c r="B266" s="11" t="s">
        <v>173</v>
      </c>
      <c r="C266" s="11" t="s">
        <v>1383</v>
      </c>
      <c r="D266" s="21">
        <v>65</v>
      </c>
      <c r="E266" s="10">
        <v>0.85</v>
      </c>
      <c r="F266" s="1">
        <v>155</v>
      </c>
      <c r="H266" s="1" t="s">
        <v>2435</v>
      </c>
      <c r="I266" s="1" t="s">
        <v>2691</v>
      </c>
    </row>
    <row r="267" spans="1:9" ht="15" x14ac:dyDescent="0.25">
      <c r="A267" s="16">
        <v>11060010</v>
      </c>
      <c r="B267" s="11" t="s">
        <v>188</v>
      </c>
      <c r="C267" s="11" t="s">
        <v>1399</v>
      </c>
      <c r="D267" s="21">
        <v>100</v>
      </c>
      <c r="E267" s="22">
        <v>0.85</v>
      </c>
      <c r="F267" s="5">
        <v>130</v>
      </c>
      <c r="H267" s="1" t="s">
        <v>2768</v>
      </c>
      <c r="I267" s="1" t="s">
        <v>2410</v>
      </c>
    </row>
    <row r="268" spans="1:9" ht="15" x14ac:dyDescent="0.25">
      <c r="A268" s="16">
        <v>11060010</v>
      </c>
      <c r="B268" s="11" t="s">
        <v>183</v>
      </c>
      <c r="C268" s="11" t="s">
        <v>1394</v>
      </c>
      <c r="D268" s="21">
        <v>32</v>
      </c>
      <c r="E268" s="10">
        <v>0.85</v>
      </c>
      <c r="F268" s="1">
        <v>155</v>
      </c>
      <c r="H268" s="1" t="s">
        <v>2435</v>
      </c>
      <c r="I268" s="1" t="s">
        <v>2690</v>
      </c>
    </row>
    <row r="269" spans="1:9" ht="15" x14ac:dyDescent="0.25">
      <c r="A269" s="16">
        <v>11060010</v>
      </c>
      <c r="B269" s="11" t="s">
        <v>183</v>
      </c>
      <c r="C269" s="11" t="s">
        <v>1395</v>
      </c>
      <c r="D269" s="21">
        <v>65</v>
      </c>
      <c r="E269" s="10">
        <v>0.85</v>
      </c>
      <c r="F269" s="5">
        <v>84</v>
      </c>
      <c r="H269" s="1" t="s">
        <v>2435</v>
      </c>
    </row>
    <row r="270" spans="1:9" ht="15" x14ac:dyDescent="0.25">
      <c r="A270" s="16">
        <v>11060011</v>
      </c>
      <c r="B270" s="11" t="s">
        <v>174</v>
      </c>
      <c r="C270" s="11" t="s">
        <v>14</v>
      </c>
      <c r="D270" s="21">
        <v>32</v>
      </c>
      <c r="E270" s="10"/>
      <c r="F270" s="5"/>
      <c r="H270" s="1" t="s">
        <v>2435</v>
      </c>
      <c r="I270" s="1" t="s">
        <v>2693</v>
      </c>
    </row>
    <row r="271" spans="1:9" ht="15" x14ac:dyDescent="0.25">
      <c r="A271" s="16">
        <v>11060011</v>
      </c>
      <c r="B271" s="11" t="s">
        <v>174</v>
      </c>
      <c r="C271" s="11" t="s">
        <v>1383</v>
      </c>
      <c r="D271" s="21">
        <v>65</v>
      </c>
      <c r="E271" s="10"/>
      <c r="F271" s="5"/>
      <c r="H271" s="1" t="s">
        <v>2435</v>
      </c>
      <c r="I271" s="1" t="s">
        <v>2691</v>
      </c>
    </row>
    <row r="272" spans="1:9" ht="15" x14ac:dyDescent="0.25">
      <c r="A272" s="16">
        <v>11060011</v>
      </c>
      <c r="B272" s="11" t="s">
        <v>174</v>
      </c>
      <c r="C272" s="11" t="s">
        <v>27</v>
      </c>
      <c r="D272" s="21">
        <v>100</v>
      </c>
      <c r="E272" s="22">
        <v>0.85</v>
      </c>
      <c r="F272" s="1">
        <v>130</v>
      </c>
      <c r="H272" s="1" t="s">
        <v>2435</v>
      </c>
    </row>
    <row r="273" spans="1:46" ht="15" x14ac:dyDescent="0.25">
      <c r="A273" s="16">
        <v>11060011</v>
      </c>
      <c r="B273" s="11" t="s">
        <v>184</v>
      </c>
      <c r="C273" s="11" t="s">
        <v>1396</v>
      </c>
      <c r="D273" s="21">
        <v>32</v>
      </c>
      <c r="E273" s="10">
        <v>0.85</v>
      </c>
      <c r="F273" s="1">
        <v>155</v>
      </c>
      <c r="H273" s="1" t="s">
        <v>2435</v>
      </c>
      <c r="I273" s="1" t="s">
        <v>2690</v>
      </c>
    </row>
    <row r="274" spans="1:46" ht="15" x14ac:dyDescent="0.25">
      <c r="A274" s="16">
        <v>11060011</v>
      </c>
      <c r="B274" s="11" t="s">
        <v>186</v>
      </c>
      <c r="C274" s="11" t="s">
        <v>1398</v>
      </c>
      <c r="D274" s="21">
        <v>65</v>
      </c>
      <c r="E274" s="10">
        <v>0.85</v>
      </c>
      <c r="F274" s="5">
        <v>84</v>
      </c>
      <c r="G274" s="5">
        <v>10</v>
      </c>
      <c r="H274" s="1" t="s">
        <v>2435</v>
      </c>
      <c r="I274" s="1" t="s">
        <v>2410</v>
      </c>
    </row>
    <row r="275" spans="1:46" ht="15" x14ac:dyDescent="0.25">
      <c r="A275" s="16">
        <v>11070001</v>
      </c>
      <c r="B275" s="11" t="s">
        <v>189</v>
      </c>
      <c r="C275" s="11" t="s">
        <v>26</v>
      </c>
      <c r="D275" s="1">
        <f>ROUND(E275*F275,0)</f>
        <v>28</v>
      </c>
      <c r="E275" s="1">
        <v>1.05</v>
      </c>
      <c r="F275" s="5">
        <v>27</v>
      </c>
      <c r="G275" s="5"/>
      <c r="H275" s="1" t="s">
        <v>2698</v>
      </c>
    </row>
    <row r="276" spans="1:46" ht="15" x14ac:dyDescent="0.25">
      <c r="A276" s="16">
        <v>11070001</v>
      </c>
      <c r="B276" s="11" t="s">
        <v>189</v>
      </c>
      <c r="C276" s="11" t="s">
        <v>1400</v>
      </c>
      <c r="D276" s="1">
        <f>ROUND(E276*F276,0)</f>
        <v>47</v>
      </c>
      <c r="E276" s="1">
        <v>1.05</v>
      </c>
      <c r="F276" s="1">
        <v>45</v>
      </c>
      <c r="H276" s="1" t="s">
        <v>2698</v>
      </c>
      <c r="I276" s="1" t="s">
        <v>2697</v>
      </c>
    </row>
    <row r="277" spans="1:46" ht="15" x14ac:dyDescent="0.25">
      <c r="A277" s="24">
        <v>11070001</v>
      </c>
      <c r="B277" s="25" t="s">
        <v>189</v>
      </c>
      <c r="C277" s="25" t="s">
        <v>14</v>
      </c>
      <c r="D277" s="21">
        <v>126</v>
      </c>
      <c r="E277" s="11"/>
      <c r="F277" s="2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</row>
    <row r="278" spans="1:46" s="11" customFormat="1" ht="15" x14ac:dyDescent="0.25">
      <c r="A278" s="5">
        <v>11070001</v>
      </c>
      <c r="B278" s="11" t="s">
        <v>189</v>
      </c>
      <c r="C278" s="11" t="s">
        <v>8</v>
      </c>
      <c r="D278" s="1">
        <f>ROUND(E278*F278,0)</f>
        <v>189</v>
      </c>
      <c r="E278" s="1">
        <v>1.05</v>
      </c>
      <c r="F278" s="5">
        <v>180</v>
      </c>
      <c r="G278" s="1"/>
      <c r="H278" s="1" t="s">
        <v>2698</v>
      </c>
      <c r="I278" s="1" t="s">
        <v>2695</v>
      </c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ht="15" x14ac:dyDescent="0.25">
      <c r="A279" s="3">
        <v>11070001</v>
      </c>
      <c r="B279" s="11" t="s">
        <v>189</v>
      </c>
      <c r="C279" s="11" t="s">
        <v>2674</v>
      </c>
      <c r="D279" s="1">
        <f>ROUND(E279*F279,0)</f>
        <v>189</v>
      </c>
      <c r="E279" s="1">
        <v>1.05</v>
      </c>
      <c r="F279" s="5">
        <v>180</v>
      </c>
      <c r="H279" s="1" t="s">
        <v>2698</v>
      </c>
      <c r="I279" s="1" t="s">
        <v>2695</v>
      </c>
    </row>
    <row r="280" spans="1:46" ht="15" x14ac:dyDescent="0.25">
      <c r="A280" s="24">
        <v>11070001</v>
      </c>
      <c r="B280" s="25" t="s">
        <v>189</v>
      </c>
      <c r="C280" s="25" t="s">
        <v>24</v>
      </c>
      <c r="D280" s="4">
        <v>122</v>
      </c>
      <c r="H280" s="1" t="s">
        <v>2698</v>
      </c>
    </row>
    <row r="281" spans="1:46" ht="15" x14ac:dyDescent="0.25">
      <c r="A281" s="16">
        <v>11070001</v>
      </c>
      <c r="B281" s="11" t="s">
        <v>189</v>
      </c>
      <c r="C281" s="11" t="s">
        <v>1401</v>
      </c>
      <c r="D281" s="1">
        <f>ROUND(E281*F281,0)</f>
        <v>189</v>
      </c>
      <c r="E281" s="1">
        <v>1.05</v>
      </c>
      <c r="F281" s="1">
        <v>180</v>
      </c>
      <c r="H281" s="1" t="s">
        <v>2698</v>
      </c>
      <c r="I281" s="1" t="s">
        <v>2696</v>
      </c>
    </row>
    <row r="282" spans="1:46" ht="15" x14ac:dyDescent="0.25">
      <c r="A282" s="3">
        <v>11070001</v>
      </c>
      <c r="B282" s="11" t="s">
        <v>189</v>
      </c>
      <c r="C282" s="11" t="s">
        <v>1402</v>
      </c>
      <c r="D282" s="4">
        <f>ROUND(E282*F282,0)</f>
        <v>189</v>
      </c>
      <c r="E282" s="1">
        <v>1.05</v>
      </c>
      <c r="F282" s="5">
        <v>180</v>
      </c>
      <c r="H282" s="1" t="s">
        <v>2698</v>
      </c>
      <c r="I282" s="1" t="s">
        <v>2695</v>
      </c>
    </row>
    <row r="283" spans="1:46" ht="15" x14ac:dyDescent="0.25">
      <c r="A283" s="3">
        <v>12010001</v>
      </c>
      <c r="B283" s="11" t="s">
        <v>190</v>
      </c>
      <c r="C283" s="11" t="s">
        <v>1403</v>
      </c>
      <c r="D283" s="1">
        <f>G283</f>
        <v>10</v>
      </c>
      <c r="F283" s="5"/>
      <c r="G283" s="1">
        <v>10</v>
      </c>
      <c r="H283" s="1" t="s">
        <v>2769</v>
      </c>
    </row>
    <row r="284" spans="1:46" ht="15" x14ac:dyDescent="0.25">
      <c r="A284" s="16">
        <v>12010001</v>
      </c>
      <c r="B284" s="11" t="s">
        <v>190</v>
      </c>
      <c r="C284" s="11" t="s">
        <v>26</v>
      </c>
      <c r="D284" s="1">
        <v>23</v>
      </c>
      <c r="F284" s="5"/>
      <c r="G284" s="1">
        <v>23</v>
      </c>
      <c r="H284" s="1" t="s">
        <v>2769</v>
      </c>
    </row>
    <row r="285" spans="1:46" ht="15" x14ac:dyDescent="0.25">
      <c r="A285" s="3">
        <v>12010002</v>
      </c>
      <c r="B285" s="11" t="s">
        <v>191</v>
      </c>
      <c r="C285" s="11" t="s">
        <v>1403</v>
      </c>
      <c r="D285" s="1">
        <f>G285</f>
        <v>16</v>
      </c>
      <c r="F285" s="5"/>
      <c r="G285" s="1">
        <v>16</v>
      </c>
      <c r="H285" s="1" t="s">
        <v>2436</v>
      </c>
      <c r="I285" s="1" t="s">
        <v>2437</v>
      </c>
    </row>
    <row r="286" spans="1:46" ht="15" x14ac:dyDescent="0.25">
      <c r="A286" s="3">
        <v>12010004</v>
      </c>
      <c r="B286" s="11" t="s">
        <v>2660</v>
      </c>
      <c r="C286" s="11" t="s">
        <v>25</v>
      </c>
      <c r="D286" s="1">
        <v>5</v>
      </c>
      <c r="E286" s="4"/>
      <c r="F286" s="5" t="s">
        <v>3132</v>
      </c>
      <c r="G286" s="4">
        <v>5</v>
      </c>
      <c r="H286" s="1" t="s">
        <v>2699</v>
      </c>
      <c r="I286" s="1" t="s">
        <v>2960</v>
      </c>
      <c r="J286" s="1" t="s">
        <v>3132</v>
      </c>
    </row>
    <row r="287" spans="1:46" ht="15" x14ac:dyDescent="0.25">
      <c r="A287" s="3">
        <v>12010004</v>
      </c>
      <c r="B287" s="11" t="s">
        <v>2660</v>
      </c>
      <c r="C287" s="11" t="s">
        <v>29</v>
      </c>
      <c r="D287" s="1">
        <v>14</v>
      </c>
      <c r="F287" s="5"/>
      <c r="G287" s="1">
        <v>14</v>
      </c>
      <c r="H287" s="1" t="s">
        <v>2699</v>
      </c>
      <c r="I287" s="1" t="s">
        <v>2700</v>
      </c>
    </row>
    <row r="288" spans="1:46" ht="15" x14ac:dyDescent="0.25">
      <c r="A288" s="16">
        <v>12010004</v>
      </c>
      <c r="B288" s="11" t="s">
        <v>2660</v>
      </c>
      <c r="C288" s="11" t="s">
        <v>26</v>
      </c>
      <c r="D288" s="1">
        <v>14</v>
      </c>
      <c r="F288" s="1"/>
      <c r="G288" s="1">
        <v>14</v>
      </c>
      <c r="H288" s="1" t="s">
        <v>2699</v>
      </c>
    </row>
    <row r="289" spans="1:46" ht="15" x14ac:dyDescent="0.25">
      <c r="A289" s="3">
        <v>12010005</v>
      </c>
      <c r="B289" s="11" t="s">
        <v>192</v>
      </c>
      <c r="C289" s="11" t="s">
        <v>1403</v>
      </c>
      <c r="D289" s="1">
        <v>10</v>
      </c>
      <c r="F289" s="5"/>
      <c r="G289" s="1">
        <v>10</v>
      </c>
      <c r="H289" s="1" t="s">
        <v>3007</v>
      </c>
    </row>
    <row r="290" spans="1:46" ht="15" x14ac:dyDescent="0.25">
      <c r="A290" s="3">
        <v>12010005</v>
      </c>
      <c r="B290" s="11" t="s">
        <v>192</v>
      </c>
      <c r="C290" s="11" t="s">
        <v>29</v>
      </c>
      <c r="D290" s="1">
        <v>14</v>
      </c>
      <c r="F290" s="5"/>
      <c r="G290" s="1">
        <v>14</v>
      </c>
      <c r="H290" s="1" t="s">
        <v>3007</v>
      </c>
      <c r="I290" s="1" t="s">
        <v>2700</v>
      </c>
    </row>
    <row r="291" spans="1:46" ht="15" x14ac:dyDescent="0.25">
      <c r="A291" s="3">
        <v>12010005</v>
      </c>
      <c r="B291" s="11" t="s">
        <v>192</v>
      </c>
      <c r="C291" s="11" t="s">
        <v>24</v>
      </c>
      <c r="D291" s="1">
        <f>ROUND(E291*F291,0)</f>
        <v>80</v>
      </c>
      <c r="E291" s="1">
        <f>ROUND(224/237,2)</f>
        <v>0.95</v>
      </c>
      <c r="F291" s="1">
        <v>84</v>
      </c>
      <c r="H291" s="1" t="s">
        <v>3008</v>
      </c>
    </row>
    <row r="292" spans="1:46" ht="15" x14ac:dyDescent="0.25">
      <c r="A292" s="16">
        <v>12010005</v>
      </c>
      <c r="B292" s="11" t="s">
        <v>192</v>
      </c>
      <c r="C292" s="11" t="s">
        <v>26</v>
      </c>
      <c r="D292" s="1">
        <v>14</v>
      </c>
      <c r="F292" s="5"/>
      <c r="G292" s="1">
        <v>14</v>
      </c>
      <c r="H292" s="1" t="s">
        <v>3007</v>
      </c>
    </row>
    <row r="293" spans="1:46" ht="15" x14ac:dyDescent="0.25">
      <c r="A293" s="3">
        <v>12010007</v>
      </c>
      <c r="B293" s="11" t="s">
        <v>3031</v>
      </c>
      <c r="C293" s="11" t="s">
        <v>25</v>
      </c>
      <c r="D293" s="1">
        <v>4</v>
      </c>
      <c r="E293" s="4"/>
      <c r="F293" s="1" t="s">
        <v>3132</v>
      </c>
      <c r="G293" s="4">
        <v>4</v>
      </c>
      <c r="H293" s="1" t="s">
        <v>3142</v>
      </c>
      <c r="I293" s="1" t="s">
        <v>3132</v>
      </c>
      <c r="J293" s="1" t="s">
        <v>3132</v>
      </c>
    </row>
    <row r="294" spans="1:46" ht="15" x14ac:dyDescent="0.25">
      <c r="A294" s="3">
        <v>12010008</v>
      </c>
      <c r="B294" s="11" t="s">
        <v>3032</v>
      </c>
      <c r="C294" s="11" t="s">
        <v>25</v>
      </c>
      <c r="D294" s="1">
        <v>3</v>
      </c>
      <c r="E294" s="4"/>
      <c r="F294" s="1" t="s">
        <v>3132</v>
      </c>
      <c r="G294" s="4">
        <v>3</v>
      </c>
      <c r="H294" s="1" t="s">
        <v>3141</v>
      </c>
      <c r="I294" s="1" t="s">
        <v>3132</v>
      </c>
      <c r="J294" s="1" t="s">
        <v>3132</v>
      </c>
    </row>
    <row r="295" spans="1:46" ht="15" x14ac:dyDescent="0.25">
      <c r="A295" s="16">
        <v>12020001</v>
      </c>
      <c r="B295" s="11" t="s">
        <v>195</v>
      </c>
      <c r="C295" s="11" t="s">
        <v>26</v>
      </c>
      <c r="D295" s="1">
        <f>ROUND(E295*F295,0)</f>
        <v>17</v>
      </c>
      <c r="E295" s="1">
        <f>ROUND(150/237,2)</f>
        <v>0.63</v>
      </c>
      <c r="F295" s="1">
        <v>27</v>
      </c>
      <c r="H295" s="1" t="s">
        <v>2438</v>
      </c>
      <c r="AT295" s="2"/>
    </row>
    <row r="296" spans="1:46" ht="15" x14ac:dyDescent="0.25">
      <c r="A296" s="3">
        <v>12020001</v>
      </c>
      <c r="B296" s="11" t="s">
        <v>195</v>
      </c>
      <c r="C296" s="11" t="s">
        <v>25</v>
      </c>
      <c r="D296" s="1">
        <f>ROUND(E296*F296,0)</f>
        <v>8</v>
      </c>
      <c r="E296" s="1">
        <f>ROUND(150/237,2)</f>
        <v>0.63</v>
      </c>
      <c r="F296" s="1">
        <v>12</v>
      </c>
      <c r="H296" s="1" t="s">
        <v>2438</v>
      </c>
    </row>
    <row r="297" spans="1:46" ht="15" x14ac:dyDescent="0.25">
      <c r="A297" s="3">
        <v>12020001</v>
      </c>
      <c r="B297" s="11" t="s">
        <v>195</v>
      </c>
      <c r="C297" s="11" t="s">
        <v>1405</v>
      </c>
      <c r="D297" s="4">
        <f>G297</f>
        <v>45</v>
      </c>
      <c r="E297" s="10"/>
      <c r="F297" s="1"/>
      <c r="G297" s="1">
        <v>45</v>
      </c>
      <c r="H297" s="1" t="s">
        <v>2438</v>
      </c>
      <c r="I297" s="1" t="s">
        <v>2439</v>
      </c>
    </row>
    <row r="298" spans="1:46" ht="15" x14ac:dyDescent="0.25">
      <c r="A298" s="5">
        <v>12020002</v>
      </c>
      <c r="B298" s="11" t="s">
        <v>193</v>
      </c>
      <c r="C298" s="11" t="s">
        <v>25</v>
      </c>
      <c r="D298" s="1">
        <f>ROUND(E298*F298,0)</f>
        <v>1</v>
      </c>
      <c r="E298" s="1">
        <f>ROUND(150/237*0.11,2)</f>
        <v>7.0000000000000007E-2</v>
      </c>
      <c r="F298" s="1">
        <v>8</v>
      </c>
      <c r="G298" s="1">
        <v>5</v>
      </c>
      <c r="H298" s="1" t="s">
        <v>2408</v>
      </c>
      <c r="I298" s="1" t="s">
        <v>3010</v>
      </c>
    </row>
    <row r="299" spans="1:46" ht="15" x14ac:dyDescent="0.25">
      <c r="A299" s="16">
        <v>12020002</v>
      </c>
      <c r="B299" s="11" t="s">
        <v>194</v>
      </c>
      <c r="C299" s="11" t="s">
        <v>1404</v>
      </c>
      <c r="D299" s="1">
        <f>ROUND(E299*F299,0)</f>
        <v>2</v>
      </c>
      <c r="E299" s="1">
        <f>ROUND(150/237*0.11,2)</f>
        <v>7.0000000000000007E-2</v>
      </c>
      <c r="F299" s="1">
        <v>27</v>
      </c>
      <c r="G299" s="1">
        <v>5</v>
      </c>
      <c r="H299" s="1" t="s">
        <v>2408</v>
      </c>
      <c r="I299" s="1" t="s">
        <v>3010</v>
      </c>
    </row>
    <row r="300" spans="1:46" ht="15" x14ac:dyDescent="0.25">
      <c r="A300" s="3">
        <v>12020002</v>
      </c>
      <c r="B300" s="11" t="s">
        <v>196</v>
      </c>
      <c r="C300" s="11" t="s">
        <v>1406</v>
      </c>
      <c r="D300" s="1">
        <v>2</v>
      </c>
      <c r="F300" s="1"/>
      <c r="G300" s="1">
        <v>5</v>
      </c>
      <c r="H300" s="1" t="s">
        <v>2408</v>
      </c>
      <c r="I300" s="1" t="s">
        <v>3009</v>
      </c>
    </row>
    <row r="301" spans="1:46" ht="15" x14ac:dyDescent="0.25">
      <c r="A301" s="3">
        <v>12020003</v>
      </c>
      <c r="B301" s="11" t="s">
        <v>197</v>
      </c>
      <c r="C301" s="11" t="s">
        <v>1406</v>
      </c>
      <c r="D301" s="1">
        <f>G301</f>
        <v>15</v>
      </c>
      <c r="F301" s="5"/>
      <c r="G301" s="1">
        <v>15</v>
      </c>
      <c r="H301" s="1" t="s">
        <v>2408</v>
      </c>
    </row>
    <row r="302" spans="1:46" ht="15" x14ac:dyDescent="0.25">
      <c r="A302" s="3">
        <v>12020004</v>
      </c>
      <c r="B302" s="11" t="s">
        <v>198</v>
      </c>
      <c r="C302" s="11" t="s">
        <v>14</v>
      </c>
      <c r="D302" s="1">
        <v>15</v>
      </c>
      <c r="F302" s="1"/>
      <c r="G302" s="1">
        <v>15</v>
      </c>
      <c r="H302" s="1" t="s">
        <v>3011</v>
      </c>
    </row>
    <row r="303" spans="1:46" ht="15" x14ac:dyDescent="0.25">
      <c r="A303" s="3">
        <v>12020004</v>
      </c>
      <c r="B303" s="11" t="s">
        <v>198</v>
      </c>
      <c r="C303" s="11" t="s">
        <v>1406</v>
      </c>
      <c r="D303" s="1">
        <v>15</v>
      </c>
      <c r="F303" s="1"/>
      <c r="G303" s="1">
        <v>5</v>
      </c>
      <c r="H303" s="1" t="s">
        <v>3011</v>
      </c>
    </row>
    <row r="304" spans="1:46" ht="15" x14ac:dyDescent="0.25">
      <c r="A304" s="3">
        <v>12020005</v>
      </c>
      <c r="B304" s="11" t="s">
        <v>2612</v>
      </c>
      <c r="C304" s="11" t="s">
        <v>2636</v>
      </c>
      <c r="D304" s="1">
        <v>1</v>
      </c>
      <c r="E304" s="1">
        <v>0.4</v>
      </c>
      <c r="F304" s="1">
        <v>1</v>
      </c>
      <c r="H304" s="1" t="s">
        <v>2928</v>
      </c>
    </row>
    <row r="305" spans="1:9" ht="15" x14ac:dyDescent="0.25">
      <c r="A305" s="24">
        <v>12020005</v>
      </c>
      <c r="B305" s="25" t="s">
        <v>2612</v>
      </c>
      <c r="C305" s="25" t="s">
        <v>28</v>
      </c>
      <c r="D305" s="4">
        <v>137</v>
      </c>
      <c r="H305" s="1" t="s">
        <v>2928</v>
      </c>
    </row>
    <row r="306" spans="1:9" ht="15" x14ac:dyDescent="0.25">
      <c r="A306" s="3">
        <v>12020005</v>
      </c>
      <c r="B306" s="11" t="s">
        <v>2612</v>
      </c>
      <c r="C306" s="11" t="s">
        <v>24</v>
      </c>
      <c r="D306" s="1">
        <f>ROUND(E306*F306,0)</f>
        <v>34</v>
      </c>
      <c r="E306" s="1">
        <v>0.4</v>
      </c>
      <c r="F306" s="1">
        <v>84</v>
      </c>
      <c r="H306" s="1" t="s">
        <v>2928</v>
      </c>
    </row>
    <row r="307" spans="1:9" ht="15" x14ac:dyDescent="0.25">
      <c r="A307" s="3">
        <v>12020005</v>
      </c>
      <c r="B307" s="11" t="s">
        <v>2612</v>
      </c>
      <c r="C307" s="11" t="s">
        <v>30</v>
      </c>
      <c r="D307" s="1">
        <f>ROUND(E307*F307,0)</f>
        <v>80</v>
      </c>
      <c r="E307" s="1">
        <v>0.4</v>
      </c>
      <c r="F307" s="1">
        <v>200</v>
      </c>
      <c r="H307" s="1" t="s">
        <v>2928</v>
      </c>
    </row>
    <row r="308" spans="1:9" ht="15" x14ac:dyDescent="0.25">
      <c r="A308" s="3">
        <v>12020005</v>
      </c>
      <c r="B308" s="11" t="s">
        <v>2612</v>
      </c>
      <c r="C308" s="11" t="s">
        <v>25</v>
      </c>
      <c r="D308" s="1">
        <f>ROUND(E308*F308,0)</f>
        <v>2</v>
      </c>
      <c r="E308" s="1">
        <v>0.4</v>
      </c>
      <c r="F308" s="1">
        <v>5</v>
      </c>
      <c r="G308" s="1">
        <v>4</v>
      </c>
      <c r="H308" s="1" t="s">
        <v>2928</v>
      </c>
    </row>
    <row r="309" spans="1:9" ht="15" x14ac:dyDescent="0.25">
      <c r="A309" s="16">
        <v>12020005</v>
      </c>
      <c r="B309" s="11" t="s">
        <v>2612</v>
      </c>
      <c r="C309" s="11" t="s">
        <v>26</v>
      </c>
      <c r="D309" s="1">
        <f>ROUND(E309*F309,0)</f>
        <v>3</v>
      </c>
      <c r="E309" s="1">
        <f>2/5</f>
        <v>0.4</v>
      </c>
      <c r="F309" s="1">
        <v>8</v>
      </c>
      <c r="H309" s="1" t="s">
        <v>2928</v>
      </c>
    </row>
    <row r="310" spans="1:9" ht="15" x14ac:dyDescent="0.25">
      <c r="A310" s="20">
        <v>12020006</v>
      </c>
      <c r="B310" s="11" t="s">
        <v>3214</v>
      </c>
      <c r="C310" s="11" t="s">
        <v>17</v>
      </c>
      <c r="D310" s="4">
        <v>12</v>
      </c>
      <c r="H310" s="1" t="s">
        <v>3215</v>
      </c>
      <c r="I310" s="1" t="s">
        <v>3028</v>
      </c>
    </row>
    <row r="311" spans="1:9" ht="15" x14ac:dyDescent="0.25">
      <c r="A311" s="5">
        <v>12020006</v>
      </c>
      <c r="B311" s="1" t="s">
        <v>3214</v>
      </c>
      <c r="C311" s="11" t="s">
        <v>24</v>
      </c>
      <c r="D311" s="4">
        <v>72</v>
      </c>
      <c r="H311" s="1" t="s">
        <v>3215</v>
      </c>
      <c r="I311" s="1" t="s">
        <v>3213</v>
      </c>
    </row>
    <row r="312" spans="1:9" ht="15" x14ac:dyDescent="0.25">
      <c r="A312" s="5">
        <v>12020006</v>
      </c>
      <c r="B312" s="1" t="s">
        <v>3214</v>
      </c>
      <c r="C312" s="11" t="s">
        <v>25</v>
      </c>
      <c r="D312" s="4">
        <v>4</v>
      </c>
      <c r="H312" s="1" t="s">
        <v>3215</v>
      </c>
    </row>
    <row r="313" spans="1:9" ht="15" x14ac:dyDescent="0.25">
      <c r="A313" s="20">
        <v>12020006</v>
      </c>
      <c r="B313" s="11" t="s">
        <v>3214</v>
      </c>
      <c r="C313" s="11" t="s">
        <v>26</v>
      </c>
      <c r="D313" s="4">
        <v>12</v>
      </c>
      <c r="H313" s="1" t="s">
        <v>3215</v>
      </c>
    </row>
    <row r="314" spans="1:9" ht="15" x14ac:dyDescent="0.25">
      <c r="A314" s="3">
        <v>12030001</v>
      </c>
      <c r="B314" s="11" t="s">
        <v>203</v>
      </c>
      <c r="C314" s="11" t="s">
        <v>27</v>
      </c>
      <c r="D314" s="4">
        <f>ROUND(E314*F314,0)</f>
        <v>131</v>
      </c>
      <c r="E314" s="12">
        <f>ROUND(240/237,2)</f>
        <v>1.01</v>
      </c>
      <c r="F314" s="1">
        <v>130</v>
      </c>
      <c r="H314" s="1" t="s">
        <v>3012</v>
      </c>
    </row>
    <row r="315" spans="1:9" ht="15" x14ac:dyDescent="0.25">
      <c r="A315" s="3">
        <v>12030001</v>
      </c>
      <c r="B315" s="11" t="s">
        <v>203</v>
      </c>
      <c r="C315" s="11" t="s">
        <v>24</v>
      </c>
      <c r="D315" s="4">
        <f>ROUND(E315*F315,0)</f>
        <v>85</v>
      </c>
      <c r="E315" s="12">
        <f>ROUND(240/237,2)</f>
        <v>1.01</v>
      </c>
      <c r="F315" s="1">
        <v>84</v>
      </c>
      <c r="H315" s="1" t="s">
        <v>3012</v>
      </c>
    </row>
    <row r="316" spans="1:9" ht="15" x14ac:dyDescent="0.25">
      <c r="A316" s="16">
        <v>12030001</v>
      </c>
      <c r="B316" s="11" t="s">
        <v>203</v>
      </c>
      <c r="C316" s="11" t="s">
        <v>1408</v>
      </c>
      <c r="D316" s="1">
        <v>11</v>
      </c>
      <c r="F316" s="1"/>
      <c r="G316" s="1">
        <v>11</v>
      </c>
      <c r="H316" s="1" t="s">
        <v>2770</v>
      </c>
      <c r="I316" s="1" t="s">
        <v>2444</v>
      </c>
    </row>
    <row r="317" spans="1:9" ht="15" x14ac:dyDescent="0.25">
      <c r="A317" s="3">
        <v>12030002</v>
      </c>
      <c r="B317" s="11" t="s">
        <v>202</v>
      </c>
      <c r="C317" s="11" t="s">
        <v>25</v>
      </c>
      <c r="D317" s="1">
        <f>ROUND(E317*F317,0)</f>
        <v>5</v>
      </c>
      <c r="E317" s="12">
        <f>ROUND(240/237,2)</f>
        <v>1.01</v>
      </c>
      <c r="F317" s="1">
        <v>5</v>
      </c>
      <c r="H317" s="1" t="s">
        <v>3012</v>
      </c>
    </row>
    <row r="318" spans="1:9" ht="15" x14ac:dyDescent="0.25">
      <c r="A318" s="3">
        <v>12030002</v>
      </c>
      <c r="B318" s="11" t="s">
        <v>211</v>
      </c>
      <c r="C318" s="11" t="s">
        <v>1415</v>
      </c>
      <c r="D318" s="1">
        <f>ROUND(E318*F318,0)</f>
        <v>333</v>
      </c>
      <c r="E318" s="12">
        <f>ROUND(240/237,2)</f>
        <v>1.01</v>
      </c>
      <c r="F318" s="1">
        <v>330</v>
      </c>
      <c r="H318" s="1" t="s">
        <v>3012</v>
      </c>
    </row>
    <row r="319" spans="1:9" ht="15" x14ac:dyDescent="0.25">
      <c r="A319" s="16">
        <v>12030002</v>
      </c>
      <c r="B319" s="11" t="s">
        <v>202</v>
      </c>
      <c r="C319" s="11" t="s">
        <v>13</v>
      </c>
      <c r="D319" s="4">
        <v>28</v>
      </c>
      <c r="H319" s="1" t="s">
        <v>3144</v>
      </c>
    </row>
    <row r="320" spans="1:9" ht="15" x14ac:dyDescent="0.25">
      <c r="A320" s="16">
        <v>12030002</v>
      </c>
      <c r="B320" s="11" t="s">
        <v>207</v>
      </c>
      <c r="C320" s="11" t="s">
        <v>1411</v>
      </c>
      <c r="D320" s="4">
        <f>ROUND(E320*F320,0)</f>
        <v>131</v>
      </c>
      <c r="E320" s="12">
        <f>ROUND(240/237,2)</f>
        <v>1.01</v>
      </c>
      <c r="F320" s="1">
        <v>130</v>
      </c>
      <c r="H320" s="1" t="s">
        <v>3012</v>
      </c>
    </row>
    <row r="321" spans="1:46" ht="15" x14ac:dyDescent="0.25">
      <c r="A321" s="3">
        <v>12030002</v>
      </c>
      <c r="B321" s="11" t="s">
        <v>202</v>
      </c>
      <c r="C321" s="11" t="s">
        <v>1407</v>
      </c>
      <c r="D321" s="4">
        <f>ROUND(E321*F321,0)</f>
        <v>85</v>
      </c>
      <c r="E321" s="12">
        <f>ROUND(240/237,2)</f>
        <v>1.01</v>
      </c>
      <c r="F321" s="1">
        <v>84</v>
      </c>
      <c r="H321" s="1" t="s">
        <v>3012</v>
      </c>
    </row>
    <row r="322" spans="1:46" ht="15" x14ac:dyDescent="0.25">
      <c r="A322" s="16">
        <v>12030002</v>
      </c>
      <c r="B322" s="11" t="s">
        <v>204</v>
      </c>
      <c r="C322" s="11" t="s">
        <v>1408</v>
      </c>
      <c r="D322" s="1">
        <v>7</v>
      </c>
      <c r="E322" s="12"/>
      <c r="F322" s="1"/>
      <c r="G322" s="4">
        <v>7</v>
      </c>
      <c r="H322" s="1" t="s">
        <v>2771</v>
      </c>
    </row>
    <row r="323" spans="1:46" ht="15" x14ac:dyDescent="0.25">
      <c r="A323" s="3">
        <v>12030003</v>
      </c>
      <c r="B323" s="11" t="s">
        <v>210</v>
      </c>
      <c r="C323" s="11" t="s">
        <v>1414</v>
      </c>
      <c r="D323" s="4">
        <f>ROUND(E323*F323,0)</f>
        <v>131</v>
      </c>
      <c r="E323" s="12">
        <f>ROUND(240/237,2)</f>
        <v>1.01</v>
      </c>
      <c r="F323" s="1">
        <v>130</v>
      </c>
      <c r="H323" s="1" t="s">
        <v>3012</v>
      </c>
    </row>
    <row r="324" spans="1:46" ht="15" x14ac:dyDescent="0.25">
      <c r="A324" s="16">
        <v>12030003</v>
      </c>
      <c r="B324" s="11" t="s">
        <v>206</v>
      </c>
      <c r="C324" s="11" t="s">
        <v>1410</v>
      </c>
      <c r="D324" s="1">
        <f>ROUND(E324*F324,0)</f>
        <v>9</v>
      </c>
      <c r="E324" s="12">
        <f>ROUND(240/237,2)</f>
        <v>1.01</v>
      </c>
      <c r="F324" s="1">
        <v>9</v>
      </c>
      <c r="G324" s="10"/>
      <c r="H324" s="1" t="s">
        <v>3012</v>
      </c>
    </row>
    <row r="325" spans="1:46" ht="15" x14ac:dyDescent="0.25">
      <c r="A325" s="16">
        <v>12030003</v>
      </c>
      <c r="B325" s="11" t="s">
        <v>206</v>
      </c>
      <c r="C325" s="11" t="s">
        <v>25</v>
      </c>
      <c r="D325" s="4">
        <v>5</v>
      </c>
    </row>
    <row r="326" spans="1:46" ht="15" x14ac:dyDescent="0.25">
      <c r="A326" s="16">
        <v>12030003</v>
      </c>
      <c r="B326" s="11" t="s">
        <v>206</v>
      </c>
      <c r="C326" s="11" t="s">
        <v>24</v>
      </c>
      <c r="D326" s="4">
        <v>85</v>
      </c>
    </row>
    <row r="327" spans="1:46" ht="15" x14ac:dyDescent="0.25">
      <c r="A327" s="3">
        <v>12030004</v>
      </c>
      <c r="B327" s="11" t="s">
        <v>205</v>
      </c>
      <c r="C327" s="11" t="s">
        <v>25</v>
      </c>
      <c r="D327" s="1">
        <f>ROUND(E327*F327,0)</f>
        <v>5</v>
      </c>
      <c r="E327" s="12">
        <f>ROUND(240/237,2)</f>
        <v>1.01</v>
      </c>
      <c r="F327" s="1">
        <v>5</v>
      </c>
      <c r="H327" s="1" t="s">
        <v>3012</v>
      </c>
    </row>
    <row r="328" spans="1:46" ht="15" x14ac:dyDescent="0.25">
      <c r="A328" s="20">
        <v>12030004</v>
      </c>
      <c r="B328" s="11" t="s">
        <v>205</v>
      </c>
      <c r="C328" s="11" t="s">
        <v>13</v>
      </c>
      <c r="D328" s="1">
        <v>36</v>
      </c>
      <c r="E328" s="12"/>
      <c r="F328" s="1"/>
      <c r="G328" s="4">
        <v>36</v>
      </c>
      <c r="H328" s="1" t="s">
        <v>3012</v>
      </c>
      <c r="I328" s="1" t="s">
        <v>2702</v>
      </c>
    </row>
    <row r="329" spans="1:46" ht="15" x14ac:dyDescent="0.25">
      <c r="A329" s="20">
        <v>12030004</v>
      </c>
      <c r="B329" s="11" t="s">
        <v>205</v>
      </c>
      <c r="C329" s="11" t="s">
        <v>11</v>
      </c>
      <c r="D329" s="1">
        <v>9</v>
      </c>
      <c r="E329" s="12"/>
      <c r="F329" s="1"/>
      <c r="G329" s="4">
        <v>9</v>
      </c>
      <c r="H329" s="1" t="s">
        <v>3012</v>
      </c>
      <c r="I329" s="1" t="s">
        <v>2700</v>
      </c>
    </row>
    <row r="330" spans="1:46" ht="15" x14ac:dyDescent="0.25">
      <c r="A330" s="3">
        <v>12030004</v>
      </c>
      <c r="B330" s="11" t="s">
        <v>213</v>
      </c>
      <c r="C330" s="11" t="s">
        <v>1417</v>
      </c>
      <c r="D330" s="4">
        <f t="shared" ref="D330:D335" si="13">ROUND(E330*F330,0)</f>
        <v>131</v>
      </c>
      <c r="E330" s="12">
        <f>ROUND(240/237,2)</f>
        <v>1.01</v>
      </c>
      <c r="F330" s="1">
        <v>130</v>
      </c>
      <c r="G330" s="10"/>
      <c r="H330" s="1" t="s">
        <v>3012</v>
      </c>
    </row>
    <row r="331" spans="1:46" ht="15" x14ac:dyDescent="0.25">
      <c r="A331" s="3">
        <v>12030004</v>
      </c>
      <c r="B331" s="11" t="s">
        <v>205</v>
      </c>
      <c r="C331" s="11" t="s">
        <v>1409</v>
      </c>
      <c r="D331" s="4">
        <f t="shared" si="13"/>
        <v>85</v>
      </c>
      <c r="E331" s="12">
        <f>ROUND(240/237,2)</f>
        <v>1.01</v>
      </c>
      <c r="F331" s="1">
        <v>84</v>
      </c>
      <c r="G331" s="10"/>
      <c r="H331" s="1" t="s">
        <v>3012</v>
      </c>
    </row>
    <row r="332" spans="1:46" ht="15" x14ac:dyDescent="0.25">
      <c r="A332" s="16">
        <v>12030004</v>
      </c>
      <c r="B332" s="11" t="s">
        <v>208</v>
      </c>
      <c r="C332" s="11" t="s">
        <v>1412</v>
      </c>
      <c r="D332" s="1">
        <f t="shared" si="13"/>
        <v>8</v>
      </c>
      <c r="E332" s="12">
        <f>ROUND(240/237,2)</f>
        <v>1.01</v>
      </c>
      <c r="F332" s="1">
        <v>8</v>
      </c>
      <c r="G332" s="10"/>
      <c r="H332" s="1" t="s">
        <v>3012</v>
      </c>
    </row>
    <row r="333" spans="1:46" s="11" customFormat="1" ht="15" x14ac:dyDescent="0.25">
      <c r="A333" s="20">
        <v>12030005</v>
      </c>
      <c r="B333" s="11" t="s">
        <v>209</v>
      </c>
      <c r="C333" s="11" t="s">
        <v>26</v>
      </c>
      <c r="D333" s="4">
        <f t="shared" si="13"/>
        <v>10</v>
      </c>
      <c r="E333" s="1">
        <f>ROUND(272/237,2)</f>
        <v>1.1499999999999999</v>
      </c>
      <c r="F333" s="1">
        <v>9</v>
      </c>
      <c r="G333" s="1"/>
      <c r="H333" s="1" t="s">
        <v>2409</v>
      </c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spans="1:46" s="11" customFormat="1" ht="15" x14ac:dyDescent="0.25">
      <c r="A334" s="3">
        <v>12030005</v>
      </c>
      <c r="B334" s="11" t="s">
        <v>209</v>
      </c>
      <c r="C334" s="11" t="s">
        <v>1413</v>
      </c>
      <c r="D334" s="4">
        <f t="shared" si="13"/>
        <v>6</v>
      </c>
      <c r="E334" s="1">
        <f>ROUND(272/237,2)</f>
        <v>1.1499999999999999</v>
      </c>
      <c r="F334" s="1">
        <v>5</v>
      </c>
      <c r="G334" s="10"/>
      <c r="H334" s="1" t="s">
        <v>2409</v>
      </c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spans="1:46" s="11" customFormat="1" ht="15" x14ac:dyDescent="0.25">
      <c r="A335" s="20">
        <v>12030007</v>
      </c>
      <c r="B335" s="11" t="s">
        <v>199</v>
      </c>
      <c r="C335" s="11" t="s">
        <v>25</v>
      </c>
      <c r="D335" s="21">
        <f t="shared" si="13"/>
        <v>5</v>
      </c>
      <c r="E335" s="23">
        <f>ROUND(240/237,2)</f>
        <v>1.01</v>
      </c>
      <c r="F335" s="11">
        <v>5</v>
      </c>
      <c r="H335" s="11" t="s">
        <v>3012</v>
      </c>
    </row>
    <row r="336" spans="1:46" s="11" customFormat="1" ht="15" x14ac:dyDescent="0.25">
      <c r="A336" s="16">
        <v>12030007</v>
      </c>
      <c r="B336" s="11" t="s">
        <v>199</v>
      </c>
      <c r="C336" s="11" t="s">
        <v>13</v>
      </c>
      <c r="D336" s="4">
        <v>36</v>
      </c>
      <c r="E336" s="12"/>
      <c r="F336" s="1"/>
      <c r="G336" s="1">
        <f>9*4</f>
        <v>36</v>
      </c>
      <c r="H336" s="1" t="s">
        <v>3012</v>
      </c>
      <c r="I336" s="1" t="s">
        <v>2702</v>
      </c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spans="1:46" s="11" customFormat="1" ht="15" x14ac:dyDescent="0.25">
      <c r="A337" s="20">
        <v>12030007</v>
      </c>
      <c r="B337" s="11" t="s">
        <v>199</v>
      </c>
      <c r="C337" s="11" t="s">
        <v>30</v>
      </c>
      <c r="D337" s="21">
        <f>ROUND(E337*F337,0)</f>
        <v>179</v>
      </c>
      <c r="E337" s="23">
        <f>ROUND(240/237,2)</f>
        <v>1.01</v>
      </c>
      <c r="F337" s="11">
        <v>177.5</v>
      </c>
      <c r="H337" s="11" t="s">
        <v>3012</v>
      </c>
    </row>
    <row r="338" spans="1:46" s="11" customFormat="1" ht="15" x14ac:dyDescent="0.25">
      <c r="A338" s="3">
        <v>12030007</v>
      </c>
      <c r="B338" s="11" t="s">
        <v>225</v>
      </c>
      <c r="C338" s="11" t="s">
        <v>1429</v>
      </c>
      <c r="D338" s="4">
        <f>ROUND(E338*F338,0)</f>
        <v>253</v>
      </c>
      <c r="E338" s="12">
        <f>ROUND(240/237,2)</f>
        <v>1.01</v>
      </c>
      <c r="F338" s="1">
        <v>250</v>
      </c>
      <c r="G338" s="1"/>
      <c r="H338" s="1" t="s">
        <v>3012</v>
      </c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spans="1:46" s="11" customFormat="1" ht="15" x14ac:dyDescent="0.25">
      <c r="A339" s="24">
        <v>12030007</v>
      </c>
      <c r="B339" s="25" t="s">
        <v>199</v>
      </c>
      <c r="C339" s="25" t="s">
        <v>29</v>
      </c>
      <c r="D339" s="21">
        <v>85</v>
      </c>
      <c r="F339" s="21"/>
      <c r="H339" s="11" t="s">
        <v>2955</v>
      </c>
    </row>
    <row r="340" spans="1:46" ht="15" x14ac:dyDescent="0.25">
      <c r="A340" s="3">
        <v>12030007</v>
      </c>
      <c r="B340" s="11" t="s">
        <v>217</v>
      </c>
      <c r="C340" s="11" t="s">
        <v>1420</v>
      </c>
      <c r="D340" s="4">
        <f>ROUND(E340*F340,0)</f>
        <v>131</v>
      </c>
      <c r="E340" s="12">
        <f>ROUND(240/237,2)</f>
        <v>1.01</v>
      </c>
      <c r="F340" s="1">
        <v>130</v>
      </c>
      <c r="H340" s="1" t="s">
        <v>3012</v>
      </c>
    </row>
    <row r="341" spans="1:46" ht="15" x14ac:dyDescent="0.25">
      <c r="A341" s="3">
        <v>12030007</v>
      </c>
      <c r="B341" s="11" t="s">
        <v>212</v>
      </c>
      <c r="C341" s="11" t="s">
        <v>1416</v>
      </c>
      <c r="D341" s="4">
        <f>ROUND(E341*F341,0)</f>
        <v>85</v>
      </c>
      <c r="E341" s="12">
        <f>ROUND(240/237,2)</f>
        <v>1.01</v>
      </c>
      <c r="F341" s="1">
        <v>84</v>
      </c>
      <c r="H341" s="1" t="s">
        <v>3012</v>
      </c>
    </row>
    <row r="342" spans="1:46" ht="15" x14ac:dyDescent="0.25">
      <c r="A342" s="16">
        <v>12030007</v>
      </c>
      <c r="B342" s="11" t="s">
        <v>215</v>
      </c>
      <c r="C342" s="11" t="s">
        <v>1419</v>
      </c>
      <c r="D342" s="21">
        <f>ROUND(E342*F342,0)</f>
        <v>9</v>
      </c>
      <c r="E342" s="23">
        <f>ROUND(240/237,2)</f>
        <v>1.01</v>
      </c>
      <c r="F342" s="11">
        <v>9</v>
      </c>
      <c r="G342" s="11"/>
      <c r="H342" s="11" t="s">
        <v>3012</v>
      </c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</row>
    <row r="343" spans="1:46" ht="15" x14ac:dyDescent="0.25">
      <c r="A343" s="3">
        <v>12030008</v>
      </c>
      <c r="B343" s="11" t="s">
        <v>214</v>
      </c>
      <c r="C343" s="11" t="s">
        <v>25</v>
      </c>
      <c r="D343" s="4">
        <v>4</v>
      </c>
      <c r="E343" s="12"/>
      <c r="F343" s="1"/>
      <c r="G343" s="1">
        <v>4</v>
      </c>
      <c r="H343" s="1" t="s">
        <v>2771</v>
      </c>
    </row>
    <row r="344" spans="1:46" ht="15" x14ac:dyDescent="0.25">
      <c r="A344" s="16">
        <v>12030008</v>
      </c>
      <c r="B344" s="11" t="s">
        <v>214</v>
      </c>
      <c r="C344" s="11" t="s">
        <v>27</v>
      </c>
      <c r="D344" s="21">
        <f>ROUND(E344*F344,0)</f>
        <v>131</v>
      </c>
      <c r="E344" s="23">
        <f>ROUND(240/237,2)</f>
        <v>1.01</v>
      </c>
      <c r="F344" s="11">
        <v>130</v>
      </c>
      <c r="G344" s="11"/>
      <c r="H344" s="11" t="s">
        <v>3012</v>
      </c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</row>
    <row r="345" spans="1:46" ht="15" x14ac:dyDescent="0.25">
      <c r="A345" s="24">
        <v>12030008</v>
      </c>
      <c r="B345" s="25" t="s">
        <v>214</v>
      </c>
      <c r="C345" s="25" t="s">
        <v>29</v>
      </c>
      <c r="D345" s="21">
        <v>85</v>
      </c>
      <c r="E345" s="11"/>
      <c r="F345" s="21"/>
      <c r="G345" s="11"/>
      <c r="H345" s="11" t="s">
        <v>2955</v>
      </c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</row>
    <row r="346" spans="1:46" ht="15" x14ac:dyDescent="0.25">
      <c r="A346" s="16">
        <v>12030008</v>
      </c>
      <c r="B346" s="11" t="s">
        <v>214</v>
      </c>
      <c r="C346" s="11" t="s">
        <v>1418</v>
      </c>
      <c r="D346" s="21">
        <f>ROUND(E346*F346,0)</f>
        <v>85</v>
      </c>
      <c r="E346" s="23">
        <f>ROUND(240/237,2)</f>
        <v>1.01</v>
      </c>
      <c r="F346" s="11">
        <v>84</v>
      </c>
      <c r="G346" s="11"/>
      <c r="H346" s="11" t="s">
        <v>3012</v>
      </c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</row>
    <row r="347" spans="1:46" ht="15" x14ac:dyDescent="0.25">
      <c r="A347" s="16">
        <v>12030008</v>
      </c>
      <c r="B347" s="11" t="s">
        <v>216</v>
      </c>
      <c r="C347" s="11" t="s">
        <v>1419</v>
      </c>
      <c r="D347" s="4">
        <v>7</v>
      </c>
      <c r="E347" s="12"/>
      <c r="F347" s="1"/>
      <c r="G347" s="1">
        <v>7</v>
      </c>
      <c r="H347" s="1" t="s">
        <v>2771</v>
      </c>
    </row>
    <row r="348" spans="1:46" ht="15" x14ac:dyDescent="0.25">
      <c r="A348" s="16">
        <v>12030008</v>
      </c>
      <c r="B348" s="11" t="s">
        <v>214</v>
      </c>
      <c r="C348" s="11" t="s">
        <v>31</v>
      </c>
      <c r="D348" s="4">
        <v>253</v>
      </c>
    </row>
    <row r="349" spans="1:46" ht="15" x14ac:dyDescent="0.25">
      <c r="A349" s="16">
        <v>12030009</v>
      </c>
      <c r="B349" s="11" t="s">
        <v>200</v>
      </c>
      <c r="C349" s="11" t="s">
        <v>11</v>
      </c>
      <c r="D349" s="4">
        <v>7</v>
      </c>
      <c r="E349" s="12"/>
      <c r="F349" s="1"/>
      <c r="G349" s="1">
        <v>7</v>
      </c>
      <c r="H349" s="1" t="s">
        <v>3012</v>
      </c>
      <c r="I349" s="1" t="s">
        <v>2700</v>
      </c>
    </row>
    <row r="350" spans="1:46" ht="15" x14ac:dyDescent="0.25">
      <c r="A350" s="16">
        <v>12030009</v>
      </c>
      <c r="B350" s="11" t="s">
        <v>200</v>
      </c>
      <c r="C350" s="11" t="s">
        <v>12</v>
      </c>
      <c r="D350" s="1" t="s">
        <v>3133</v>
      </c>
      <c r="E350" s="4"/>
      <c r="F350" s="1" t="s">
        <v>3132</v>
      </c>
      <c r="G350" s="4">
        <v>14</v>
      </c>
      <c r="H350" s="1" t="s">
        <v>2771</v>
      </c>
      <c r="I350" s="1" t="s">
        <v>2701</v>
      </c>
      <c r="J350" s="1" t="s">
        <v>3132</v>
      </c>
    </row>
    <row r="351" spans="1:46" ht="15" x14ac:dyDescent="0.25">
      <c r="A351" s="16">
        <v>12030009</v>
      </c>
      <c r="B351" s="11" t="s">
        <v>200</v>
      </c>
      <c r="C351" s="11" t="s">
        <v>12</v>
      </c>
      <c r="D351" s="1">
        <v>14</v>
      </c>
      <c r="F351" s="1"/>
      <c r="G351" s="1">
        <v>14</v>
      </c>
      <c r="H351" s="1" t="s">
        <v>2771</v>
      </c>
      <c r="I351" s="1" t="s">
        <v>2701</v>
      </c>
    </row>
    <row r="352" spans="1:46" ht="15" x14ac:dyDescent="0.25">
      <c r="A352" s="3">
        <v>12030009</v>
      </c>
      <c r="B352" s="11" t="s">
        <v>200</v>
      </c>
      <c r="C352" s="11" t="s">
        <v>24</v>
      </c>
      <c r="D352" s="4">
        <f>ROUND(E352*F352,0)</f>
        <v>85</v>
      </c>
      <c r="E352" s="12">
        <f>ROUND(240/237,2)</f>
        <v>1.01</v>
      </c>
      <c r="F352" s="1">
        <v>84</v>
      </c>
      <c r="H352" s="1" t="s">
        <v>3012</v>
      </c>
    </row>
    <row r="353" spans="1:9" ht="15" x14ac:dyDescent="0.25">
      <c r="A353" s="3">
        <v>12030009</v>
      </c>
      <c r="B353" s="11" t="s">
        <v>221</v>
      </c>
      <c r="C353" s="11" t="s">
        <v>1424</v>
      </c>
      <c r="D353" s="4">
        <f>ROUND(E353*F353,0)</f>
        <v>131</v>
      </c>
      <c r="E353" s="12">
        <f>ROUND(240/237,2)</f>
        <v>1.01</v>
      </c>
      <c r="F353" s="1">
        <v>130</v>
      </c>
      <c r="H353" s="1" t="s">
        <v>3012</v>
      </c>
    </row>
    <row r="354" spans="1:9" ht="15" x14ac:dyDescent="0.25">
      <c r="A354" s="16">
        <v>12030009</v>
      </c>
      <c r="B354" s="11" t="s">
        <v>219</v>
      </c>
      <c r="C354" s="11" t="s">
        <v>1422</v>
      </c>
      <c r="D354" s="1">
        <v>7</v>
      </c>
      <c r="F354" s="1"/>
      <c r="G354" s="1">
        <v>7</v>
      </c>
      <c r="H354" s="1" t="s">
        <v>2771</v>
      </c>
    </row>
    <row r="355" spans="1:9" ht="15" x14ac:dyDescent="0.25">
      <c r="A355" s="3">
        <v>12030010</v>
      </c>
      <c r="B355" s="11" t="s">
        <v>218</v>
      </c>
      <c r="C355" s="11" t="s">
        <v>1421</v>
      </c>
      <c r="D355" s="4">
        <f>ROUND(E355*F355*1.25,0)</f>
        <v>106</v>
      </c>
      <c r="E355" s="12">
        <f>ROUND(240/237,2)</f>
        <v>1.01</v>
      </c>
      <c r="F355" s="1">
        <v>84</v>
      </c>
      <c r="H355" s="1" t="s">
        <v>3012</v>
      </c>
      <c r="I355" s="1" t="s">
        <v>2999</v>
      </c>
    </row>
    <row r="356" spans="1:9" ht="15" x14ac:dyDescent="0.25">
      <c r="A356" s="20">
        <v>12030010</v>
      </c>
      <c r="B356" s="11" t="s">
        <v>201</v>
      </c>
      <c r="C356" s="11" t="s">
        <v>12</v>
      </c>
      <c r="D356" s="1">
        <v>28</v>
      </c>
      <c r="F356" s="1"/>
      <c r="G356" s="1">
        <v>28</v>
      </c>
      <c r="H356" s="1" t="s">
        <v>2771</v>
      </c>
      <c r="I356" s="1" t="s">
        <v>2701</v>
      </c>
    </row>
    <row r="357" spans="1:9" ht="15" x14ac:dyDescent="0.25">
      <c r="A357" s="20">
        <v>12030010</v>
      </c>
      <c r="B357" s="11" t="s">
        <v>201</v>
      </c>
      <c r="C357" s="11" t="s">
        <v>11</v>
      </c>
      <c r="D357" s="1">
        <f>G357</f>
        <v>7</v>
      </c>
      <c r="F357" s="1"/>
      <c r="G357" s="1">
        <v>7</v>
      </c>
      <c r="H357" s="1" t="s">
        <v>2771</v>
      </c>
      <c r="I357" s="1" t="s">
        <v>2700</v>
      </c>
    </row>
    <row r="358" spans="1:9" ht="15" x14ac:dyDescent="0.25">
      <c r="A358" s="3">
        <v>12030010</v>
      </c>
      <c r="B358" s="11" t="s">
        <v>201</v>
      </c>
      <c r="C358" s="11" t="s">
        <v>25</v>
      </c>
      <c r="D358" s="1">
        <f>G358</f>
        <v>4</v>
      </c>
      <c r="F358" s="1"/>
      <c r="G358" s="1">
        <v>4</v>
      </c>
      <c r="H358" s="1" t="s">
        <v>2771</v>
      </c>
    </row>
    <row r="359" spans="1:9" ht="15" x14ac:dyDescent="0.25">
      <c r="A359" s="3">
        <v>12030010</v>
      </c>
      <c r="B359" s="11" t="s">
        <v>223</v>
      </c>
      <c r="C359" s="11" t="s">
        <v>1426</v>
      </c>
      <c r="D359" s="4">
        <f>ROUND(E359*F359,0)</f>
        <v>131</v>
      </c>
      <c r="E359" s="12">
        <f>ROUND(240/237,2)</f>
        <v>1.01</v>
      </c>
      <c r="F359" s="1">
        <v>130</v>
      </c>
      <c r="H359" s="1" t="s">
        <v>3012</v>
      </c>
    </row>
    <row r="360" spans="1:9" ht="15" x14ac:dyDescent="0.25">
      <c r="A360" s="16">
        <v>12030010</v>
      </c>
      <c r="B360" s="11" t="s">
        <v>220</v>
      </c>
      <c r="C360" s="11" t="s">
        <v>1423</v>
      </c>
      <c r="D360" s="1">
        <f>G360</f>
        <v>7</v>
      </c>
      <c r="F360" s="1"/>
      <c r="G360" s="1">
        <v>7</v>
      </c>
      <c r="H360" s="1" t="s">
        <v>2771</v>
      </c>
    </row>
    <row r="361" spans="1:9" ht="15" x14ac:dyDescent="0.25">
      <c r="A361" s="16">
        <v>12030011</v>
      </c>
      <c r="B361" s="11" t="s">
        <v>222</v>
      </c>
      <c r="C361" s="11" t="s">
        <v>12</v>
      </c>
      <c r="D361" s="1">
        <v>14</v>
      </c>
      <c r="F361" s="1"/>
      <c r="G361" s="1">
        <v>14</v>
      </c>
      <c r="H361" s="1" t="s">
        <v>2771</v>
      </c>
      <c r="I361" s="1" t="s">
        <v>2936</v>
      </c>
    </row>
    <row r="362" spans="1:9" ht="15" x14ac:dyDescent="0.25">
      <c r="A362" s="3">
        <v>12030011</v>
      </c>
      <c r="B362" s="11" t="s">
        <v>222</v>
      </c>
      <c r="C362" s="11" t="s">
        <v>24</v>
      </c>
      <c r="D362" s="4">
        <f>ROUND(E362*F362,0)</f>
        <v>85</v>
      </c>
      <c r="E362" s="12">
        <f>ROUND(240/237,2)</f>
        <v>1.01</v>
      </c>
      <c r="F362" s="1">
        <v>84</v>
      </c>
      <c r="H362" s="1" t="s">
        <v>3012</v>
      </c>
    </row>
    <row r="363" spans="1:9" ht="15" x14ac:dyDescent="0.25">
      <c r="A363" s="3">
        <v>12030011</v>
      </c>
      <c r="B363" s="11" t="s">
        <v>224</v>
      </c>
      <c r="C363" s="11" t="s">
        <v>1428</v>
      </c>
      <c r="D363" s="4">
        <f>ROUND(E363*F363,0)</f>
        <v>131</v>
      </c>
      <c r="E363" s="12">
        <f>ROUND(240/237,2)</f>
        <v>1.01</v>
      </c>
      <c r="F363" s="1">
        <v>130</v>
      </c>
      <c r="H363" s="1" t="s">
        <v>3012</v>
      </c>
    </row>
    <row r="364" spans="1:9" ht="15" x14ac:dyDescent="0.25">
      <c r="A364" s="16">
        <v>12030011</v>
      </c>
      <c r="B364" s="11" t="s">
        <v>224</v>
      </c>
      <c r="C364" s="11" t="s">
        <v>1427</v>
      </c>
      <c r="D364" s="4">
        <v>7</v>
      </c>
      <c r="F364" s="1"/>
      <c r="G364" s="4">
        <v>7</v>
      </c>
      <c r="H364" s="1" t="s">
        <v>2771</v>
      </c>
    </row>
    <row r="365" spans="1:9" ht="15" x14ac:dyDescent="0.25">
      <c r="A365" s="3">
        <v>12030011</v>
      </c>
      <c r="B365" s="11" t="s">
        <v>222</v>
      </c>
      <c r="C365" s="11" t="s">
        <v>1425</v>
      </c>
      <c r="D365" s="4">
        <v>4</v>
      </c>
      <c r="F365" s="1"/>
      <c r="G365" s="4">
        <v>4</v>
      </c>
      <c r="H365" s="1" t="s">
        <v>2771</v>
      </c>
    </row>
    <row r="366" spans="1:9" ht="15" x14ac:dyDescent="0.25">
      <c r="A366" s="3">
        <v>12040001</v>
      </c>
      <c r="B366" s="11" t="s">
        <v>226</v>
      </c>
      <c r="C366" s="11" t="s">
        <v>29</v>
      </c>
      <c r="D366" s="1">
        <v>13</v>
      </c>
      <c r="F366" s="1"/>
      <c r="G366" s="1">
        <v>13</v>
      </c>
      <c r="H366" s="1" t="s">
        <v>2772</v>
      </c>
      <c r="I366" s="1" t="s">
        <v>2960</v>
      </c>
    </row>
    <row r="367" spans="1:9" ht="15" x14ac:dyDescent="0.25">
      <c r="A367" s="3">
        <v>12040001</v>
      </c>
      <c r="B367" s="11" t="s">
        <v>226</v>
      </c>
      <c r="C367" s="11" t="s">
        <v>24</v>
      </c>
      <c r="D367" s="1">
        <v>116</v>
      </c>
      <c r="F367" s="1"/>
      <c r="G367" s="1">
        <f>4*29</f>
        <v>116</v>
      </c>
      <c r="H367" s="1" t="s">
        <v>2772</v>
      </c>
      <c r="I367" s="1" t="s">
        <v>2702</v>
      </c>
    </row>
    <row r="368" spans="1:9" ht="15" x14ac:dyDescent="0.25">
      <c r="A368" s="16">
        <v>12040001</v>
      </c>
      <c r="B368" s="11" t="s">
        <v>226</v>
      </c>
      <c r="C368" s="11" t="s">
        <v>26</v>
      </c>
      <c r="D368" s="1">
        <v>29</v>
      </c>
      <c r="F368" s="1"/>
      <c r="G368" s="1">
        <v>29</v>
      </c>
      <c r="H368" s="1" t="s">
        <v>2772</v>
      </c>
    </row>
    <row r="369" spans="1:46" ht="15" x14ac:dyDescent="0.25">
      <c r="A369" s="3">
        <v>12040001</v>
      </c>
      <c r="B369" s="11" t="s">
        <v>226</v>
      </c>
      <c r="C369" s="11" t="s">
        <v>1430</v>
      </c>
      <c r="D369" s="4">
        <f>G369</f>
        <v>13</v>
      </c>
      <c r="E369" s="10"/>
      <c r="F369" s="1"/>
      <c r="G369" s="1">
        <v>13</v>
      </c>
      <c r="H369" s="1" t="s">
        <v>2772</v>
      </c>
    </row>
    <row r="370" spans="1:46" ht="15" x14ac:dyDescent="0.25">
      <c r="A370" s="3">
        <v>12040003</v>
      </c>
      <c r="B370" s="11" t="s">
        <v>227</v>
      </c>
      <c r="C370" s="11" t="s">
        <v>1430</v>
      </c>
      <c r="D370" s="1">
        <f>G370</f>
        <v>13</v>
      </c>
      <c r="F370" s="1"/>
      <c r="G370" s="1">
        <v>13</v>
      </c>
      <c r="H370" s="1" t="s">
        <v>2772</v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</row>
    <row r="371" spans="1:46" ht="15" x14ac:dyDescent="0.25">
      <c r="A371" s="3">
        <v>12040004</v>
      </c>
      <c r="B371" s="11" t="s">
        <v>2647</v>
      </c>
      <c r="C371" s="11" t="s">
        <v>31</v>
      </c>
      <c r="D371" s="1">
        <f>ROUND(E371*F371,0)</f>
        <v>333</v>
      </c>
      <c r="E371" s="1">
        <f>ROUND(20/15,2)</f>
        <v>1.33</v>
      </c>
      <c r="F371" s="1">
        <v>250</v>
      </c>
      <c r="H371" s="1" t="s">
        <v>2969</v>
      </c>
    </row>
    <row r="372" spans="1:46" ht="15" x14ac:dyDescent="0.25">
      <c r="A372" s="3">
        <v>12040004</v>
      </c>
      <c r="B372" s="11" t="s">
        <v>2647</v>
      </c>
      <c r="C372" s="11" t="s">
        <v>25</v>
      </c>
      <c r="D372" s="1">
        <v>7</v>
      </c>
      <c r="F372" s="1"/>
      <c r="G372" s="1">
        <v>7</v>
      </c>
      <c r="H372" s="1" t="s">
        <v>2968</v>
      </c>
    </row>
    <row r="373" spans="1:46" ht="15" x14ac:dyDescent="0.25">
      <c r="A373" s="3">
        <v>12040004</v>
      </c>
      <c r="B373" s="11" t="s">
        <v>2647</v>
      </c>
      <c r="C373" s="11" t="s">
        <v>24</v>
      </c>
      <c r="D373" s="1">
        <f>ROUND(E373*F373,0)</f>
        <v>112</v>
      </c>
      <c r="E373" s="1">
        <f>ROUND(20/15,2)</f>
        <v>1.33</v>
      </c>
      <c r="F373" s="1">
        <v>84</v>
      </c>
      <c r="H373" s="1" t="s">
        <v>2969</v>
      </c>
    </row>
    <row r="374" spans="1:46" ht="15" x14ac:dyDescent="0.25">
      <c r="A374" s="16">
        <v>12040004</v>
      </c>
      <c r="B374" s="11" t="s">
        <v>2647</v>
      </c>
      <c r="C374" s="11" t="s">
        <v>26</v>
      </c>
      <c r="D374" s="1">
        <v>14</v>
      </c>
      <c r="F374" s="1"/>
      <c r="G374" s="1">
        <v>14</v>
      </c>
      <c r="H374" s="1" t="s">
        <v>2968</v>
      </c>
    </row>
    <row r="375" spans="1:46" ht="15" x14ac:dyDescent="0.25">
      <c r="A375" s="3">
        <v>12040005</v>
      </c>
      <c r="B375" s="11" t="s">
        <v>2659</v>
      </c>
      <c r="C375" s="11" t="s">
        <v>25</v>
      </c>
      <c r="D375" s="1">
        <f>ROUND(E375*F375,0)</f>
        <v>7</v>
      </c>
      <c r="E375" s="1">
        <f>ROUND(20/15,2)</f>
        <v>1.33</v>
      </c>
      <c r="F375" s="1">
        <v>5</v>
      </c>
      <c r="H375" s="1" t="s">
        <v>2970</v>
      </c>
    </row>
    <row r="376" spans="1:46" s="11" customFormat="1" ht="15" x14ac:dyDescent="0.25">
      <c r="A376" s="16">
        <v>12040005</v>
      </c>
      <c r="B376" s="11" t="s">
        <v>2659</v>
      </c>
      <c r="C376" s="11" t="s">
        <v>11</v>
      </c>
      <c r="D376" s="1">
        <f>ROUND(E376*F376,0)</f>
        <v>12</v>
      </c>
      <c r="E376" s="1">
        <f>ROUND(20/15,2)</f>
        <v>1.33</v>
      </c>
      <c r="F376" s="1">
        <v>9</v>
      </c>
      <c r="G376" s="4"/>
      <c r="H376" s="1" t="s">
        <v>3028</v>
      </c>
      <c r="I376" s="1" t="s">
        <v>3132</v>
      </c>
      <c r="J376" s="1" t="s">
        <v>3132</v>
      </c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spans="1:46" ht="15" x14ac:dyDescent="0.25">
      <c r="A377" s="3">
        <v>12040005</v>
      </c>
      <c r="B377" s="11" t="s">
        <v>2659</v>
      </c>
      <c r="C377" s="11" t="s">
        <v>28</v>
      </c>
      <c r="D377" s="1">
        <f>ROUND(E377*F377,0)</f>
        <v>439</v>
      </c>
      <c r="E377" s="1">
        <f>ROUND(20/15,2)</f>
        <v>1.33</v>
      </c>
      <c r="F377" s="1">
        <v>330</v>
      </c>
      <c r="H377" s="1" t="s">
        <v>2970</v>
      </c>
    </row>
    <row r="378" spans="1:46" ht="15" x14ac:dyDescent="0.25">
      <c r="A378" s="16">
        <v>12050001</v>
      </c>
      <c r="B378" s="11" t="s">
        <v>228</v>
      </c>
      <c r="C378" s="11" t="s">
        <v>11</v>
      </c>
      <c r="D378" s="1">
        <v>13</v>
      </c>
      <c r="E378" s="4"/>
      <c r="F378" s="1" t="s">
        <v>3132</v>
      </c>
      <c r="G378" s="4"/>
      <c r="H378" s="1" t="s">
        <v>3028</v>
      </c>
      <c r="I378" s="1" t="s">
        <v>3132</v>
      </c>
      <c r="J378" s="1" t="s">
        <v>3132</v>
      </c>
    </row>
    <row r="379" spans="1:46" ht="15" x14ac:dyDescent="0.25">
      <c r="A379" s="16">
        <v>12050001</v>
      </c>
      <c r="B379" s="11" t="s">
        <v>228</v>
      </c>
      <c r="C379" s="11" t="s">
        <v>1431</v>
      </c>
      <c r="D379" s="1">
        <f>G379</f>
        <v>13</v>
      </c>
      <c r="F379" s="1">
        <v>8</v>
      </c>
      <c r="G379" s="1">
        <v>13</v>
      </c>
      <c r="H379" s="1" t="s">
        <v>2407</v>
      </c>
    </row>
    <row r="380" spans="1:46" ht="15" x14ac:dyDescent="0.25">
      <c r="A380" s="16">
        <v>12050002</v>
      </c>
      <c r="B380" s="11" t="s">
        <v>229</v>
      </c>
      <c r="C380" s="11" t="s">
        <v>1431</v>
      </c>
      <c r="D380" s="1">
        <f>G380</f>
        <v>13</v>
      </c>
      <c r="F380" s="1">
        <v>9</v>
      </c>
      <c r="G380" s="1">
        <v>13</v>
      </c>
      <c r="H380" s="1" t="s">
        <v>2407</v>
      </c>
    </row>
    <row r="381" spans="1:46" ht="15" x14ac:dyDescent="0.25">
      <c r="A381" s="16">
        <v>12050004</v>
      </c>
      <c r="B381" s="11" t="s">
        <v>230</v>
      </c>
      <c r="C381" s="11" t="s">
        <v>1431</v>
      </c>
      <c r="D381" s="1">
        <f>G381</f>
        <v>13</v>
      </c>
      <c r="F381" s="1">
        <v>9</v>
      </c>
      <c r="G381" s="1">
        <v>13</v>
      </c>
      <c r="H381" s="1" t="s">
        <v>2403</v>
      </c>
    </row>
    <row r="382" spans="1:46" ht="15" x14ac:dyDescent="0.25">
      <c r="A382" s="16">
        <v>12050004</v>
      </c>
      <c r="B382" s="11" t="s">
        <v>230</v>
      </c>
      <c r="C382" s="11" t="s">
        <v>25</v>
      </c>
      <c r="D382" s="4">
        <v>5</v>
      </c>
    </row>
    <row r="383" spans="1:46" ht="15" x14ac:dyDescent="0.25">
      <c r="A383" s="24">
        <v>12060001</v>
      </c>
      <c r="B383" s="25" t="s">
        <v>231</v>
      </c>
      <c r="C383" s="25" t="s">
        <v>26</v>
      </c>
      <c r="D383" s="21">
        <v>15</v>
      </c>
      <c r="E383" s="11"/>
      <c r="F383" s="2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</row>
    <row r="384" spans="1:46" ht="15" x14ac:dyDescent="0.25">
      <c r="A384" s="3">
        <v>12060001</v>
      </c>
      <c r="B384" s="11" t="s">
        <v>231</v>
      </c>
      <c r="C384" s="11" t="s">
        <v>24</v>
      </c>
      <c r="D384" s="1">
        <v>84</v>
      </c>
      <c r="E384" s="1">
        <v>1</v>
      </c>
      <c r="F384" s="1">
        <v>84</v>
      </c>
      <c r="H384" s="1" t="s">
        <v>2732</v>
      </c>
    </row>
    <row r="385" spans="1:10" ht="15" x14ac:dyDescent="0.25">
      <c r="A385" s="3">
        <v>12060001</v>
      </c>
      <c r="B385" s="11" t="s">
        <v>231</v>
      </c>
      <c r="C385" s="11" t="s">
        <v>1432</v>
      </c>
      <c r="D385" s="1">
        <v>178</v>
      </c>
      <c r="E385" s="1">
        <v>1</v>
      </c>
      <c r="F385" s="1">
        <v>177.5</v>
      </c>
      <c r="H385" s="1" t="s">
        <v>2732</v>
      </c>
    </row>
    <row r="386" spans="1:10" ht="15" x14ac:dyDescent="0.25">
      <c r="A386" s="24">
        <v>12060003</v>
      </c>
      <c r="B386" s="25" t="s">
        <v>232</v>
      </c>
      <c r="C386" s="25" t="s">
        <v>28</v>
      </c>
      <c r="D386" s="4">
        <v>327</v>
      </c>
      <c r="H386" s="1" t="s">
        <v>2967</v>
      </c>
    </row>
    <row r="387" spans="1:10" ht="15" x14ac:dyDescent="0.25">
      <c r="A387" s="3">
        <v>12060003</v>
      </c>
      <c r="B387" s="11" t="s">
        <v>232</v>
      </c>
      <c r="C387" s="11" t="s">
        <v>1432</v>
      </c>
      <c r="D387" s="1">
        <v>175</v>
      </c>
      <c r="E387" s="1">
        <v>0.99</v>
      </c>
      <c r="F387" s="1">
        <v>177.5</v>
      </c>
      <c r="H387" s="1" t="s">
        <v>2967</v>
      </c>
    </row>
    <row r="388" spans="1:10" ht="15" x14ac:dyDescent="0.25">
      <c r="A388" s="5">
        <v>12060004</v>
      </c>
      <c r="B388" s="11" t="s">
        <v>2397</v>
      </c>
      <c r="C388" s="11" t="s">
        <v>30</v>
      </c>
      <c r="D388" s="1">
        <v>175</v>
      </c>
      <c r="E388" s="1">
        <v>0.99</v>
      </c>
      <c r="F388" s="1">
        <v>177.5</v>
      </c>
      <c r="H388" s="1" t="s">
        <v>2967</v>
      </c>
    </row>
    <row r="389" spans="1:10" ht="15" x14ac:dyDescent="0.25">
      <c r="A389" s="3">
        <v>12070001</v>
      </c>
      <c r="B389" s="11" t="s">
        <v>233</v>
      </c>
      <c r="C389" s="11" t="s">
        <v>3</v>
      </c>
      <c r="D389" s="1">
        <v>26</v>
      </c>
      <c r="E389" s="4"/>
      <c r="F389" s="1" t="s">
        <v>3132</v>
      </c>
      <c r="G389" s="1">
        <v>26</v>
      </c>
      <c r="H389" s="2" t="s">
        <v>2965</v>
      </c>
      <c r="I389" s="1" t="s">
        <v>3143</v>
      </c>
      <c r="J389" s="1" t="s">
        <v>3132</v>
      </c>
    </row>
    <row r="390" spans="1:10" ht="15" x14ac:dyDescent="0.25">
      <c r="A390" s="24">
        <v>12070001</v>
      </c>
      <c r="B390" s="25" t="s">
        <v>233</v>
      </c>
      <c r="C390" s="25" t="s">
        <v>27</v>
      </c>
      <c r="D390" s="4">
        <v>104</v>
      </c>
      <c r="H390" s="2" t="s">
        <v>2965</v>
      </c>
    </row>
    <row r="391" spans="1:10" ht="15" x14ac:dyDescent="0.25">
      <c r="A391" s="3">
        <v>12070001</v>
      </c>
      <c r="B391" s="11" t="s">
        <v>233</v>
      </c>
      <c r="C391" s="11" t="s">
        <v>24</v>
      </c>
      <c r="D391" s="1">
        <v>104</v>
      </c>
      <c r="F391" s="1">
        <v>84</v>
      </c>
      <c r="H391" s="2" t="s">
        <v>2965</v>
      </c>
      <c r="I391" s="1" t="s">
        <v>2702</v>
      </c>
    </row>
    <row r="392" spans="1:10" ht="15" x14ac:dyDescent="0.25">
      <c r="A392" s="5">
        <v>12070001</v>
      </c>
      <c r="B392" s="11" t="s">
        <v>233</v>
      </c>
      <c r="C392" s="11" t="s">
        <v>25</v>
      </c>
      <c r="D392" s="1">
        <v>10</v>
      </c>
      <c r="F392" s="1"/>
      <c r="G392" s="1">
        <v>10</v>
      </c>
      <c r="H392" s="2" t="s">
        <v>2965</v>
      </c>
    </row>
    <row r="393" spans="1:10" ht="15" x14ac:dyDescent="0.25">
      <c r="A393" s="3">
        <v>12070001</v>
      </c>
      <c r="B393" s="11" t="s">
        <v>233</v>
      </c>
      <c r="C393" s="11" t="s">
        <v>29</v>
      </c>
      <c r="D393" s="1">
        <v>26</v>
      </c>
      <c r="F393" s="1"/>
      <c r="G393" s="1">
        <v>26</v>
      </c>
      <c r="H393" s="2" t="s">
        <v>2965</v>
      </c>
      <c r="I393" s="1" t="s">
        <v>2700</v>
      </c>
    </row>
    <row r="394" spans="1:10" ht="15" x14ac:dyDescent="0.25">
      <c r="A394" s="16">
        <v>12070001</v>
      </c>
      <c r="B394" s="11" t="s">
        <v>233</v>
      </c>
      <c r="C394" s="11" t="s">
        <v>1433</v>
      </c>
      <c r="D394" s="1">
        <v>26</v>
      </c>
      <c r="F394" s="1"/>
      <c r="G394" s="1">
        <v>26</v>
      </c>
      <c r="H394" s="2" t="s">
        <v>2965</v>
      </c>
    </row>
    <row r="395" spans="1:10" ht="15" x14ac:dyDescent="0.25">
      <c r="A395" s="3">
        <v>12070002</v>
      </c>
      <c r="B395" s="11" t="s">
        <v>234</v>
      </c>
      <c r="C395" s="11" t="s">
        <v>1434</v>
      </c>
      <c r="D395" s="1">
        <v>10</v>
      </c>
      <c r="F395" s="1"/>
      <c r="G395" s="1">
        <v>10</v>
      </c>
      <c r="H395" s="2" t="s">
        <v>2965</v>
      </c>
    </row>
    <row r="396" spans="1:10" ht="15" x14ac:dyDescent="0.25">
      <c r="A396" s="16">
        <v>12070002</v>
      </c>
      <c r="B396" s="11" t="s">
        <v>2457</v>
      </c>
      <c r="C396" s="11" t="s">
        <v>1435</v>
      </c>
      <c r="D396" s="4">
        <v>26</v>
      </c>
      <c r="E396" s="2"/>
      <c r="F396" s="2"/>
      <c r="G396" s="1">
        <v>26</v>
      </c>
      <c r="H396" s="2" t="s">
        <v>2965</v>
      </c>
      <c r="I396" s="2"/>
    </row>
    <row r="397" spans="1:10" ht="15" x14ac:dyDescent="0.25">
      <c r="A397" s="3">
        <v>12070003</v>
      </c>
      <c r="B397" s="11" t="s">
        <v>235</v>
      </c>
      <c r="C397" s="11" t="s">
        <v>29</v>
      </c>
      <c r="D397" s="1">
        <v>11</v>
      </c>
      <c r="F397" s="1"/>
      <c r="G397" s="1">
        <v>11</v>
      </c>
      <c r="H397" s="1" t="s">
        <v>2774</v>
      </c>
      <c r="I397" s="1" t="s">
        <v>2700</v>
      </c>
    </row>
    <row r="398" spans="1:10" ht="15" x14ac:dyDescent="0.25">
      <c r="A398" s="3">
        <v>12070003</v>
      </c>
      <c r="B398" s="11" t="s">
        <v>235</v>
      </c>
      <c r="C398" s="11" t="s">
        <v>24</v>
      </c>
      <c r="D398" s="1">
        <v>44</v>
      </c>
      <c r="F398" s="1"/>
      <c r="G398" s="1">
        <v>44</v>
      </c>
      <c r="H398" s="1" t="s">
        <v>2774</v>
      </c>
      <c r="I398" s="1" t="s">
        <v>2702</v>
      </c>
    </row>
    <row r="399" spans="1:10" ht="15" x14ac:dyDescent="0.25">
      <c r="A399" s="3">
        <v>12070003</v>
      </c>
      <c r="B399" s="11" t="s">
        <v>235</v>
      </c>
      <c r="C399" s="11" t="s">
        <v>25</v>
      </c>
      <c r="D399" s="1">
        <v>7</v>
      </c>
      <c r="F399" s="1"/>
      <c r="G399" s="1">
        <v>7</v>
      </c>
      <c r="H399" s="1" t="s">
        <v>2774</v>
      </c>
    </row>
    <row r="400" spans="1:10" ht="15" x14ac:dyDescent="0.25">
      <c r="A400" s="16">
        <v>12070003</v>
      </c>
      <c r="B400" s="11" t="s">
        <v>235</v>
      </c>
      <c r="C400" s="11" t="s">
        <v>1435</v>
      </c>
      <c r="D400" s="1">
        <v>11</v>
      </c>
      <c r="F400" s="1"/>
      <c r="G400" s="1">
        <v>11</v>
      </c>
      <c r="H400" s="1" t="s">
        <v>2774</v>
      </c>
    </row>
    <row r="401" spans="1:10" ht="15" x14ac:dyDescent="0.25">
      <c r="A401" s="16">
        <v>12070004</v>
      </c>
      <c r="B401" s="11" t="s">
        <v>237</v>
      </c>
      <c r="C401" s="11" t="s">
        <v>1437</v>
      </c>
      <c r="D401" s="1">
        <v>11</v>
      </c>
      <c r="F401" s="1"/>
      <c r="G401" s="1">
        <v>11</v>
      </c>
      <c r="H401" s="1" t="s">
        <v>2774</v>
      </c>
    </row>
    <row r="402" spans="1:10" ht="15" x14ac:dyDescent="0.25">
      <c r="A402" s="3">
        <v>12070005</v>
      </c>
      <c r="B402" s="11" t="s">
        <v>236</v>
      </c>
      <c r="C402" s="11" t="s">
        <v>25</v>
      </c>
      <c r="D402" s="1">
        <v>7</v>
      </c>
      <c r="F402" s="1"/>
      <c r="G402" s="1">
        <v>7</v>
      </c>
      <c r="H402" s="1" t="s">
        <v>2966</v>
      </c>
    </row>
    <row r="403" spans="1:10" ht="15" x14ac:dyDescent="0.25">
      <c r="A403" s="3">
        <v>12070005</v>
      </c>
      <c r="B403" s="11" t="s">
        <v>236</v>
      </c>
      <c r="C403" s="11" t="s">
        <v>1436</v>
      </c>
      <c r="D403" s="1">
        <f>96</f>
        <v>96</v>
      </c>
      <c r="F403" s="1"/>
      <c r="G403" s="1">
        <v>96</v>
      </c>
      <c r="H403" s="1" t="s">
        <v>2966</v>
      </c>
      <c r="I403" s="1" t="s">
        <v>2702</v>
      </c>
    </row>
    <row r="404" spans="1:10" ht="15" x14ac:dyDescent="0.25">
      <c r="A404" s="16">
        <v>12070005</v>
      </c>
      <c r="B404" s="11" t="s">
        <v>2453</v>
      </c>
      <c r="C404" s="11" t="s">
        <v>1439</v>
      </c>
      <c r="D404" s="1">
        <f>G404</f>
        <v>24</v>
      </c>
      <c r="F404" s="1"/>
      <c r="G404" s="1">
        <v>24</v>
      </c>
      <c r="H404" s="1" t="s">
        <v>2966</v>
      </c>
    </row>
    <row r="405" spans="1:10" ht="15" x14ac:dyDescent="0.25">
      <c r="A405" s="3">
        <v>12070006</v>
      </c>
      <c r="B405" s="11" t="s">
        <v>238</v>
      </c>
      <c r="C405" s="11" t="s">
        <v>0</v>
      </c>
      <c r="D405" s="1">
        <v>20</v>
      </c>
      <c r="E405" s="4"/>
      <c r="F405" s="1" t="s">
        <v>3132</v>
      </c>
      <c r="G405" s="1">
        <v>20</v>
      </c>
      <c r="H405" s="1" t="s">
        <v>3028</v>
      </c>
      <c r="I405" s="1" t="s">
        <v>3132</v>
      </c>
      <c r="J405" s="1" t="s">
        <v>3132</v>
      </c>
    </row>
    <row r="406" spans="1:10" ht="15" x14ac:dyDescent="0.25">
      <c r="A406" s="3">
        <v>12070006</v>
      </c>
      <c r="B406" s="11" t="s">
        <v>238</v>
      </c>
      <c r="C406" s="11" t="s">
        <v>1</v>
      </c>
      <c r="D406" s="1">
        <v>80</v>
      </c>
      <c r="E406" s="4"/>
      <c r="F406" s="1" t="s">
        <v>3132</v>
      </c>
      <c r="G406" s="1">
        <v>80</v>
      </c>
      <c r="H406" s="1" t="s">
        <v>3026</v>
      </c>
      <c r="I406" s="1" t="s">
        <v>3132</v>
      </c>
      <c r="J406" s="1" t="s">
        <v>3132</v>
      </c>
    </row>
    <row r="407" spans="1:10" ht="15" x14ac:dyDescent="0.25">
      <c r="A407" s="3">
        <v>12070006</v>
      </c>
      <c r="B407" s="11" t="s">
        <v>245</v>
      </c>
      <c r="C407" s="11" t="s">
        <v>1444</v>
      </c>
      <c r="D407" s="4">
        <f>G407</f>
        <v>1</v>
      </c>
      <c r="F407" s="1"/>
      <c r="G407" s="4">
        <v>1</v>
      </c>
      <c r="H407" s="1" t="s">
        <v>2964</v>
      </c>
    </row>
    <row r="408" spans="1:10" ht="15" x14ac:dyDescent="0.25">
      <c r="A408" s="3">
        <v>12070006</v>
      </c>
      <c r="B408" s="11" t="s">
        <v>238</v>
      </c>
      <c r="C408" s="11" t="s">
        <v>25</v>
      </c>
      <c r="D408" s="1">
        <v>7</v>
      </c>
      <c r="F408" s="1">
        <v>5</v>
      </c>
      <c r="G408" s="1">
        <v>7</v>
      </c>
      <c r="H408" s="1" t="s">
        <v>2964</v>
      </c>
    </row>
    <row r="409" spans="1:10" ht="15" x14ac:dyDescent="0.25">
      <c r="A409" s="3">
        <v>12070006</v>
      </c>
      <c r="B409" s="11" t="s">
        <v>238</v>
      </c>
      <c r="C409" s="11" t="s">
        <v>1438</v>
      </c>
      <c r="D409" s="1">
        <v>80</v>
      </c>
      <c r="F409" s="1"/>
      <c r="G409" s="1">
        <v>80</v>
      </c>
      <c r="H409" s="1" t="s">
        <v>2964</v>
      </c>
    </row>
    <row r="410" spans="1:10" ht="15" x14ac:dyDescent="0.25">
      <c r="A410" s="3">
        <v>12070006</v>
      </c>
      <c r="B410" s="11" t="s">
        <v>238</v>
      </c>
      <c r="C410" s="11" t="s">
        <v>29</v>
      </c>
      <c r="D410" s="1">
        <v>20</v>
      </c>
      <c r="F410" s="1"/>
      <c r="G410" s="1">
        <v>20</v>
      </c>
      <c r="H410" s="1" t="s">
        <v>2964</v>
      </c>
      <c r="I410" s="1" t="s">
        <v>2700</v>
      </c>
    </row>
    <row r="411" spans="1:10" ht="15" x14ac:dyDescent="0.25">
      <c r="A411" s="16">
        <v>12070006</v>
      </c>
      <c r="B411" s="11" t="s">
        <v>2451</v>
      </c>
      <c r="C411" s="11" t="s">
        <v>1439</v>
      </c>
      <c r="D411" s="1">
        <f>G411</f>
        <v>20</v>
      </c>
      <c r="F411" s="1">
        <v>8</v>
      </c>
      <c r="G411" s="1">
        <v>20</v>
      </c>
      <c r="H411" s="1" t="s">
        <v>2964</v>
      </c>
    </row>
    <row r="412" spans="1:10" ht="15" x14ac:dyDescent="0.25">
      <c r="A412" s="3">
        <v>12070007</v>
      </c>
      <c r="B412" s="11" t="s">
        <v>239</v>
      </c>
      <c r="C412" s="11" t="s">
        <v>25</v>
      </c>
      <c r="D412" s="1">
        <v>8</v>
      </c>
      <c r="F412" s="1"/>
      <c r="G412" s="1">
        <v>8</v>
      </c>
      <c r="H412" s="1" t="s">
        <v>2971</v>
      </c>
      <c r="I412" s="1" t="s">
        <v>2858</v>
      </c>
    </row>
    <row r="413" spans="1:10" ht="15" x14ac:dyDescent="0.25">
      <c r="A413" s="16">
        <v>12070007</v>
      </c>
      <c r="B413" s="11" t="s">
        <v>239</v>
      </c>
      <c r="C413" s="11" t="s">
        <v>1439</v>
      </c>
      <c r="D413" s="1">
        <v>16</v>
      </c>
      <c r="F413" s="1"/>
      <c r="G413" s="1">
        <v>16</v>
      </c>
      <c r="H413" s="1" t="s">
        <v>2971</v>
      </c>
    </row>
    <row r="414" spans="1:10" ht="15" x14ac:dyDescent="0.25">
      <c r="A414" s="5">
        <v>12070008</v>
      </c>
      <c r="B414" s="11" t="s">
        <v>240</v>
      </c>
      <c r="C414" s="11" t="s">
        <v>25</v>
      </c>
      <c r="D414" s="1">
        <v>7</v>
      </c>
      <c r="F414" s="1"/>
      <c r="G414" s="1">
        <v>7</v>
      </c>
      <c r="H414" s="1" t="s">
        <v>2972</v>
      </c>
      <c r="I414" s="1" t="s">
        <v>2976</v>
      </c>
    </row>
    <row r="415" spans="1:10" ht="15" x14ac:dyDescent="0.25">
      <c r="A415" s="16">
        <v>12070008</v>
      </c>
      <c r="B415" s="11" t="s">
        <v>243</v>
      </c>
      <c r="C415" s="11" t="s">
        <v>1442</v>
      </c>
      <c r="D415" s="4">
        <v>104</v>
      </c>
      <c r="F415" s="1"/>
      <c r="G415" s="1">
        <v>104</v>
      </c>
      <c r="H415" s="1" t="s">
        <v>2972</v>
      </c>
      <c r="I415" s="1" t="s">
        <v>2973</v>
      </c>
    </row>
    <row r="416" spans="1:10" ht="15" x14ac:dyDescent="0.25">
      <c r="A416" s="5">
        <v>12070008</v>
      </c>
      <c r="B416" s="11" t="s">
        <v>240</v>
      </c>
      <c r="C416" s="11" t="s">
        <v>24</v>
      </c>
      <c r="D416" s="1">
        <f>13*4</f>
        <v>52</v>
      </c>
      <c r="F416" s="1"/>
      <c r="G416" s="1">
        <v>52</v>
      </c>
      <c r="H416" s="1" t="s">
        <v>2972</v>
      </c>
      <c r="I416" s="1" t="s">
        <v>2975</v>
      </c>
    </row>
    <row r="417" spans="1:10" ht="15" x14ac:dyDescent="0.25">
      <c r="A417" s="16">
        <v>12070008</v>
      </c>
      <c r="B417" s="11" t="s">
        <v>240</v>
      </c>
      <c r="C417" s="11" t="s">
        <v>1439</v>
      </c>
      <c r="D417" s="1">
        <v>13</v>
      </c>
      <c r="F417" s="1"/>
      <c r="G417" s="1">
        <v>13</v>
      </c>
      <c r="H417" s="1" t="s">
        <v>2972</v>
      </c>
      <c r="I417" s="1" t="s">
        <v>2974</v>
      </c>
    </row>
    <row r="418" spans="1:10" ht="15" x14ac:dyDescent="0.25">
      <c r="A418" s="3">
        <v>12070009</v>
      </c>
      <c r="B418" s="11" t="s">
        <v>242</v>
      </c>
      <c r="C418" s="11" t="s">
        <v>24</v>
      </c>
      <c r="D418" s="1">
        <f>13*4</f>
        <v>52</v>
      </c>
      <c r="E418" s="4"/>
      <c r="F418" s="1" t="s">
        <v>3132</v>
      </c>
      <c r="G418" s="4"/>
      <c r="H418" s="1" t="s">
        <v>2972</v>
      </c>
      <c r="I418" s="1" t="s">
        <v>3132</v>
      </c>
      <c r="J418" s="1" t="s">
        <v>3132</v>
      </c>
    </row>
    <row r="419" spans="1:10" ht="15" x14ac:dyDescent="0.25">
      <c r="A419" s="16">
        <v>12070009</v>
      </c>
      <c r="B419" s="11" t="s">
        <v>242</v>
      </c>
      <c r="C419" s="11" t="s">
        <v>1441</v>
      </c>
      <c r="D419" s="1">
        <v>13</v>
      </c>
      <c r="F419" s="1"/>
      <c r="G419" s="1">
        <v>13</v>
      </c>
      <c r="H419" s="1" t="s">
        <v>2972</v>
      </c>
    </row>
    <row r="420" spans="1:10" ht="15" x14ac:dyDescent="0.25">
      <c r="A420" s="20">
        <v>12070010</v>
      </c>
      <c r="B420" s="11" t="s">
        <v>241</v>
      </c>
      <c r="C420" s="11" t="s">
        <v>11</v>
      </c>
      <c r="D420" s="4">
        <f>G420</f>
        <v>8</v>
      </c>
      <c r="E420" s="10"/>
      <c r="F420" s="1"/>
      <c r="G420" s="10">
        <v>8</v>
      </c>
      <c r="H420" s="1" t="s">
        <v>2775</v>
      </c>
      <c r="I420" s="1" t="s">
        <v>2700</v>
      </c>
    </row>
    <row r="421" spans="1:10" ht="15" x14ac:dyDescent="0.25">
      <c r="A421" s="3">
        <v>12070010</v>
      </c>
      <c r="B421" s="11" t="s">
        <v>241</v>
      </c>
      <c r="C421" s="11" t="s">
        <v>1440</v>
      </c>
      <c r="D421" s="4">
        <f>G421</f>
        <v>30</v>
      </c>
      <c r="E421" s="10">
        <v>0.36</v>
      </c>
      <c r="F421" s="1">
        <v>84</v>
      </c>
      <c r="G421" s="4">
        <v>30</v>
      </c>
      <c r="H421" s="1" t="s">
        <v>2406</v>
      </c>
    </row>
    <row r="422" spans="1:10" ht="15" x14ac:dyDescent="0.25">
      <c r="A422" s="16">
        <v>12070010</v>
      </c>
      <c r="B422" s="11" t="s">
        <v>241</v>
      </c>
      <c r="C422" s="11" t="s">
        <v>13</v>
      </c>
      <c r="D422" s="1">
        <v>32</v>
      </c>
      <c r="E422" s="4"/>
      <c r="F422" s="1" t="s">
        <v>3132</v>
      </c>
      <c r="G422" s="4"/>
      <c r="H422" s="1" t="s">
        <v>2775</v>
      </c>
      <c r="I422" s="1" t="s">
        <v>3144</v>
      </c>
      <c r="J422" s="1" t="s">
        <v>3132</v>
      </c>
    </row>
    <row r="423" spans="1:10" ht="15" x14ac:dyDescent="0.25">
      <c r="A423" s="3">
        <v>12070010</v>
      </c>
      <c r="B423" s="11" t="s">
        <v>241</v>
      </c>
      <c r="C423" s="11" t="s">
        <v>31</v>
      </c>
      <c r="D423" s="1">
        <f>ROUND(E423*F423,0)</f>
        <v>90</v>
      </c>
      <c r="E423" s="1">
        <v>0.36</v>
      </c>
      <c r="F423" s="1">
        <v>250</v>
      </c>
      <c r="G423" s="1">
        <v>85</v>
      </c>
      <c r="H423" s="1" t="s">
        <v>2406</v>
      </c>
      <c r="I423" s="5"/>
    </row>
    <row r="424" spans="1:10" ht="15" x14ac:dyDescent="0.25">
      <c r="A424" s="5">
        <v>12070010</v>
      </c>
      <c r="B424" s="11" t="s">
        <v>241</v>
      </c>
      <c r="C424" s="11" t="s">
        <v>25</v>
      </c>
      <c r="D424" s="4">
        <f>G424</f>
        <v>4</v>
      </c>
      <c r="E424" s="10"/>
      <c r="F424" s="1"/>
      <c r="G424" s="4">
        <v>4</v>
      </c>
      <c r="H424" s="1" t="s">
        <v>2775</v>
      </c>
    </row>
    <row r="425" spans="1:10" ht="15" x14ac:dyDescent="0.25">
      <c r="A425" s="3">
        <v>12070010</v>
      </c>
      <c r="B425" s="11" t="s">
        <v>241</v>
      </c>
      <c r="C425" s="11" t="s">
        <v>29</v>
      </c>
      <c r="D425" s="1">
        <v>8</v>
      </c>
      <c r="F425" s="1"/>
      <c r="G425" s="1">
        <v>8</v>
      </c>
      <c r="H425" s="1" t="s">
        <v>2775</v>
      </c>
      <c r="I425" s="1" t="s">
        <v>2700</v>
      </c>
    </row>
    <row r="426" spans="1:10" ht="15" x14ac:dyDescent="0.25">
      <c r="A426" s="24">
        <v>12070010</v>
      </c>
      <c r="B426" s="25" t="s">
        <v>241</v>
      </c>
      <c r="C426" s="25" t="s">
        <v>27</v>
      </c>
      <c r="D426" s="4">
        <v>44</v>
      </c>
      <c r="H426" s="1" t="s">
        <v>2775</v>
      </c>
    </row>
    <row r="427" spans="1:10" ht="15" x14ac:dyDescent="0.25">
      <c r="A427" s="16">
        <v>12070010</v>
      </c>
      <c r="B427" s="11" t="s">
        <v>244</v>
      </c>
      <c r="C427" s="11" t="s">
        <v>1443</v>
      </c>
      <c r="D427" s="4">
        <f>G427</f>
        <v>8</v>
      </c>
      <c r="E427" s="10"/>
      <c r="F427" s="1">
        <v>8</v>
      </c>
      <c r="G427" s="4">
        <v>8</v>
      </c>
      <c r="H427" s="1" t="s">
        <v>2775</v>
      </c>
    </row>
    <row r="428" spans="1:10" ht="15" x14ac:dyDescent="0.25">
      <c r="A428" s="16">
        <v>13010101</v>
      </c>
      <c r="B428" s="11" t="s">
        <v>246</v>
      </c>
      <c r="C428" s="11" t="s">
        <v>1445</v>
      </c>
      <c r="D428" s="4">
        <f>ROUND(E428*F428,0)</f>
        <v>14</v>
      </c>
      <c r="E428" s="10">
        <v>0.92</v>
      </c>
      <c r="F428" s="1">
        <v>15</v>
      </c>
      <c r="H428" s="1" t="s">
        <v>2949</v>
      </c>
    </row>
    <row r="429" spans="1:10" ht="15" x14ac:dyDescent="0.25">
      <c r="A429" s="3">
        <v>13010101</v>
      </c>
      <c r="B429" s="11" t="s">
        <v>253</v>
      </c>
      <c r="C429" s="11" t="s">
        <v>1449</v>
      </c>
      <c r="D429" s="4">
        <v>91</v>
      </c>
      <c r="E429" s="1">
        <v>0.92</v>
      </c>
      <c r="F429" s="1">
        <v>84</v>
      </c>
      <c r="G429" s="1">
        <v>7</v>
      </c>
      <c r="H429" s="1" t="s">
        <v>2949</v>
      </c>
    </row>
    <row r="430" spans="1:10" ht="15" x14ac:dyDescent="0.25">
      <c r="A430" s="16">
        <v>13010101</v>
      </c>
      <c r="B430" s="11" t="s">
        <v>255</v>
      </c>
      <c r="C430" s="11" t="s">
        <v>1450</v>
      </c>
      <c r="D430" s="4">
        <f>ROUND(E430*F430,0)</f>
        <v>14</v>
      </c>
      <c r="E430" s="10">
        <v>0.92</v>
      </c>
      <c r="F430" s="1">
        <v>15</v>
      </c>
      <c r="H430" s="1" t="s">
        <v>2949</v>
      </c>
    </row>
    <row r="431" spans="1:10" ht="15" x14ac:dyDescent="0.25">
      <c r="A431" s="16">
        <v>13010102</v>
      </c>
      <c r="B431" s="11" t="s">
        <v>247</v>
      </c>
      <c r="C431" s="11" t="s">
        <v>1445</v>
      </c>
      <c r="D431" s="4">
        <f>ROUND(E431*F431,0)</f>
        <v>15</v>
      </c>
      <c r="E431" s="10">
        <v>1</v>
      </c>
      <c r="F431" s="1">
        <v>15</v>
      </c>
      <c r="H431" s="1" t="s">
        <v>2953</v>
      </c>
      <c r="I431" s="1" t="s">
        <v>2700</v>
      </c>
    </row>
    <row r="432" spans="1:10" ht="15" x14ac:dyDescent="0.25">
      <c r="A432" s="24">
        <v>13010102</v>
      </c>
      <c r="B432" s="25" t="s">
        <v>247</v>
      </c>
      <c r="C432" s="25" t="s">
        <v>12</v>
      </c>
      <c r="D432" s="4">
        <v>30</v>
      </c>
      <c r="H432" s="1" t="s">
        <v>2953</v>
      </c>
    </row>
    <row r="433" spans="1:9" ht="15" x14ac:dyDescent="0.25">
      <c r="A433" s="3">
        <v>13010102</v>
      </c>
      <c r="B433" s="11" t="s">
        <v>254</v>
      </c>
      <c r="C433" s="11" t="s">
        <v>1449</v>
      </c>
      <c r="D433" s="4">
        <f>ROUND(E433*F433*1.25,0)</f>
        <v>105</v>
      </c>
      <c r="E433" s="10">
        <v>1</v>
      </c>
      <c r="F433" s="1">
        <v>84</v>
      </c>
      <c r="H433" s="1" t="s">
        <v>2953</v>
      </c>
      <c r="I433" s="1" t="s">
        <v>2999</v>
      </c>
    </row>
    <row r="434" spans="1:9" ht="15" x14ac:dyDescent="0.25">
      <c r="A434" s="16">
        <v>13010102</v>
      </c>
      <c r="B434" s="11" t="s">
        <v>258</v>
      </c>
      <c r="C434" s="11" t="s">
        <v>1452</v>
      </c>
      <c r="D434" s="4">
        <f>ROUND(E434*F434,0)</f>
        <v>15</v>
      </c>
      <c r="E434" s="10">
        <v>1</v>
      </c>
      <c r="F434" s="1">
        <v>15</v>
      </c>
      <c r="H434" s="1" t="s">
        <v>2953</v>
      </c>
    </row>
    <row r="435" spans="1:9" ht="15" x14ac:dyDescent="0.25">
      <c r="A435" s="3">
        <v>13010103</v>
      </c>
      <c r="B435" s="11" t="s">
        <v>248</v>
      </c>
      <c r="C435" s="11" t="s">
        <v>32</v>
      </c>
      <c r="D435" s="4">
        <f>G435</f>
        <v>1</v>
      </c>
      <c r="F435" s="1"/>
      <c r="G435" s="4">
        <v>1</v>
      </c>
      <c r="H435" s="1" t="s">
        <v>2949</v>
      </c>
    </row>
    <row r="436" spans="1:9" ht="15" x14ac:dyDescent="0.25">
      <c r="A436" s="16">
        <v>13010103</v>
      </c>
      <c r="B436" s="11" t="s">
        <v>248</v>
      </c>
      <c r="C436" s="11" t="s">
        <v>1445</v>
      </c>
      <c r="D436" s="4">
        <f t="shared" ref="D436:D445" si="14">ROUND(E436*F436,0)</f>
        <v>14</v>
      </c>
      <c r="E436" s="10">
        <v>0.92</v>
      </c>
      <c r="F436" s="1">
        <v>15</v>
      </c>
      <c r="H436" s="1" t="s">
        <v>2949</v>
      </c>
    </row>
    <row r="437" spans="1:9" ht="15" x14ac:dyDescent="0.25">
      <c r="A437" s="3">
        <v>13010103</v>
      </c>
      <c r="B437" s="11" t="s">
        <v>262</v>
      </c>
      <c r="C437" s="11" t="s">
        <v>1454</v>
      </c>
      <c r="D437" s="4">
        <f t="shared" si="14"/>
        <v>120</v>
      </c>
      <c r="E437" s="10">
        <v>0.92</v>
      </c>
      <c r="F437" s="1">
        <v>130</v>
      </c>
      <c r="H437" s="1" t="s">
        <v>2949</v>
      </c>
    </row>
    <row r="438" spans="1:9" ht="15" x14ac:dyDescent="0.25">
      <c r="A438" s="3">
        <v>13010103</v>
      </c>
      <c r="B438" s="11" t="s">
        <v>266</v>
      </c>
      <c r="C438" s="11" t="s">
        <v>1457</v>
      </c>
      <c r="D438" s="4">
        <f t="shared" si="14"/>
        <v>28</v>
      </c>
      <c r="E438" s="1">
        <v>0.92</v>
      </c>
      <c r="F438" s="1">
        <v>30</v>
      </c>
      <c r="H438" s="1" t="s">
        <v>2949</v>
      </c>
    </row>
    <row r="439" spans="1:9" ht="15" x14ac:dyDescent="0.25">
      <c r="A439" s="3">
        <v>13010103</v>
      </c>
      <c r="B439" s="11" t="s">
        <v>248</v>
      </c>
      <c r="C439" s="11" t="s">
        <v>2675</v>
      </c>
      <c r="D439" s="1">
        <f t="shared" si="14"/>
        <v>46</v>
      </c>
      <c r="E439" s="1">
        <v>0.92</v>
      </c>
      <c r="F439" s="1">
        <v>50</v>
      </c>
      <c r="H439" s="1" t="s">
        <v>2949</v>
      </c>
    </row>
    <row r="440" spans="1:9" ht="15" x14ac:dyDescent="0.25">
      <c r="A440" s="3">
        <v>13010103</v>
      </c>
      <c r="B440" s="11" t="s">
        <v>248</v>
      </c>
      <c r="C440" s="11" t="s">
        <v>25</v>
      </c>
      <c r="D440" s="4">
        <f t="shared" si="14"/>
        <v>5</v>
      </c>
      <c r="E440" s="1">
        <v>0.92</v>
      </c>
      <c r="F440" s="1">
        <v>5</v>
      </c>
      <c r="G440" s="4">
        <v>3</v>
      </c>
      <c r="H440" s="1" t="s">
        <v>2949</v>
      </c>
    </row>
    <row r="441" spans="1:9" ht="15" x14ac:dyDescent="0.25">
      <c r="A441" s="16">
        <v>13010103</v>
      </c>
      <c r="B441" s="11" t="s">
        <v>248</v>
      </c>
      <c r="C441" s="11" t="s">
        <v>12</v>
      </c>
      <c r="D441" s="4">
        <f t="shared" si="14"/>
        <v>28</v>
      </c>
      <c r="E441" s="1">
        <v>0.92</v>
      </c>
      <c r="F441" s="1">
        <v>30</v>
      </c>
      <c r="H441" s="1" t="s">
        <v>2949</v>
      </c>
    </row>
    <row r="442" spans="1:9" ht="15" x14ac:dyDescent="0.25">
      <c r="A442" s="3">
        <v>13010103</v>
      </c>
      <c r="B442" s="11" t="s">
        <v>256</v>
      </c>
      <c r="C442" s="11" t="s">
        <v>1451</v>
      </c>
      <c r="D442" s="4">
        <f t="shared" si="14"/>
        <v>77</v>
      </c>
      <c r="E442" s="10">
        <v>0.92</v>
      </c>
      <c r="F442" s="1">
        <v>84</v>
      </c>
      <c r="H442" s="1" t="s">
        <v>2949</v>
      </c>
    </row>
    <row r="443" spans="1:9" ht="15" x14ac:dyDescent="0.25">
      <c r="A443" s="16">
        <v>13010103</v>
      </c>
      <c r="B443" s="11" t="s">
        <v>259</v>
      </c>
      <c r="C443" s="11" t="s">
        <v>1452</v>
      </c>
      <c r="D443" s="4">
        <f t="shared" si="14"/>
        <v>14</v>
      </c>
      <c r="E443" s="10">
        <v>0.92</v>
      </c>
      <c r="F443" s="1">
        <v>15</v>
      </c>
      <c r="H443" s="1" t="s">
        <v>2949</v>
      </c>
    </row>
    <row r="444" spans="1:9" ht="15" x14ac:dyDescent="0.25">
      <c r="A444" s="16">
        <v>13010104</v>
      </c>
      <c r="B444" s="11" t="s">
        <v>249</v>
      </c>
      <c r="C444" s="11" t="s">
        <v>1446</v>
      </c>
      <c r="D444" s="4">
        <f t="shared" si="14"/>
        <v>30</v>
      </c>
      <c r="E444" s="10">
        <v>1</v>
      </c>
      <c r="F444" s="1">
        <v>30</v>
      </c>
      <c r="H444" s="1" t="s">
        <v>2953</v>
      </c>
      <c r="I444" s="1" t="s">
        <v>2701</v>
      </c>
    </row>
    <row r="445" spans="1:9" ht="15" x14ac:dyDescent="0.25">
      <c r="A445" s="5">
        <v>13010104</v>
      </c>
      <c r="B445" s="11" t="s">
        <v>249</v>
      </c>
      <c r="C445" s="11" t="s">
        <v>23</v>
      </c>
      <c r="D445" s="4">
        <f t="shared" si="14"/>
        <v>60</v>
      </c>
      <c r="E445" s="10">
        <v>1</v>
      </c>
      <c r="F445" s="1">
        <v>60</v>
      </c>
      <c r="H445" s="1" t="s">
        <v>2953</v>
      </c>
      <c r="I445" s="1" t="s">
        <v>2734</v>
      </c>
    </row>
    <row r="446" spans="1:9" ht="15" x14ac:dyDescent="0.25">
      <c r="A446" s="3">
        <v>13010104</v>
      </c>
      <c r="B446" s="11" t="s">
        <v>252</v>
      </c>
      <c r="C446" s="11" t="s">
        <v>1448</v>
      </c>
      <c r="D446" s="4">
        <v>84</v>
      </c>
      <c r="E446" s="10">
        <v>1</v>
      </c>
      <c r="F446" s="1">
        <v>84</v>
      </c>
      <c r="H446" s="1" t="s">
        <v>2953</v>
      </c>
    </row>
    <row r="447" spans="1:9" ht="15" x14ac:dyDescent="0.25">
      <c r="A447" s="20">
        <v>13010104</v>
      </c>
      <c r="B447" s="11" t="s">
        <v>249</v>
      </c>
      <c r="C447" s="11" t="s">
        <v>11</v>
      </c>
      <c r="D447" s="4">
        <f>ROUND(E447*F447,0)</f>
        <v>15</v>
      </c>
      <c r="E447" s="10">
        <v>1</v>
      </c>
      <c r="F447" s="1">
        <v>15</v>
      </c>
      <c r="H447" s="1" t="s">
        <v>2953</v>
      </c>
      <c r="I447" s="1" t="s">
        <v>2700</v>
      </c>
    </row>
    <row r="448" spans="1:9" ht="15" x14ac:dyDescent="0.25">
      <c r="A448" s="16">
        <v>13010104</v>
      </c>
      <c r="B448" s="11" t="s">
        <v>249</v>
      </c>
      <c r="C448" s="11" t="s">
        <v>13</v>
      </c>
      <c r="D448" s="4">
        <f>ROUND(E448*F448,0)</f>
        <v>60</v>
      </c>
      <c r="E448" s="10">
        <v>1</v>
      </c>
      <c r="F448" s="1">
        <v>60</v>
      </c>
      <c r="H448" s="1" t="s">
        <v>2953</v>
      </c>
      <c r="I448" s="1" t="s">
        <v>2702</v>
      </c>
    </row>
    <row r="449" spans="1:10" ht="15" x14ac:dyDescent="0.25">
      <c r="A449" s="3">
        <v>13010104</v>
      </c>
      <c r="B449" s="11" t="s">
        <v>268</v>
      </c>
      <c r="C449" s="11" t="s">
        <v>1459</v>
      </c>
      <c r="D449" s="4">
        <f>ROUND(E449*F449,0)</f>
        <v>30</v>
      </c>
      <c r="E449" s="10">
        <v>1</v>
      </c>
      <c r="F449" s="1">
        <v>30</v>
      </c>
      <c r="H449" s="1" t="s">
        <v>2953</v>
      </c>
    </row>
    <row r="450" spans="1:10" ht="15" x14ac:dyDescent="0.25">
      <c r="A450" s="3">
        <v>13010104</v>
      </c>
      <c r="B450" s="11" t="s">
        <v>257</v>
      </c>
      <c r="C450" s="11" t="s">
        <v>1451</v>
      </c>
      <c r="D450" s="4">
        <f>ROUND(E450*F450*1.25,0)</f>
        <v>105</v>
      </c>
      <c r="E450" s="10">
        <v>1</v>
      </c>
      <c r="F450" s="1">
        <v>84</v>
      </c>
      <c r="H450" s="1" t="s">
        <v>2953</v>
      </c>
      <c r="I450" s="1" t="s">
        <v>2999</v>
      </c>
    </row>
    <row r="451" spans="1:10" ht="15" x14ac:dyDescent="0.25">
      <c r="A451" s="16">
        <v>13010104</v>
      </c>
      <c r="B451" s="11" t="s">
        <v>260</v>
      </c>
      <c r="C451" s="11" t="s">
        <v>1452</v>
      </c>
      <c r="D451" s="4">
        <f>ROUND(E451*F451,0)</f>
        <v>15</v>
      </c>
      <c r="E451" s="10">
        <v>1</v>
      </c>
      <c r="F451" s="1">
        <v>15</v>
      </c>
      <c r="H451" s="1" t="s">
        <v>2953</v>
      </c>
    </row>
    <row r="452" spans="1:10" ht="15" x14ac:dyDescent="0.25">
      <c r="A452" s="16">
        <v>13010105</v>
      </c>
      <c r="B452" s="11" t="s">
        <v>264</v>
      </c>
      <c r="C452" s="11" t="s">
        <v>11</v>
      </c>
      <c r="D452" s="4">
        <f>G452</f>
        <v>10</v>
      </c>
      <c r="E452" s="4"/>
      <c r="F452" s="1" t="s">
        <v>3132</v>
      </c>
      <c r="G452" s="1">
        <v>10</v>
      </c>
      <c r="H452" s="1" t="s">
        <v>2776</v>
      </c>
      <c r="I452" s="1" t="s">
        <v>3028</v>
      </c>
      <c r="J452" s="1" t="s">
        <v>3132</v>
      </c>
    </row>
    <row r="453" spans="1:10" ht="15" x14ac:dyDescent="0.25">
      <c r="A453" s="24">
        <v>13010105</v>
      </c>
      <c r="B453" s="25" t="s">
        <v>264</v>
      </c>
      <c r="C453" s="25" t="s">
        <v>24</v>
      </c>
      <c r="D453" s="4">
        <v>77</v>
      </c>
      <c r="H453" s="1" t="s">
        <v>2776</v>
      </c>
    </row>
    <row r="454" spans="1:10" ht="15" x14ac:dyDescent="0.25">
      <c r="A454" s="16">
        <v>13010105</v>
      </c>
      <c r="B454" s="11" t="s">
        <v>264</v>
      </c>
      <c r="C454" s="11" t="s">
        <v>1456</v>
      </c>
      <c r="D454" s="4">
        <f>G454</f>
        <v>10</v>
      </c>
      <c r="F454" s="1">
        <v>8</v>
      </c>
      <c r="G454" s="1">
        <v>10</v>
      </c>
      <c r="H454" s="1" t="s">
        <v>2776</v>
      </c>
    </row>
    <row r="455" spans="1:10" ht="15" x14ac:dyDescent="0.25">
      <c r="A455" s="16">
        <v>13010106</v>
      </c>
      <c r="B455" s="11" t="s">
        <v>250</v>
      </c>
      <c r="C455" s="11" t="s">
        <v>1447</v>
      </c>
      <c r="D455" s="4">
        <v>7</v>
      </c>
      <c r="F455" s="1">
        <f>10*2*1</f>
        <v>20</v>
      </c>
      <c r="G455" s="1">
        <v>7</v>
      </c>
      <c r="H455" s="1" t="s">
        <v>2773</v>
      </c>
      <c r="I455" s="1" t="s">
        <v>3028</v>
      </c>
    </row>
    <row r="456" spans="1:10" ht="15" x14ac:dyDescent="0.25">
      <c r="A456" s="16">
        <v>13010106</v>
      </c>
      <c r="B456" s="11" t="s">
        <v>261</v>
      </c>
      <c r="C456" s="11" t="s">
        <v>1453</v>
      </c>
      <c r="D456" s="4">
        <f>G456</f>
        <v>42</v>
      </c>
      <c r="F456" s="1">
        <v>84</v>
      </c>
      <c r="G456" s="1">
        <f>6*7</f>
        <v>42</v>
      </c>
      <c r="H456" s="1" t="s">
        <v>2773</v>
      </c>
      <c r="I456" s="1" t="s">
        <v>3030</v>
      </c>
    </row>
    <row r="457" spans="1:10" ht="15" x14ac:dyDescent="0.25">
      <c r="A457" s="16">
        <v>13010106</v>
      </c>
      <c r="B457" s="11" t="s">
        <v>265</v>
      </c>
      <c r="C457" s="11" t="s">
        <v>1456</v>
      </c>
      <c r="D457" s="4">
        <f>G457</f>
        <v>7</v>
      </c>
      <c r="F457" s="1">
        <v>8</v>
      </c>
      <c r="G457" s="1">
        <v>7</v>
      </c>
      <c r="H457" s="1" t="s">
        <v>2773</v>
      </c>
    </row>
    <row r="458" spans="1:10" ht="15" x14ac:dyDescent="0.25">
      <c r="A458" s="3">
        <v>13010107</v>
      </c>
      <c r="B458" s="11" t="s">
        <v>251</v>
      </c>
      <c r="C458" s="11" t="s">
        <v>27</v>
      </c>
      <c r="D458" s="4">
        <v>130</v>
      </c>
      <c r="E458" s="10">
        <v>1</v>
      </c>
      <c r="F458" s="1">
        <v>130</v>
      </c>
      <c r="H458" s="1" t="s">
        <v>2953</v>
      </c>
    </row>
    <row r="459" spans="1:10" ht="15" x14ac:dyDescent="0.25">
      <c r="A459" s="16">
        <v>13010107</v>
      </c>
      <c r="B459" s="11" t="s">
        <v>251</v>
      </c>
      <c r="C459" s="11" t="s">
        <v>1447</v>
      </c>
      <c r="D459" s="4">
        <f>ROUND(E459*F459,0)</f>
        <v>15</v>
      </c>
      <c r="E459" s="10">
        <v>1</v>
      </c>
      <c r="F459" s="1">
        <v>15</v>
      </c>
      <c r="H459" s="1" t="s">
        <v>2953</v>
      </c>
      <c r="I459" s="1" t="s">
        <v>2700</v>
      </c>
    </row>
    <row r="460" spans="1:10" ht="15" x14ac:dyDescent="0.25">
      <c r="A460" s="16">
        <v>13010107</v>
      </c>
      <c r="B460" s="11" t="s">
        <v>251</v>
      </c>
      <c r="C460" s="11" t="s">
        <v>12</v>
      </c>
      <c r="D460" s="4">
        <f>ROUND(E460*F460,0)</f>
        <v>30</v>
      </c>
      <c r="E460" s="10">
        <v>1</v>
      </c>
      <c r="F460" s="1">
        <v>30</v>
      </c>
      <c r="H460" s="1" t="s">
        <v>2953</v>
      </c>
      <c r="I460" s="1" t="s">
        <v>2701</v>
      </c>
    </row>
    <row r="461" spans="1:10" ht="15" x14ac:dyDescent="0.25">
      <c r="A461" s="16">
        <v>13010107</v>
      </c>
      <c r="B461" s="11" t="s">
        <v>263</v>
      </c>
      <c r="C461" s="11" t="s">
        <v>1455</v>
      </c>
      <c r="D461" s="4">
        <f>ROUND(E461*F461*1.25,0)</f>
        <v>105</v>
      </c>
      <c r="E461" s="10">
        <v>1</v>
      </c>
      <c r="F461" s="1">
        <v>84</v>
      </c>
      <c r="H461" s="1" t="s">
        <v>2953</v>
      </c>
      <c r="I461" s="1" t="s">
        <v>2999</v>
      </c>
    </row>
    <row r="462" spans="1:10" ht="15" x14ac:dyDescent="0.25">
      <c r="A462" s="16">
        <v>13010107</v>
      </c>
      <c r="B462" s="11" t="s">
        <v>267</v>
      </c>
      <c r="C462" s="11" t="s">
        <v>1458</v>
      </c>
      <c r="D462" s="4">
        <f>ROUND(E462*F462,0)</f>
        <v>15</v>
      </c>
      <c r="E462" s="10">
        <v>1</v>
      </c>
      <c r="F462" s="1">
        <v>15</v>
      </c>
      <c r="H462" s="1" t="s">
        <v>2953</v>
      </c>
    </row>
    <row r="463" spans="1:10" ht="15" x14ac:dyDescent="0.25">
      <c r="A463" s="24">
        <v>13010108</v>
      </c>
      <c r="B463" s="25" t="s">
        <v>2629</v>
      </c>
      <c r="C463" s="25" t="s">
        <v>12</v>
      </c>
      <c r="D463" s="4">
        <v>14</v>
      </c>
      <c r="H463" s="1" t="s">
        <v>2773</v>
      </c>
    </row>
    <row r="464" spans="1:10" ht="15" x14ac:dyDescent="0.25">
      <c r="A464" s="16">
        <v>13010108</v>
      </c>
      <c r="B464" s="11" t="s">
        <v>2629</v>
      </c>
      <c r="C464" s="11" t="s">
        <v>11</v>
      </c>
      <c r="D464" s="4">
        <v>7</v>
      </c>
    </row>
    <row r="465" spans="1:9" ht="15" x14ac:dyDescent="0.25">
      <c r="A465" s="16">
        <v>13010108</v>
      </c>
      <c r="B465" s="11" t="s">
        <v>2629</v>
      </c>
      <c r="C465" s="11" t="s">
        <v>24</v>
      </c>
      <c r="D465" s="4">
        <f>G465</f>
        <v>42</v>
      </c>
      <c r="F465" s="1"/>
      <c r="G465" s="1">
        <f>6*7</f>
        <v>42</v>
      </c>
      <c r="H465" s="1" t="s">
        <v>2773</v>
      </c>
      <c r="I465" s="1" t="s">
        <v>3030</v>
      </c>
    </row>
    <row r="466" spans="1:9" ht="15" x14ac:dyDescent="0.25">
      <c r="A466" s="16">
        <v>13010108</v>
      </c>
      <c r="B466" s="11" t="s">
        <v>2629</v>
      </c>
      <c r="C466" s="11" t="s">
        <v>26</v>
      </c>
      <c r="D466" s="1">
        <v>7</v>
      </c>
      <c r="F466" s="1"/>
      <c r="G466" s="1">
        <v>7</v>
      </c>
      <c r="H466" s="1" t="s">
        <v>2773</v>
      </c>
    </row>
    <row r="467" spans="1:9" ht="15" x14ac:dyDescent="0.25">
      <c r="A467" s="16">
        <v>13010201</v>
      </c>
      <c r="B467" s="11" t="s">
        <v>269</v>
      </c>
      <c r="C467" s="11" t="s">
        <v>1460</v>
      </c>
      <c r="D467" s="4">
        <v>7</v>
      </c>
      <c r="F467" s="1"/>
      <c r="G467" s="1">
        <v>7</v>
      </c>
      <c r="H467" s="1" t="s">
        <v>2773</v>
      </c>
      <c r="I467" s="1" t="s">
        <v>3028</v>
      </c>
    </row>
    <row r="468" spans="1:9" ht="15" x14ac:dyDescent="0.25">
      <c r="A468" s="16">
        <v>13010201</v>
      </c>
      <c r="B468" s="11" t="s">
        <v>271</v>
      </c>
      <c r="C468" s="11" t="s">
        <v>1464</v>
      </c>
      <c r="D468" s="4">
        <f>G468*2</f>
        <v>52</v>
      </c>
      <c r="F468" s="1"/>
      <c r="G468" s="1">
        <v>26</v>
      </c>
      <c r="H468" s="1" t="s">
        <v>2777</v>
      </c>
      <c r="I468" s="1" t="s">
        <v>2741</v>
      </c>
    </row>
    <row r="469" spans="1:9" ht="15" x14ac:dyDescent="0.25">
      <c r="A469" s="16">
        <v>13010201</v>
      </c>
      <c r="B469" s="11" t="s">
        <v>269</v>
      </c>
      <c r="C469" s="11" t="s">
        <v>1461</v>
      </c>
      <c r="D469" s="4">
        <v>17</v>
      </c>
      <c r="F469" s="1"/>
      <c r="G469" s="1">
        <v>17</v>
      </c>
      <c r="H469" s="1" t="s">
        <v>2777</v>
      </c>
      <c r="I469" s="1" t="s">
        <v>3145</v>
      </c>
    </row>
    <row r="470" spans="1:9" ht="15" x14ac:dyDescent="0.25">
      <c r="A470" s="3">
        <v>13010202</v>
      </c>
      <c r="B470" s="11" t="s">
        <v>278</v>
      </c>
      <c r="C470" s="11" t="s">
        <v>1471</v>
      </c>
      <c r="D470" s="4">
        <f>G470</f>
        <v>17</v>
      </c>
      <c r="F470" s="1"/>
      <c r="G470" s="1">
        <v>17</v>
      </c>
      <c r="H470" s="1" t="s">
        <v>2777</v>
      </c>
      <c r="I470" s="1" t="s">
        <v>3145</v>
      </c>
    </row>
    <row r="471" spans="1:9" ht="15" x14ac:dyDescent="0.25">
      <c r="A471" s="3">
        <v>13010202</v>
      </c>
      <c r="B471" s="11" t="s">
        <v>303</v>
      </c>
      <c r="C471" s="11" t="s">
        <v>1492</v>
      </c>
      <c r="D471" s="4">
        <f>G471*2</f>
        <v>52</v>
      </c>
      <c r="F471" s="1"/>
      <c r="G471" s="1">
        <v>26</v>
      </c>
      <c r="H471" s="1" t="s">
        <v>2777</v>
      </c>
      <c r="I471" s="1" t="s">
        <v>2741</v>
      </c>
    </row>
    <row r="472" spans="1:9" ht="15" x14ac:dyDescent="0.25">
      <c r="A472" s="3">
        <v>13010202</v>
      </c>
      <c r="B472" s="11" t="s">
        <v>270</v>
      </c>
      <c r="C472" s="11" t="s">
        <v>27</v>
      </c>
      <c r="D472" s="4">
        <f>G472</f>
        <v>56</v>
      </c>
      <c r="E472" s="4"/>
      <c r="F472" s="1" t="s">
        <v>3132</v>
      </c>
      <c r="G472" s="4">
        <f>7*8</f>
        <v>56</v>
      </c>
      <c r="H472" s="1" t="s">
        <v>2773</v>
      </c>
      <c r="I472" s="1" t="s">
        <v>3025</v>
      </c>
    </row>
    <row r="473" spans="1:9" ht="15" x14ac:dyDescent="0.25">
      <c r="A473" s="16">
        <v>13010202</v>
      </c>
      <c r="B473" s="11" t="s">
        <v>270</v>
      </c>
      <c r="C473" s="11" t="s">
        <v>1462</v>
      </c>
      <c r="D473" s="4">
        <v>7</v>
      </c>
      <c r="F473" s="1"/>
      <c r="G473" s="1">
        <v>7</v>
      </c>
      <c r="H473" s="1" t="s">
        <v>2773</v>
      </c>
      <c r="I473" s="1" t="s">
        <v>3028</v>
      </c>
    </row>
    <row r="474" spans="1:9" ht="15" x14ac:dyDescent="0.25">
      <c r="A474" s="16">
        <v>13010202</v>
      </c>
      <c r="B474" s="11" t="s">
        <v>275</v>
      </c>
      <c r="C474" s="11" t="s">
        <v>1468</v>
      </c>
      <c r="D474" s="4">
        <f>G474*2</f>
        <v>52</v>
      </c>
      <c r="F474" s="1"/>
      <c r="G474" s="1">
        <v>26</v>
      </c>
      <c r="H474" s="1" t="s">
        <v>2777</v>
      </c>
      <c r="I474" s="1" t="s">
        <v>2741</v>
      </c>
    </row>
    <row r="475" spans="1:9" ht="15" x14ac:dyDescent="0.25">
      <c r="A475" s="16">
        <v>13010202</v>
      </c>
      <c r="B475" s="11" t="s">
        <v>270</v>
      </c>
      <c r="C475" s="11" t="s">
        <v>1463</v>
      </c>
      <c r="D475" s="4">
        <v>17</v>
      </c>
      <c r="F475" s="1"/>
      <c r="G475" s="1">
        <v>17</v>
      </c>
      <c r="H475" s="1" t="s">
        <v>2777</v>
      </c>
      <c r="I475" s="1" t="s">
        <v>3145</v>
      </c>
    </row>
    <row r="476" spans="1:9" ht="15" x14ac:dyDescent="0.25">
      <c r="A476" s="20">
        <v>13010203</v>
      </c>
      <c r="B476" s="11" t="s">
        <v>274</v>
      </c>
      <c r="C476" s="11" t="s">
        <v>11</v>
      </c>
      <c r="D476" s="4">
        <f t="shared" ref="D476:D485" si="15">ROUND(E476*F476,0)</f>
        <v>14</v>
      </c>
      <c r="E476" s="10">
        <v>0.92</v>
      </c>
      <c r="F476" s="1">
        <v>15</v>
      </c>
      <c r="H476" s="1" t="s">
        <v>2949</v>
      </c>
    </row>
    <row r="477" spans="1:9" ht="15" x14ac:dyDescent="0.25">
      <c r="A477" s="3">
        <v>13010203</v>
      </c>
      <c r="B477" s="11" t="s">
        <v>310</v>
      </c>
      <c r="C477" s="11" t="s">
        <v>1498</v>
      </c>
      <c r="D477" s="4">
        <f t="shared" si="15"/>
        <v>120</v>
      </c>
      <c r="E477" s="10">
        <v>0.92</v>
      </c>
      <c r="F477" s="1">
        <v>130</v>
      </c>
      <c r="H477" s="1" t="s">
        <v>2949</v>
      </c>
    </row>
    <row r="478" spans="1:9" ht="15" x14ac:dyDescent="0.25">
      <c r="A478" s="16">
        <v>13010203</v>
      </c>
      <c r="B478" s="11" t="s">
        <v>274</v>
      </c>
      <c r="C478" s="11" t="s">
        <v>1467</v>
      </c>
      <c r="D478" s="4">
        <f t="shared" si="15"/>
        <v>28</v>
      </c>
      <c r="E478" s="1">
        <v>0.92</v>
      </c>
      <c r="F478" s="1">
        <v>30</v>
      </c>
      <c r="H478" s="1" t="s">
        <v>2949</v>
      </c>
    </row>
    <row r="479" spans="1:9" ht="15" x14ac:dyDescent="0.25">
      <c r="A479" s="16">
        <v>13010203</v>
      </c>
      <c r="B479" s="11" t="s">
        <v>304</v>
      </c>
      <c r="C479" s="11" t="s">
        <v>1493</v>
      </c>
      <c r="D479" s="4">
        <f t="shared" si="15"/>
        <v>77</v>
      </c>
      <c r="E479" s="10">
        <v>0.92</v>
      </c>
      <c r="F479" s="1">
        <v>84</v>
      </c>
      <c r="H479" s="1" t="s">
        <v>2949</v>
      </c>
    </row>
    <row r="480" spans="1:9" ht="15" x14ac:dyDescent="0.25">
      <c r="A480" s="16">
        <v>13010203</v>
      </c>
      <c r="B480" s="11" t="s">
        <v>307</v>
      </c>
      <c r="C480" s="11" t="s">
        <v>1495</v>
      </c>
      <c r="D480" s="4">
        <f t="shared" si="15"/>
        <v>14</v>
      </c>
      <c r="E480" s="10">
        <v>0.92</v>
      </c>
      <c r="F480" s="1">
        <v>15</v>
      </c>
      <c r="H480" s="1" t="s">
        <v>2949</v>
      </c>
    </row>
    <row r="481" spans="1:9" ht="15" x14ac:dyDescent="0.25">
      <c r="A481" s="3">
        <v>13010204</v>
      </c>
      <c r="B481" s="11" t="s">
        <v>318</v>
      </c>
      <c r="C481" s="11" t="s">
        <v>1506</v>
      </c>
      <c r="D481" s="4">
        <f t="shared" si="15"/>
        <v>30</v>
      </c>
      <c r="E481" s="10">
        <v>1</v>
      </c>
      <c r="F481" s="1">
        <v>30</v>
      </c>
      <c r="H481" s="1" t="s">
        <v>2953</v>
      </c>
      <c r="I481" s="1" t="s">
        <v>2950</v>
      </c>
    </row>
    <row r="482" spans="1:9" ht="15" x14ac:dyDescent="0.25">
      <c r="A482" s="16">
        <v>13010204</v>
      </c>
      <c r="B482" s="11" t="s">
        <v>281</v>
      </c>
      <c r="C482" s="11" t="s">
        <v>1474</v>
      </c>
      <c r="D482" s="4">
        <f t="shared" si="15"/>
        <v>60</v>
      </c>
      <c r="E482" s="10">
        <v>1</v>
      </c>
      <c r="F482" s="1">
        <v>60</v>
      </c>
      <c r="H482" s="1" t="s">
        <v>2953</v>
      </c>
    </row>
    <row r="483" spans="1:9" ht="15" x14ac:dyDescent="0.25">
      <c r="A483" s="16">
        <v>13010204</v>
      </c>
      <c r="B483" s="11" t="s">
        <v>273</v>
      </c>
      <c r="C483" s="11" t="s">
        <v>1466</v>
      </c>
      <c r="D483" s="4">
        <f t="shared" si="15"/>
        <v>15</v>
      </c>
      <c r="E483" s="10">
        <v>1</v>
      </c>
      <c r="F483" s="1">
        <v>15</v>
      </c>
      <c r="H483" s="1" t="s">
        <v>2953</v>
      </c>
    </row>
    <row r="484" spans="1:9" ht="15" x14ac:dyDescent="0.25">
      <c r="A484" s="16">
        <v>13010204</v>
      </c>
      <c r="B484" s="11" t="s">
        <v>309</v>
      </c>
      <c r="C484" s="11" t="s">
        <v>1497</v>
      </c>
      <c r="D484" s="4">
        <f t="shared" si="15"/>
        <v>15</v>
      </c>
      <c r="E484" s="10">
        <v>1</v>
      </c>
      <c r="F484" s="1">
        <v>15</v>
      </c>
      <c r="H484" s="1" t="s">
        <v>2953</v>
      </c>
    </row>
    <row r="485" spans="1:9" ht="15" x14ac:dyDescent="0.25">
      <c r="A485" s="16">
        <v>13010204</v>
      </c>
      <c r="B485" s="11" t="s">
        <v>276</v>
      </c>
      <c r="C485" s="11" t="s">
        <v>1469</v>
      </c>
      <c r="D485" s="4">
        <f t="shared" si="15"/>
        <v>30</v>
      </c>
      <c r="E485" s="10">
        <v>1</v>
      </c>
      <c r="F485" s="1">
        <v>30</v>
      </c>
      <c r="H485" s="1" t="s">
        <v>2953</v>
      </c>
    </row>
    <row r="486" spans="1:9" ht="15" x14ac:dyDescent="0.25">
      <c r="A486" s="16">
        <v>13010204</v>
      </c>
      <c r="B486" s="11" t="s">
        <v>305</v>
      </c>
      <c r="C486" s="11" t="s">
        <v>1493</v>
      </c>
      <c r="D486" s="4">
        <f>ROUND(E486*F486*1.25,0)</f>
        <v>105</v>
      </c>
      <c r="E486" s="10">
        <v>1</v>
      </c>
      <c r="F486" s="1">
        <v>84</v>
      </c>
      <c r="H486" s="1" t="s">
        <v>2953</v>
      </c>
      <c r="I486" s="1" t="s">
        <v>2999</v>
      </c>
    </row>
    <row r="487" spans="1:9" ht="15" x14ac:dyDescent="0.25">
      <c r="A487" s="3">
        <v>13010205</v>
      </c>
      <c r="B487" s="11" t="s">
        <v>286</v>
      </c>
      <c r="C487" s="11" t="s">
        <v>1479</v>
      </c>
      <c r="D487" s="4">
        <f>ROUND(E487*F487,0)</f>
        <v>15</v>
      </c>
      <c r="E487" s="10">
        <v>1</v>
      </c>
      <c r="F487" s="1">
        <v>15</v>
      </c>
      <c r="H487" s="1" t="s">
        <v>2953</v>
      </c>
      <c r="I487" s="1" t="s">
        <v>2950</v>
      </c>
    </row>
    <row r="488" spans="1:9" ht="15" x14ac:dyDescent="0.25">
      <c r="A488" s="3">
        <v>13010205</v>
      </c>
      <c r="B488" s="11" t="s">
        <v>320</v>
      </c>
      <c r="C488" s="11" t="s">
        <v>1508</v>
      </c>
      <c r="D488" s="4">
        <f>ROUND(E488*F488,0)</f>
        <v>30</v>
      </c>
      <c r="E488" s="10">
        <v>1</v>
      </c>
      <c r="F488" s="1">
        <v>30</v>
      </c>
      <c r="H488" s="1" t="s">
        <v>2953</v>
      </c>
      <c r="I488" s="1" t="s">
        <v>2950</v>
      </c>
    </row>
    <row r="489" spans="1:9" ht="15" x14ac:dyDescent="0.25">
      <c r="A489" s="3">
        <v>13010205</v>
      </c>
      <c r="B489" s="11" t="s">
        <v>313</v>
      </c>
      <c r="C489" s="11" t="s">
        <v>1501</v>
      </c>
      <c r="D489" s="4">
        <v>130</v>
      </c>
      <c r="E489" s="10">
        <v>1</v>
      </c>
      <c r="F489" s="1">
        <v>130</v>
      </c>
      <c r="H489" s="1" t="s">
        <v>2953</v>
      </c>
    </row>
    <row r="490" spans="1:9" ht="15" x14ac:dyDescent="0.25">
      <c r="A490" s="16">
        <v>13010205</v>
      </c>
      <c r="B490" s="11" t="s">
        <v>311</v>
      </c>
      <c r="C490" s="11" t="s">
        <v>1499</v>
      </c>
      <c r="D490" s="4">
        <f>ROUND(E490*F490,0)</f>
        <v>15</v>
      </c>
      <c r="E490" s="10">
        <v>1</v>
      </c>
      <c r="F490" s="1">
        <v>15</v>
      </c>
      <c r="H490" s="1" t="s">
        <v>2953</v>
      </c>
    </row>
    <row r="491" spans="1:9" ht="15" x14ac:dyDescent="0.25">
      <c r="A491" s="16">
        <v>13010205</v>
      </c>
      <c r="B491" s="11" t="s">
        <v>308</v>
      </c>
      <c r="C491" s="11" t="s">
        <v>1496</v>
      </c>
      <c r="D491" s="4">
        <f>ROUND(E491*F491*1.25,0)</f>
        <v>105</v>
      </c>
      <c r="E491" s="10">
        <v>1</v>
      </c>
      <c r="F491" s="1">
        <v>84</v>
      </c>
      <c r="H491" s="1" t="s">
        <v>2953</v>
      </c>
      <c r="I491" s="1" t="s">
        <v>2999</v>
      </c>
    </row>
    <row r="492" spans="1:9" ht="15" x14ac:dyDescent="0.25">
      <c r="A492" s="16">
        <v>13010205</v>
      </c>
      <c r="B492" s="11" t="s">
        <v>282</v>
      </c>
      <c r="C492" s="11" t="s">
        <v>1474</v>
      </c>
      <c r="D492" s="4">
        <f>ROUND(E492*F492,0)</f>
        <v>60</v>
      </c>
      <c r="E492" s="10">
        <v>1</v>
      </c>
      <c r="F492" s="1">
        <v>60</v>
      </c>
      <c r="H492" s="1" t="s">
        <v>2953</v>
      </c>
    </row>
    <row r="493" spans="1:9" ht="15" x14ac:dyDescent="0.25">
      <c r="A493" s="16">
        <v>13010205</v>
      </c>
      <c r="B493" s="11" t="s">
        <v>277</v>
      </c>
      <c r="C493" s="11" t="s">
        <v>1470</v>
      </c>
      <c r="D493" s="4">
        <f>ROUND(E493*F493,0)</f>
        <v>15</v>
      </c>
      <c r="E493" s="10">
        <v>1</v>
      </c>
      <c r="F493" s="1">
        <v>15</v>
      </c>
      <c r="H493" s="1" t="s">
        <v>2953</v>
      </c>
    </row>
    <row r="494" spans="1:9" ht="15" x14ac:dyDescent="0.25">
      <c r="A494" s="16">
        <v>13010205</v>
      </c>
      <c r="B494" s="11" t="s">
        <v>279</v>
      </c>
      <c r="C494" s="11" t="s">
        <v>1472</v>
      </c>
      <c r="D494" s="4">
        <f>ROUND(E494*F494,0)</f>
        <v>30</v>
      </c>
      <c r="E494" s="10">
        <v>1</v>
      </c>
      <c r="F494" s="1">
        <v>30</v>
      </c>
      <c r="H494" s="1" t="s">
        <v>2953</v>
      </c>
    </row>
    <row r="495" spans="1:9" ht="15" x14ac:dyDescent="0.25">
      <c r="A495" s="16">
        <v>13010206</v>
      </c>
      <c r="B495" s="11" t="s">
        <v>287</v>
      </c>
      <c r="C495" s="11" t="s">
        <v>1480</v>
      </c>
      <c r="D495" s="4">
        <f>ROUND(E495*F495,0)</f>
        <v>120</v>
      </c>
      <c r="E495" s="10">
        <v>1</v>
      </c>
      <c r="F495" s="1">
        <v>120</v>
      </c>
      <c r="H495" s="1" t="s">
        <v>2953</v>
      </c>
    </row>
    <row r="496" spans="1:9" ht="15" x14ac:dyDescent="0.25">
      <c r="A496" s="16">
        <v>13010206</v>
      </c>
      <c r="B496" s="11" t="s">
        <v>315</v>
      </c>
      <c r="C496" s="11" t="s">
        <v>1503</v>
      </c>
      <c r="D496" s="4">
        <v>14</v>
      </c>
      <c r="E496" s="10">
        <v>1</v>
      </c>
      <c r="F496" s="1">
        <v>8</v>
      </c>
      <c r="H496" s="1" t="s">
        <v>2953</v>
      </c>
    </row>
    <row r="497" spans="1:9" ht="15" x14ac:dyDescent="0.25">
      <c r="A497" s="16">
        <v>13010206</v>
      </c>
      <c r="B497" s="11" t="s">
        <v>283</v>
      </c>
      <c r="C497" s="11" t="s">
        <v>1475</v>
      </c>
      <c r="D497" s="4">
        <f>ROUND(E497*F497,0)</f>
        <v>60</v>
      </c>
      <c r="E497" s="10">
        <v>1</v>
      </c>
      <c r="F497" s="1">
        <v>60</v>
      </c>
      <c r="H497" s="1" t="s">
        <v>2953</v>
      </c>
    </row>
    <row r="498" spans="1:9" ht="15" x14ac:dyDescent="0.25">
      <c r="A498" s="24">
        <v>13010206</v>
      </c>
      <c r="B498" s="25" t="s">
        <v>280</v>
      </c>
      <c r="C498" s="25" t="s">
        <v>24</v>
      </c>
      <c r="D498" s="4">
        <v>91</v>
      </c>
      <c r="H498" s="1" t="s">
        <v>2953</v>
      </c>
    </row>
    <row r="499" spans="1:9" ht="15" x14ac:dyDescent="0.25">
      <c r="A499" s="16">
        <v>13010206</v>
      </c>
      <c r="B499" s="11" t="s">
        <v>280</v>
      </c>
      <c r="C499" s="11" t="s">
        <v>1473</v>
      </c>
      <c r="D499" s="4">
        <f>ROUND(E499*F499,0)</f>
        <v>30</v>
      </c>
      <c r="E499" s="10">
        <v>1</v>
      </c>
      <c r="F499" s="1">
        <v>30</v>
      </c>
      <c r="H499" s="1" t="s">
        <v>2953</v>
      </c>
    </row>
    <row r="500" spans="1:9" ht="15" x14ac:dyDescent="0.25">
      <c r="A500" s="16">
        <v>13010207</v>
      </c>
      <c r="B500" s="11" t="s">
        <v>317</v>
      </c>
      <c r="C500" s="11" t="s">
        <v>1505</v>
      </c>
      <c r="D500" s="4">
        <f>ROUND(E500*F500,0)</f>
        <v>15</v>
      </c>
      <c r="E500" s="10">
        <v>1</v>
      </c>
      <c r="F500" s="1">
        <v>15</v>
      </c>
      <c r="H500" s="1" t="s">
        <v>2953</v>
      </c>
    </row>
    <row r="501" spans="1:9" ht="15" x14ac:dyDescent="0.25">
      <c r="A501" s="16">
        <v>13010207</v>
      </c>
      <c r="B501" s="11" t="s">
        <v>312</v>
      </c>
      <c r="C501" s="11" t="s">
        <v>1500</v>
      </c>
      <c r="D501" s="4">
        <f>ROUND(E501*F501*1.25,0)</f>
        <v>105</v>
      </c>
      <c r="E501" s="10">
        <v>1</v>
      </c>
      <c r="F501" s="1">
        <v>84</v>
      </c>
      <c r="H501" s="1" t="s">
        <v>2953</v>
      </c>
      <c r="I501" s="1" t="s">
        <v>2999</v>
      </c>
    </row>
    <row r="502" spans="1:9" ht="15" x14ac:dyDescent="0.25">
      <c r="A502" s="16">
        <v>13010207</v>
      </c>
      <c r="B502" s="11" t="s">
        <v>284</v>
      </c>
      <c r="C502" s="11" t="s">
        <v>1476</v>
      </c>
      <c r="D502" s="4">
        <f t="shared" ref="D502:D513" si="16">ROUND(E502*F502,0)</f>
        <v>15</v>
      </c>
      <c r="E502" s="10">
        <v>1</v>
      </c>
      <c r="F502" s="1">
        <v>15</v>
      </c>
      <c r="H502" s="1" t="s">
        <v>2953</v>
      </c>
    </row>
    <row r="503" spans="1:9" ht="15" x14ac:dyDescent="0.25">
      <c r="A503" s="16">
        <v>13010207</v>
      </c>
      <c r="B503" s="11" t="s">
        <v>288</v>
      </c>
      <c r="C503" s="11" t="s">
        <v>1480</v>
      </c>
      <c r="D503" s="4">
        <f t="shared" si="16"/>
        <v>60</v>
      </c>
      <c r="E503" s="10">
        <v>1</v>
      </c>
      <c r="F503" s="1">
        <v>60</v>
      </c>
      <c r="H503" s="1" t="s">
        <v>2953</v>
      </c>
    </row>
    <row r="504" spans="1:9" ht="15" x14ac:dyDescent="0.25">
      <c r="A504" s="16">
        <v>13010207</v>
      </c>
      <c r="B504" s="11" t="s">
        <v>284</v>
      </c>
      <c r="C504" s="11" t="s">
        <v>1477</v>
      </c>
      <c r="D504" s="4">
        <f t="shared" si="16"/>
        <v>30</v>
      </c>
      <c r="E504" s="10">
        <v>1</v>
      </c>
      <c r="F504" s="1">
        <v>30</v>
      </c>
      <c r="H504" s="1" t="s">
        <v>2953</v>
      </c>
    </row>
    <row r="505" spans="1:9" ht="15" x14ac:dyDescent="0.25">
      <c r="A505" s="16">
        <v>13010208</v>
      </c>
      <c r="B505" s="11" t="s">
        <v>290</v>
      </c>
      <c r="C505" s="11" t="s">
        <v>1482</v>
      </c>
      <c r="D505" s="4">
        <f t="shared" si="16"/>
        <v>28</v>
      </c>
      <c r="E505" s="1">
        <v>0.92</v>
      </c>
      <c r="F505" s="1">
        <v>30</v>
      </c>
      <c r="H505" s="1" t="s">
        <v>2949</v>
      </c>
    </row>
    <row r="506" spans="1:9" ht="15" x14ac:dyDescent="0.25">
      <c r="A506" s="16">
        <v>13010208</v>
      </c>
      <c r="B506" s="11" t="s">
        <v>293</v>
      </c>
      <c r="C506" s="11" t="s">
        <v>1484</v>
      </c>
      <c r="D506" s="4">
        <f t="shared" si="16"/>
        <v>55</v>
      </c>
      <c r="E506" s="1">
        <v>0.92</v>
      </c>
      <c r="F506" s="1">
        <v>60</v>
      </c>
      <c r="H506" s="1" t="s">
        <v>2949</v>
      </c>
    </row>
    <row r="507" spans="1:9" ht="15" x14ac:dyDescent="0.25">
      <c r="A507" s="16">
        <v>13010208</v>
      </c>
      <c r="B507" s="11" t="s">
        <v>314</v>
      </c>
      <c r="C507" s="11" t="s">
        <v>1502</v>
      </c>
      <c r="D507" s="4">
        <f t="shared" si="16"/>
        <v>77</v>
      </c>
      <c r="E507" s="10">
        <v>0.92</v>
      </c>
      <c r="F507" s="1">
        <v>84</v>
      </c>
      <c r="H507" s="1" t="s">
        <v>2949</v>
      </c>
    </row>
    <row r="508" spans="1:9" ht="15" x14ac:dyDescent="0.25">
      <c r="A508" s="3">
        <v>13010208</v>
      </c>
      <c r="B508" s="11" t="s">
        <v>323</v>
      </c>
      <c r="C508" s="11" t="s">
        <v>1510</v>
      </c>
      <c r="D508" s="4">
        <f t="shared" si="16"/>
        <v>120</v>
      </c>
      <c r="E508" s="1">
        <v>0.92</v>
      </c>
      <c r="F508" s="1">
        <v>130</v>
      </c>
      <c r="H508" s="1" t="s">
        <v>2949</v>
      </c>
    </row>
    <row r="509" spans="1:9" ht="15" x14ac:dyDescent="0.25">
      <c r="A509" s="3">
        <v>13010208</v>
      </c>
      <c r="B509" s="11" t="s">
        <v>285</v>
      </c>
      <c r="C509" s="11" t="s">
        <v>25</v>
      </c>
      <c r="D509" s="4">
        <f t="shared" si="16"/>
        <v>5</v>
      </c>
      <c r="E509" s="1">
        <v>0.92</v>
      </c>
      <c r="F509" s="1">
        <v>5</v>
      </c>
      <c r="H509" s="1" t="s">
        <v>2949</v>
      </c>
    </row>
    <row r="510" spans="1:9" ht="15" x14ac:dyDescent="0.25">
      <c r="A510" s="16">
        <v>13010208</v>
      </c>
      <c r="B510" s="11" t="s">
        <v>285</v>
      </c>
      <c r="C510" s="11" t="s">
        <v>1478</v>
      </c>
      <c r="D510" s="4">
        <f t="shared" si="16"/>
        <v>14</v>
      </c>
      <c r="E510" s="10">
        <v>0.92</v>
      </c>
      <c r="F510" s="1">
        <v>15</v>
      </c>
      <c r="H510" s="1" t="s">
        <v>2949</v>
      </c>
    </row>
    <row r="511" spans="1:9" ht="15" x14ac:dyDescent="0.25">
      <c r="A511" s="16">
        <v>13010208</v>
      </c>
      <c r="B511" s="11" t="s">
        <v>321</v>
      </c>
      <c r="C511" s="11" t="s">
        <v>1509</v>
      </c>
      <c r="D511" s="4">
        <f t="shared" si="16"/>
        <v>14</v>
      </c>
      <c r="E511" s="10">
        <v>0.92</v>
      </c>
      <c r="F511" s="1">
        <v>15</v>
      </c>
      <c r="H511" s="1" t="s">
        <v>2949</v>
      </c>
    </row>
    <row r="512" spans="1:9" ht="15" x14ac:dyDescent="0.25">
      <c r="A512" s="3">
        <v>13010209</v>
      </c>
      <c r="B512" s="11" t="s">
        <v>289</v>
      </c>
      <c r="C512" s="11" t="s">
        <v>27</v>
      </c>
      <c r="D512" s="4">
        <f t="shared" si="16"/>
        <v>120</v>
      </c>
      <c r="E512" s="1">
        <v>0.92</v>
      </c>
      <c r="F512" s="1">
        <v>130</v>
      </c>
      <c r="H512" s="1" t="s">
        <v>2949</v>
      </c>
    </row>
    <row r="513" spans="1:9" ht="15" x14ac:dyDescent="0.25">
      <c r="A513" s="16">
        <v>13010209</v>
      </c>
      <c r="B513" s="11" t="s">
        <v>295</v>
      </c>
      <c r="C513" s="11" t="s">
        <v>1486</v>
      </c>
      <c r="D513" s="4">
        <f t="shared" si="16"/>
        <v>55</v>
      </c>
      <c r="E513" s="1">
        <v>0.92</v>
      </c>
      <c r="F513" s="1">
        <v>60</v>
      </c>
      <c r="H513" s="1" t="s">
        <v>2949</v>
      </c>
    </row>
    <row r="514" spans="1:9" ht="15" x14ac:dyDescent="0.25">
      <c r="A514" s="16">
        <v>13010209</v>
      </c>
      <c r="B514" s="11" t="s">
        <v>316</v>
      </c>
      <c r="C514" s="11" t="s">
        <v>1504</v>
      </c>
      <c r="D514" s="4">
        <v>91</v>
      </c>
      <c r="E514" s="10">
        <v>0.92</v>
      </c>
      <c r="F514" s="1">
        <v>84</v>
      </c>
      <c r="H514" s="1" t="s">
        <v>2949</v>
      </c>
    </row>
    <row r="515" spans="1:9" ht="15" x14ac:dyDescent="0.25">
      <c r="A515" s="16">
        <v>13010209</v>
      </c>
      <c r="B515" s="11" t="s">
        <v>289</v>
      </c>
      <c r="C515" s="11" t="s">
        <v>1481</v>
      </c>
      <c r="D515" s="4">
        <f t="shared" ref="D515:D520" si="17">ROUND(E515*F515,0)</f>
        <v>14</v>
      </c>
      <c r="E515" s="10">
        <v>0.92</v>
      </c>
      <c r="F515" s="1">
        <v>15</v>
      </c>
      <c r="H515" s="1" t="s">
        <v>2949</v>
      </c>
    </row>
    <row r="516" spans="1:9" ht="15" x14ac:dyDescent="0.25">
      <c r="A516" s="16">
        <v>13010209</v>
      </c>
      <c r="B516" s="11" t="s">
        <v>291</v>
      </c>
      <c r="C516" s="11" t="s">
        <v>1482</v>
      </c>
      <c r="D516" s="4">
        <f t="shared" si="17"/>
        <v>28</v>
      </c>
      <c r="E516" s="1">
        <v>0.92</v>
      </c>
      <c r="F516" s="1">
        <v>30</v>
      </c>
      <c r="H516" s="1" t="s">
        <v>2949</v>
      </c>
    </row>
    <row r="517" spans="1:9" ht="15" x14ac:dyDescent="0.25">
      <c r="A517" s="16">
        <v>13010209</v>
      </c>
      <c r="B517" s="11" t="s">
        <v>322</v>
      </c>
      <c r="C517" s="11" t="s">
        <v>1509</v>
      </c>
      <c r="D517" s="4">
        <f t="shared" si="17"/>
        <v>14</v>
      </c>
      <c r="E517" s="10">
        <v>0.92</v>
      </c>
      <c r="F517" s="1">
        <v>15</v>
      </c>
      <c r="H517" s="1" t="s">
        <v>2949</v>
      </c>
    </row>
    <row r="518" spans="1:9" ht="15" x14ac:dyDescent="0.25">
      <c r="A518" s="16">
        <v>13010210</v>
      </c>
      <c r="B518" s="11" t="s">
        <v>325</v>
      </c>
      <c r="C518" s="11" t="s">
        <v>1513</v>
      </c>
      <c r="D518" s="4">
        <f t="shared" si="17"/>
        <v>15</v>
      </c>
      <c r="E518" s="10">
        <v>1</v>
      </c>
      <c r="F518" s="1">
        <v>15</v>
      </c>
      <c r="H518" s="1" t="s">
        <v>2953</v>
      </c>
    </row>
    <row r="519" spans="1:9" ht="15" x14ac:dyDescent="0.25">
      <c r="A519" s="16">
        <v>13010210</v>
      </c>
      <c r="B519" s="11" t="s">
        <v>292</v>
      </c>
      <c r="C519" s="11" t="s">
        <v>1483</v>
      </c>
      <c r="D519" s="4">
        <f t="shared" si="17"/>
        <v>15</v>
      </c>
      <c r="E519" s="10">
        <v>1</v>
      </c>
      <c r="F519" s="1">
        <v>15</v>
      </c>
      <c r="H519" s="1" t="s">
        <v>2953</v>
      </c>
    </row>
    <row r="520" spans="1:9" ht="15" x14ac:dyDescent="0.25">
      <c r="A520" s="16">
        <v>13010210</v>
      </c>
      <c r="B520" s="11" t="s">
        <v>299</v>
      </c>
      <c r="C520" s="11" t="s">
        <v>1489</v>
      </c>
      <c r="D520" s="4">
        <f t="shared" si="17"/>
        <v>60</v>
      </c>
      <c r="E520" s="10">
        <v>1</v>
      </c>
      <c r="F520" s="1">
        <v>60</v>
      </c>
      <c r="H520" s="1" t="s">
        <v>2953</v>
      </c>
    </row>
    <row r="521" spans="1:9" ht="15" x14ac:dyDescent="0.25">
      <c r="A521" s="16">
        <v>13010210</v>
      </c>
      <c r="B521" s="11" t="s">
        <v>319</v>
      </c>
      <c r="C521" s="11" t="s">
        <v>1507</v>
      </c>
      <c r="D521" s="4">
        <f>ROUND(E521*F521*1.25,0)</f>
        <v>105</v>
      </c>
      <c r="E521" s="10">
        <v>1</v>
      </c>
      <c r="F521" s="1">
        <v>84</v>
      </c>
      <c r="H521" s="1" t="s">
        <v>2953</v>
      </c>
      <c r="I521" s="1" t="s">
        <v>2999</v>
      </c>
    </row>
    <row r="522" spans="1:9" ht="15" x14ac:dyDescent="0.25">
      <c r="A522" s="16">
        <v>13010210</v>
      </c>
      <c r="B522" s="11" t="s">
        <v>294</v>
      </c>
      <c r="C522" s="11" t="s">
        <v>1485</v>
      </c>
      <c r="D522" s="4">
        <f>ROUND(E522*F522,0)</f>
        <v>30</v>
      </c>
      <c r="E522" s="10">
        <v>1</v>
      </c>
      <c r="F522" s="1">
        <v>30</v>
      </c>
      <c r="H522" s="1" t="s">
        <v>2953</v>
      </c>
    </row>
    <row r="523" spans="1:9" ht="15" x14ac:dyDescent="0.25">
      <c r="A523" s="16">
        <v>13010211</v>
      </c>
      <c r="B523" s="11" t="s">
        <v>326</v>
      </c>
      <c r="C523" s="11" t="s">
        <v>1513</v>
      </c>
      <c r="D523" s="4">
        <v>14</v>
      </c>
      <c r="E523" s="10">
        <v>1</v>
      </c>
      <c r="F523" s="1">
        <v>8</v>
      </c>
      <c r="H523" s="1" t="s">
        <v>2953</v>
      </c>
    </row>
    <row r="524" spans="1:9" ht="15" x14ac:dyDescent="0.25">
      <c r="A524" s="16">
        <v>13010211</v>
      </c>
      <c r="B524" s="11" t="s">
        <v>296</v>
      </c>
      <c r="C524" s="11" t="s">
        <v>1487</v>
      </c>
      <c r="D524" s="4">
        <v>30</v>
      </c>
      <c r="E524" s="10">
        <v>1</v>
      </c>
      <c r="F524" s="1">
        <f>10*2*1</f>
        <v>20</v>
      </c>
      <c r="H524" s="1" t="s">
        <v>2953</v>
      </c>
    </row>
    <row r="525" spans="1:9" ht="15" x14ac:dyDescent="0.25">
      <c r="A525" s="16">
        <v>13010211</v>
      </c>
      <c r="B525" s="11" t="s">
        <v>296</v>
      </c>
      <c r="C525" s="11" t="s">
        <v>24</v>
      </c>
      <c r="D525" s="4">
        <v>91</v>
      </c>
      <c r="E525" s="10">
        <v>1</v>
      </c>
      <c r="F525" s="1">
        <v>84</v>
      </c>
      <c r="G525" s="4"/>
      <c r="H525" s="1" t="s">
        <v>2953</v>
      </c>
    </row>
    <row r="526" spans="1:9" ht="15" x14ac:dyDescent="0.25">
      <c r="A526" s="16">
        <v>13010211</v>
      </c>
      <c r="B526" s="11" t="s">
        <v>301</v>
      </c>
      <c r="C526" s="11" t="s">
        <v>1491</v>
      </c>
      <c r="D526" s="4">
        <v>120</v>
      </c>
      <c r="E526" s="10">
        <v>1</v>
      </c>
      <c r="F526" s="1">
        <f>10*8*1</f>
        <v>80</v>
      </c>
      <c r="H526" s="1" t="s">
        <v>2953</v>
      </c>
    </row>
    <row r="527" spans="1:9" ht="15" x14ac:dyDescent="0.25">
      <c r="A527" s="3">
        <v>13010211</v>
      </c>
      <c r="B527" s="11" t="s">
        <v>326</v>
      </c>
      <c r="C527" s="11" t="s">
        <v>1514</v>
      </c>
      <c r="D527" s="4">
        <f>ROUND(E527*F527,0)</f>
        <v>130</v>
      </c>
      <c r="E527" s="10">
        <v>1</v>
      </c>
      <c r="F527" s="1">
        <v>130</v>
      </c>
      <c r="H527" s="1" t="s">
        <v>2953</v>
      </c>
    </row>
    <row r="528" spans="1:9" ht="15" x14ac:dyDescent="0.25">
      <c r="A528" s="16">
        <v>13010211</v>
      </c>
      <c r="B528" s="11" t="s">
        <v>298</v>
      </c>
      <c r="C528" s="11" t="s">
        <v>1488</v>
      </c>
      <c r="D528" s="4">
        <v>60</v>
      </c>
      <c r="E528" s="10">
        <v>1</v>
      </c>
      <c r="F528" s="1">
        <f>10*4*1</f>
        <v>40</v>
      </c>
      <c r="H528" s="1" t="s">
        <v>2953</v>
      </c>
    </row>
    <row r="529" spans="1:46" ht="15" x14ac:dyDescent="0.25">
      <c r="A529" s="3">
        <v>13010212</v>
      </c>
      <c r="B529" s="11" t="s">
        <v>272</v>
      </c>
      <c r="C529" s="11" t="s">
        <v>1465</v>
      </c>
      <c r="D529" s="4">
        <f>ROUND(E529*F529,0)</f>
        <v>15</v>
      </c>
      <c r="E529" s="10">
        <v>1</v>
      </c>
      <c r="F529" s="1">
        <v>15</v>
      </c>
      <c r="H529" s="1" t="s">
        <v>2953</v>
      </c>
      <c r="I529" s="1" t="s">
        <v>2950</v>
      </c>
    </row>
    <row r="530" spans="1:46" ht="15" x14ac:dyDescent="0.25">
      <c r="A530" s="16">
        <v>13010212</v>
      </c>
      <c r="B530" s="11" t="s">
        <v>306</v>
      </c>
      <c r="C530" s="11" t="s">
        <v>1494</v>
      </c>
      <c r="D530" s="4">
        <f>ROUND(E530*F530,0)</f>
        <v>30</v>
      </c>
      <c r="E530" s="10">
        <v>1</v>
      </c>
      <c r="F530" s="1">
        <v>30</v>
      </c>
      <c r="H530" s="1" t="s">
        <v>2953</v>
      </c>
      <c r="I530" s="1" t="s">
        <v>2954</v>
      </c>
    </row>
    <row r="531" spans="1:46" ht="15" x14ac:dyDescent="0.25">
      <c r="A531" s="16">
        <v>13010212</v>
      </c>
      <c r="B531" s="11" t="s">
        <v>324</v>
      </c>
      <c r="C531" s="11" t="s">
        <v>1512</v>
      </c>
      <c r="D531" s="4">
        <f>ROUND(E531*F531*1.25,0)</f>
        <v>105</v>
      </c>
      <c r="E531" s="10">
        <v>1</v>
      </c>
      <c r="F531" s="1">
        <v>84</v>
      </c>
      <c r="H531" s="1" t="s">
        <v>2953</v>
      </c>
      <c r="I531" s="1" t="s">
        <v>2999</v>
      </c>
    </row>
    <row r="532" spans="1:46" ht="15" x14ac:dyDescent="0.25">
      <c r="A532" s="16">
        <v>13010212</v>
      </c>
      <c r="B532" s="11" t="s">
        <v>327</v>
      </c>
      <c r="C532" s="11" t="s">
        <v>1515</v>
      </c>
      <c r="D532" s="4">
        <f>ROUND(E532*F532,0)</f>
        <v>15</v>
      </c>
      <c r="E532" s="10">
        <v>1</v>
      </c>
      <c r="F532" s="1">
        <v>15</v>
      </c>
      <c r="H532" s="1" t="s">
        <v>2953</v>
      </c>
    </row>
    <row r="533" spans="1:46" s="29" customFormat="1" ht="15" x14ac:dyDescent="0.25">
      <c r="A533" s="3">
        <v>13010212</v>
      </c>
      <c r="B533" s="11" t="s">
        <v>324</v>
      </c>
      <c r="C533" s="11" t="s">
        <v>1511</v>
      </c>
      <c r="D533" s="4">
        <f>ROUND(E533*F533,0)</f>
        <v>60</v>
      </c>
      <c r="E533" s="10">
        <v>1</v>
      </c>
      <c r="F533" s="1">
        <v>60</v>
      </c>
      <c r="G533" s="1"/>
      <c r="H533" s="1" t="s">
        <v>2953</v>
      </c>
      <c r="I533" s="1" t="s">
        <v>2954</v>
      </c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</row>
    <row r="534" spans="1:46" ht="15" x14ac:dyDescent="0.25">
      <c r="A534" s="3">
        <v>13010212</v>
      </c>
      <c r="B534" s="11" t="s">
        <v>272</v>
      </c>
      <c r="C534" s="11" t="s">
        <v>27</v>
      </c>
      <c r="D534" s="4">
        <v>130</v>
      </c>
      <c r="E534" s="10">
        <v>1</v>
      </c>
      <c r="F534" s="1">
        <v>130</v>
      </c>
      <c r="H534" s="1" t="s">
        <v>2953</v>
      </c>
      <c r="I534" s="1" t="s">
        <v>3132</v>
      </c>
      <c r="J534" s="1" t="s">
        <v>3132</v>
      </c>
    </row>
    <row r="535" spans="1:46" ht="15" x14ac:dyDescent="0.25">
      <c r="A535" s="16">
        <v>13010212</v>
      </c>
      <c r="B535" s="11" t="s">
        <v>302</v>
      </c>
      <c r="C535" s="11" t="s">
        <v>1491</v>
      </c>
      <c r="D535" s="4">
        <f>ROUND(E535*F535,0)</f>
        <v>60</v>
      </c>
      <c r="E535" s="10">
        <v>1</v>
      </c>
      <c r="F535" s="1">
        <v>60</v>
      </c>
      <c r="H535" s="1" t="s">
        <v>2953</v>
      </c>
    </row>
    <row r="536" spans="1:46" ht="15" x14ac:dyDescent="0.25">
      <c r="A536" s="16">
        <v>13010212</v>
      </c>
      <c r="B536" s="11" t="s">
        <v>297</v>
      </c>
      <c r="C536" s="11" t="s">
        <v>1487</v>
      </c>
      <c r="D536" s="4">
        <f>ROUND(E536*F536,0)</f>
        <v>15</v>
      </c>
      <c r="E536" s="10">
        <v>1</v>
      </c>
      <c r="F536" s="1">
        <v>15</v>
      </c>
      <c r="H536" s="1" t="s">
        <v>2953</v>
      </c>
    </row>
    <row r="537" spans="1:46" ht="15" x14ac:dyDescent="0.25">
      <c r="A537" s="16">
        <v>13010212</v>
      </c>
      <c r="B537" s="11" t="s">
        <v>300</v>
      </c>
      <c r="C537" s="11" t="s">
        <v>1490</v>
      </c>
      <c r="D537" s="4">
        <f>ROUND(E537*F537,0)</f>
        <v>30</v>
      </c>
      <c r="E537" s="10">
        <v>1</v>
      </c>
      <c r="F537" s="1">
        <v>30</v>
      </c>
      <c r="H537" s="1" t="s">
        <v>2953</v>
      </c>
    </row>
    <row r="538" spans="1:46" ht="15" x14ac:dyDescent="0.25">
      <c r="A538" s="24">
        <v>13010213</v>
      </c>
      <c r="B538" s="25" t="s">
        <v>2644</v>
      </c>
      <c r="C538" s="25" t="s">
        <v>26</v>
      </c>
      <c r="D538" s="4">
        <v>7</v>
      </c>
      <c r="H538" s="1" t="s">
        <v>2777</v>
      </c>
    </row>
    <row r="539" spans="1:46" ht="15" x14ac:dyDescent="0.25">
      <c r="A539" s="24">
        <v>13010213</v>
      </c>
      <c r="B539" s="25" t="s">
        <v>2644</v>
      </c>
      <c r="C539" s="25" t="s">
        <v>24</v>
      </c>
      <c r="D539" s="4">
        <v>42</v>
      </c>
      <c r="H539" s="1" t="s">
        <v>2777</v>
      </c>
    </row>
    <row r="540" spans="1:46" ht="15" x14ac:dyDescent="0.25">
      <c r="A540" s="16">
        <v>13010213</v>
      </c>
      <c r="B540" s="11" t="s">
        <v>2644</v>
      </c>
      <c r="C540" s="11" t="s">
        <v>12</v>
      </c>
      <c r="D540" s="4">
        <v>17</v>
      </c>
      <c r="F540" s="1"/>
      <c r="G540" s="1">
        <v>17</v>
      </c>
      <c r="H540" s="1" t="s">
        <v>2777</v>
      </c>
      <c r="I540" s="1" t="s">
        <v>3145</v>
      </c>
    </row>
    <row r="541" spans="1:46" ht="15" x14ac:dyDescent="0.25">
      <c r="A541" s="16">
        <v>13010213</v>
      </c>
      <c r="B541" s="11" t="s">
        <v>2644</v>
      </c>
      <c r="C541" s="11" t="s">
        <v>13</v>
      </c>
      <c r="D541" s="4">
        <f>G541*2</f>
        <v>52</v>
      </c>
      <c r="F541" s="1"/>
      <c r="G541" s="1">
        <v>26</v>
      </c>
      <c r="H541" s="1" t="s">
        <v>2777</v>
      </c>
      <c r="I541" s="1" t="s">
        <v>2741</v>
      </c>
    </row>
    <row r="542" spans="1:46" ht="15" x14ac:dyDescent="0.25">
      <c r="A542" s="16">
        <v>13010213</v>
      </c>
      <c r="B542" s="11" t="s">
        <v>2644</v>
      </c>
      <c r="C542" s="11" t="s">
        <v>11</v>
      </c>
      <c r="D542" s="4">
        <v>7</v>
      </c>
      <c r="F542" s="1"/>
      <c r="G542" s="1">
        <v>7</v>
      </c>
      <c r="H542" s="1" t="s">
        <v>2773</v>
      </c>
      <c r="I542" s="1" t="s">
        <v>3028</v>
      </c>
    </row>
    <row r="543" spans="1:46" ht="15" x14ac:dyDescent="0.25">
      <c r="A543" s="16">
        <v>13010301</v>
      </c>
      <c r="B543" s="11" t="s">
        <v>330</v>
      </c>
      <c r="C543" s="11" t="s">
        <v>1517</v>
      </c>
      <c r="D543" s="4">
        <f>ROUND(E543*F543,0)</f>
        <v>30</v>
      </c>
      <c r="E543" s="10">
        <v>1</v>
      </c>
      <c r="F543" s="1">
        <v>30</v>
      </c>
      <c r="H543" s="1" t="s">
        <v>2953</v>
      </c>
    </row>
    <row r="544" spans="1:46" ht="15" x14ac:dyDescent="0.25">
      <c r="A544" s="3">
        <v>13010301</v>
      </c>
      <c r="B544" s="11" t="s">
        <v>328</v>
      </c>
      <c r="C544" s="11" t="s">
        <v>27</v>
      </c>
      <c r="D544" s="4">
        <v>130</v>
      </c>
      <c r="E544" s="10">
        <v>1</v>
      </c>
      <c r="F544" s="1">
        <v>130</v>
      </c>
      <c r="H544" s="1" t="s">
        <v>2953</v>
      </c>
      <c r="I544" s="1" t="s">
        <v>3132</v>
      </c>
      <c r="J544" s="1" t="s">
        <v>3132</v>
      </c>
    </row>
    <row r="545" spans="1:9" ht="15" x14ac:dyDescent="0.25">
      <c r="A545" s="16">
        <v>13010301</v>
      </c>
      <c r="B545" s="11" t="s">
        <v>328</v>
      </c>
      <c r="C545" s="11" t="s">
        <v>1516</v>
      </c>
      <c r="D545" s="4">
        <f>ROUND(E545*F545,0)</f>
        <v>15</v>
      </c>
      <c r="E545" s="10">
        <v>1</v>
      </c>
      <c r="F545" s="1">
        <v>15</v>
      </c>
      <c r="H545" s="1" t="s">
        <v>2953</v>
      </c>
    </row>
    <row r="546" spans="1:9" ht="15" x14ac:dyDescent="0.25">
      <c r="A546" s="16">
        <v>13010301</v>
      </c>
      <c r="B546" s="11" t="s">
        <v>332</v>
      </c>
      <c r="C546" s="11" t="s">
        <v>1520</v>
      </c>
      <c r="D546" s="4">
        <f>ROUND(E546*F546,0)</f>
        <v>15</v>
      </c>
      <c r="E546" s="10">
        <v>1</v>
      </c>
      <c r="F546" s="1">
        <v>15</v>
      </c>
      <c r="H546" s="1" t="s">
        <v>2953</v>
      </c>
    </row>
    <row r="547" spans="1:9" ht="15" x14ac:dyDescent="0.25">
      <c r="A547" s="3">
        <v>13010301</v>
      </c>
      <c r="B547" s="11" t="s">
        <v>332</v>
      </c>
      <c r="C547" s="11" t="s">
        <v>1519</v>
      </c>
      <c r="D547" s="4">
        <f>ROUND(E547*F547*1.25,0)</f>
        <v>105</v>
      </c>
      <c r="E547" s="10">
        <v>1</v>
      </c>
      <c r="F547" s="1">
        <v>84</v>
      </c>
      <c r="H547" s="1" t="s">
        <v>2953</v>
      </c>
      <c r="I547" s="1" t="s">
        <v>2999</v>
      </c>
    </row>
    <row r="548" spans="1:9" ht="15" x14ac:dyDescent="0.25">
      <c r="A548" s="5">
        <v>13010302</v>
      </c>
      <c r="B548" s="11" t="s">
        <v>329</v>
      </c>
      <c r="C548" s="11" t="s">
        <v>4</v>
      </c>
      <c r="D548" s="4">
        <f>G548*2</f>
        <v>52</v>
      </c>
      <c r="F548" s="1"/>
      <c r="G548" s="1">
        <v>26</v>
      </c>
      <c r="H548" s="1" t="s">
        <v>2777</v>
      </c>
      <c r="I548" s="1" t="s">
        <v>2741</v>
      </c>
    </row>
    <row r="549" spans="1:9" ht="15" x14ac:dyDescent="0.25">
      <c r="A549" s="16">
        <v>13010302</v>
      </c>
      <c r="B549" s="11" t="s">
        <v>331</v>
      </c>
      <c r="C549" s="11" t="s">
        <v>1518</v>
      </c>
      <c r="D549" s="4">
        <f>G549*2</f>
        <v>52</v>
      </c>
      <c r="F549" s="1"/>
      <c r="G549" s="1">
        <v>26</v>
      </c>
      <c r="H549" s="1" t="s">
        <v>2777</v>
      </c>
      <c r="I549" s="1" t="s">
        <v>2741</v>
      </c>
    </row>
    <row r="550" spans="1:9" ht="15" x14ac:dyDescent="0.25">
      <c r="A550" s="16">
        <v>13010302</v>
      </c>
      <c r="B550" s="11" t="s">
        <v>329</v>
      </c>
      <c r="C550" s="11" t="s">
        <v>1516</v>
      </c>
      <c r="D550" s="4">
        <v>7</v>
      </c>
      <c r="F550" s="1"/>
      <c r="G550" s="1">
        <v>7</v>
      </c>
      <c r="H550" s="1" t="s">
        <v>2773</v>
      </c>
      <c r="I550" s="1" t="s">
        <v>3028</v>
      </c>
    </row>
    <row r="551" spans="1:9" ht="15" x14ac:dyDescent="0.25">
      <c r="A551" s="16">
        <v>13010302</v>
      </c>
      <c r="B551" s="11" t="s">
        <v>331</v>
      </c>
      <c r="C551" s="11" t="s">
        <v>1517</v>
      </c>
      <c r="D551" s="4">
        <v>17</v>
      </c>
      <c r="F551" s="1"/>
      <c r="G551" s="1">
        <v>17</v>
      </c>
      <c r="H551" s="1" t="s">
        <v>2777</v>
      </c>
      <c r="I551" s="1" t="s">
        <v>3145</v>
      </c>
    </row>
    <row r="552" spans="1:9" ht="15" x14ac:dyDescent="0.25">
      <c r="A552" s="16">
        <v>13010401</v>
      </c>
      <c r="B552" s="11" t="s">
        <v>333</v>
      </c>
      <c r="C552" s="11" t="s">
        <v>1521</v>
      </c>
      <c r="D552" s="4">
        <f>ROUND(E552*F552,0)</f>
        <v>15</v>
      </c>
      <c r="E552" s="10">
        <v>1</v>
      </c>
      <c r="F552" s="1">
        <v>15</v>
      </c>
      <c r="H552" s="1" t="s">
        <v>2953</v>
      </c>
    </row>
    <row r="553" spans="1:9" ht="15" x14ac:dyDescent="0.25">
      <c r="A553" s="16">
        <v>13010401</v>
      </c>
      <c r="B553" s="11" t="s">
        <v>344</v>
      </c>
      <c r="C553" s="11" t="s">
        <v>1529</v>
      </c>
      <c r="D553" s="4">
        <f>ROUND(E553*F553,0)</f>
        <v>15</v>
      </c>
      <c r="E553" s="10">
        <v>1</v>
      </c>
      <c r="F553" s="1">
        <v>15</v>
      </c>
      <c r="H553" s="1" t="s">
        <v>2953</v>
      </c>
    </row>
    <row r="554" spans="1:9" ht="15" x14ac:dyDescent="0.25">
      <c r="A554" s="3">
        <v>13010401</v>
      </c>
      <c r="B554" s="11" t="s">
        <v>341</v>
      </c>
      <c r="C554" s="11" t="s">
        <v>1528</v>
      </c>
      <c r="D554" s="4">
        <f>ROUND(E554*F554*1.25,0)</f>
        <v>105</v>
      </c>
      <c r="E554" s="10">
        <v>1</v>
      </c>
      <c r="F554" s="1">
        <v>84</v>
      </c>
      <c r="H554" s="1" t="s">
        <v>2953</v>
      </c>
      <c r="I554" s="1" t="s">
        <v>2999</v>
      </c>
    </row>
    <row r="555" spans="1:9" ht="15" x14ac:dyDescent="0.25">
      <c r="A555" s="16">
        <v>13010402</v>
      </c>
      <c r="B555" s="11" t="s">
        <v>339</v>
      </c>
      <c r="C555" s="11" t="s">
        <v>1525</v>
      </c>
      <c r="D555" s="4">
        <f t="shared" ref="D555:D561" si="18">ROUND(E555*F555,0)</f>
        <v>55</v>
      </c>
      <c r="E555" s="1">
        <v>0.92</v>
      </c>
      <c r="F555" s="1">
        <v>60</v>
      </c>
      <c r="H555" s="1" t="s">
        <v>2949</v>
      </c>
    </row>
    <row r="556" spans="1:9" ht="15" x14ac:dyDescent="0.25">
      <c r="A556" s="3">
        <v>13010402</v>
      </c>
      <c r="B556" s="11" t="s">
        <v>342</v>
      </c>
      <c r="C556" s="11" t="s">
        <v>1528</v>
      </c>
      <c r="D556" s="4">
        <f t="shared" si="18"/>
        <v>77</v>
      </c>
      <c r="E556" s="10">
        <v>0.92</v>
      </c>
      <c r="F556" s="1">
        <v>84</v>
      </c>
      <c r="H556" s="1" t="s">
        <v>2949</v>
      </c>
    </row>
    <row r="557" spans="1:9" ht="15" x14ac:dyDescent="0.25">
      <c r="A557" s="16">
        <v>13010402</v>
      </c>
      <c r="B557" s="11" t="s">
        <v>334</v>
      </c>
      <c r="C557" s="11" t="s">
        <v>1521</v>
      </c>
      <c r="D557" s="4">
        <f t="shared" si="18"/>
        <v>14</v>
      </c>
      <c r="E557" s="10">
        <v>0.92</v>
      </c>
      <c r="F557" s="1">
        <v>15</v>
      </c>
      <c r="H557" s="1" t="s">
        <v>2949</v>
      </c>
    </row>
    <row r="558" spans="1:9" ht="15" x14ac:dyDescent="0.25">
      <c r="A558" s="16">
        <v>13010402</v>
      </c>
      <c r="B558" s="11" t="s">
        <v>336</v>
      </c>
      <c r="C558" s="11" t="s">
        <v>1522</v>
      </c>
      <c r="D558" s="4">
        <f t="shared" si="18"/>
        <v>28</v>
      </c>
      <c r="E558" s="1">
        <v>0.92</v>
      </c>
      <c r="F558" s="1">
        <v>30</v>
      </c>
      <c r="H558" s="1" t="s">
        <v>2949</v>
      </c>
    </row>
    <row r="559" spans="1:9" ht="15" x14ac:dyDescent="0.25">
      <c r="A559" s="16">
        <v>13010402</v>
      </c>
      <c r="B559" s="11" t="s">
        <v>346</v>
      </c>
      <c r="C559" s="11" t="s">
        <v>1531</v>
      </c>
      <c r="D559" s="4">
        <f t="shared" si="18"/>
        <v>14</v>
      </c>
      <c r="E559" s="10">
        <v>0.92</v>
      </c>
      <c r="F559" s="1">
        <v>15</v>
      </c>
      <c r="H559" s="1" t="s">
        <v>2949</v>
      </c>
    </row>
    <row r="560" spans="1:9" ht="15" x14ac:dyDescent="0.25">
      <c r="A560" s="16">
        <v>13010403</v>
      </c>
      <c r="B560" s="11" t="s">
        <v>338</v>
      </c>
      <c r="C560" s="11" t="s">
        <v>1524</v>
      </c>
      <c r="D560" s="4">
        <f t="shared" si="18"/>
        <v>30</v>
      </c>
      <c r="E560" s="10">
        <v>1</v>
      </c>
      <c r="F560" s="1">
        <v>30</v>
      </c>
      <c r="H560" s="1" t="s">
        <v>2953</v>
      </c>
    </row>
    <row r="561" spans="1:46" ht="15" x14ac:dyDescent="0.25">
      <c r="A561" s="3">
        <v>13010403</v>
      </c>
      <c r="B561" s="11" t="s">
        <v>335</v>
      </c>
      <c r="C561" s="11" t="s">
        <v>2675</v>
      </c>
      <c r="D561" s="4">
        <f t="shared" si="18"/>
        <v>50</v>
      </c>
      <c r="E561" s="10">
        <v>1</v>
      </c>
      <c r="F561" s="1">
        <v>50</v>
      </c>
      <c r="H561" s="1" t="s">
        <v>2953</v>
      </c>
    </row>
    <row r="562" spans="1:46" ht="15" x14ac:dyDescent="0.25">
      <c r="A562" s="24">
        <v>13010403</v>
      </c>
      <c r="B562" s="25" t="s">
        <v>335</v>
      </c>
      <c r="C562" s="25" t="s">
        <v>13</v>
      </c>
      <c r="D562" s="4">
        <v>60</v>
      </c>
      <c r="H562" s="1" t="s">
        <v>2953</v>
      </c>
    </row>
    <row r="563" spans="1:46" s="11" customFormat="1" ht="15" x14ac:dyDescent="0.25">
      <c r="A563" s="16">
        <v>13010403</v>
      </c>
      <c r="B563" s="11" t="s">
        <v>335</v>
      </c>
      <c r="C563" s="11" t="s">
        <v>1521</v>
      </c>
      <c r="D563" s="4">
        <f>ROUND(E563*F563,0)</f>
        <v>15</v>
      </c>
      <c r="E563" s="10">
        <v>1</v>
      </c>
      <c r="F563" s="1">
        <v>15</v>
      </c>
      <c r="G563" s="1"/>
      <c r="H563" s="1" t="s">
        <v>2953</v>
      </c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</row>
    <row r="564" spans="1:46" ht="15" x14ac:dyDescent="0.25">
      <c r="A564" s="16">
        <v>13010403</v>
      </c>
      <c r="B564" s="11" t="s">
        <v>347</v>
      </c>
      <c r="C564" s="11" t="s">
        <v>1531</v>
      </c>
      <c r="D564" s="4">
        <f>ROUND(E564*F564,0)</f>
        <v>15</v>
      </c>
      <c r="E564" s="10">
        <v>1</v>
      </c>
      <c r="F564" s="1">
        <v>15</v>
      </c>
      <c r="H564" s="1" t="s">
        <v>2953</v>
      </c>
    </row>
    <row r="565" spans="1:46" ht="15" x14ac:dyDescent="0.25">
      <c r="A565" s="3">
        <v>13010403</v>
      </c>
      <c r="B565" s="11" t="s">
        <v>343</v>
      </c>
      <c r="C565" s="11" t="s">
        <v>1528</v>
      </c>
      <c r="D565" s="4">
        <f>ROUND(E565*F565*1.25,0)</f>
        <v>105</v>
      </c>
      <c r="E565" s="10">
        <v>1</v>
      </c>
      <c r="F565" s="1">
        <v>84</v>
      </c>
      <c r="H565" s="1" t="s">
        <v>2953</v>
      </c>
      <c r="I565" s="1" t="s">
        <v>2999</v>
      </c>
    </row>
    <row r="566" spans="1:46" ht="15" x14ac:dyDescent="0.25">
      <c r="A566" s="5">
        <v>13010404</v>
      </c>
      <c r="B566" s="11" t="s">
        <v>337</v>
      </c>
      <c r="C566" s="11" t="s">
        <v>29</v>
      </c>
      <c r="D566" s="4">
        <f>ROUND(E566*F566,0)</f>
        <v>30</v>
      </c>
      <c r="E566" s="10">
        <v>1</v>
      </c>
      <c r="F566" s="1">
        <v>30</v>
      </c>
      <c r="H566" s="1" t="s">
        <v>2953</v>
      </c>
      <c r="I566" s="1" t="s">
        <v>2950</v>
      </c>
    </row>
    <row r="567" spans="1:46" ht="15" x14ac:dyDescent="0.25">
      <c r="A567" s="16">
        <v>13010404</v>
      </c>
      <c r="B567" s="11" t="s">
        <v>340</v>
      </c>
      <c r="C567" s="11" t="s">
        <v>1527</v>
      </c>
      <c r="D567" s="4">
        <f>ROUND(E567*F567,0)</f>
        <v>60</v>
      </c>
      <c r="E567" s="10">
        <v>1</v>
      </c>
      <c r="F567" s="1">
        <v>60</v>
      </c>
      <c r="H567" s="1" t="s">
        <v>2953</v>
      </c>
    </row>
    <row r="568" spans="1:46" ht="15" x14ac:dyDescent="0.25">
      <c r="A568" s="16">
        <v>13010404</v>
      </c>
      <c r="B568" s="11" t="s">
        <v>348</v>
      </c>
      <c r="C568" s="11" t="s">
        <v>1531</v>
      </c>
      <c r="D568" s="4">
        <f>ROUND(E568*F568,0)</f>
        <v>15</v>
      </c>
      <c r="E568" s="10">
        <v>1</v>
      </c>
      <c r="F568" s="1">
        <v>15</v>
      </c>
      <c r="H568" s="1" t="s">
        <v>2953</v>
      </c>
    </row>
    <row r="569" spans="1:46" ht="15" x14ac:dyDescent="0.25">
      <c r="A569" s="16">
        <v>13010404</v>
      </c>
      <c r="B569" s="11" t="s">
        <v>340</v>
      </c>
      <c r="C569" s="11" t="s">
        <v>1526</v>
      </c>
      <c r="D569" s="4">
        <f>ROUND(E569*F569,0)</f>
        <v>30</v>
      </c>
      <c r="E569" s="10">
        <v>1</v>
      </c>
      <c r="F569" s="1">
        <v>30</v>
      </c>
      <c r="H569" s="1" t="s">
        <v>2953</v>
      </c>
    </row>
    <row r="570" spans="1:46" ht="15" x14ac:dyDescent="0.25">
      <c r="A570" s="16">
        <v>13010404</v>
      </c>
      <c r="B570" s="11" t="s">
        <v>337</v>
      </c>
      <c r="C570" s="11" t="s">
        <v>1523</v>
      </c>
      <c r="D570" s="4">
        <f>ROUND(E570*F570,0)</f>
        <v>15</v>
      </c>
      <c r="E570" s="10">
        <v>1</v>
      </c>
      <c r="F570" s="1">
        <v>15</v>
      </c>
      <c r="H570" s="1" t="s">
        <v>2953</v>
      </c>
    </row>
    <row r="571" spans="1:46" ht="15" x14ac:dyDescent="0.25">
      <c r="A571" s="3">
        <v>13010404</v>
      </c>
      <c r="B571" s="11" t="s">
        <v>345</v>
      </c>
      <c r="C571" s="11" t="s">
        <v>1530</v>
      </c>
      <c r="D571" s="4">
        <f>ROUND(E571*F571*1.25,0)</f>
        <v>105</v>
      </c>
      <c r="E571" s="10">
        <v>1</v>
      </c>
      <c r="F571" s="1">
        <v>84</v>
      </c>
      <c r="H571" s="1" t="s">
        <v>2953</v>
      </c>
      <c r="I571" s="1" t="s">
        <v>2999</v>
      </c>
    </row>
    <row r="572" spans="1:46" ht="15" x14ac:dyDescent="0.25">
      <c r="A572" s="3">
        <v>13010405</v>
      </c>
      <c r="B572" s="11" t="s">
        <v>2631</v>
      </c>
      <c r="C572" s="11" t="s">
        <v>25</v>
      </c>
      <c r="D572" s="4">
        <f>ROUND(E572*F572,0)</f>
        <v>5</v>
      </c>
      <c r="E572" s="1">
        <v>0.92</v>
      </c>
      <c r="F572" s="1">
        <v>5</v>
      </c>
      <c r="G572" s="4"/>
      <c r="H572" s="1" t="s">
        <v>2949</v>
      </c>
    </row>
    <row r="573" spans="1:46" ht="15" x14ac:dyDescent="0.25">
      <c r="A573" s="24">
        <v>13010405</v>
      </c>
      <c r="B573" s="25" t="s">
        <v>2631</v>
      </c>
      <c r="C573" s="25" t="s">
        <v>12</v>
      </c>
      <c r="D573" s="21">
        <v>28</v>
      </c>
      <c r="E573" s="11"/>
      <c r="F573" s="2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</row>
    <row r="574" spans="1:46" ht="15" x14ac:dyDescent="0.25">
      <c r="A574" s="3">
        <v>13010405</v>
      </c>
      <c r="B574" s="11" t="s">
        <v>2631</v>
      </c>
      <c r="C574" s="11" t="s">
        <v>24</v>
      </c>
      <c r="D574" s="4">
        <f t="shared" ref="D574:D586" si="19">ROUND(E574*F574,0)</f>
        <v>77</v>
      </c>
      <c r="E574" s="10">
        <v>0.92</v>
      </c>
      <c r="F574" s="1">
        <v>84</v>
      </c>
      <c r="H574" s="1" t="s">
        <v>2949</v>
      </c>
    </row>
    <row r="575" spans="1:46" ht="15" x14ac:dyDescent="0.25">
      <c r="A575" s="16">
        <v>13010405</v>
      </c>
      <c r="B575" s="11" t="s">
        <v>2631</v>
      </c>
      <c r="C575" s="11" t="s">
        <v>11</v>
      </c>
      <c r="D575" s="4">
        <f t="shared" si="19"/>
        <v>14</v>
      </c>
      <c r="E575" s="10">
        <v>0.92</v>
      </c>
      <c r="F575" s="1">
        <v>15</v>
      </c>
      <c r="H575" s="1" t="s">
        <v>2949</v>
      </c>
    </row>
    <row r="576" spans="1:46" ht="15" x14ac:dyDescent="0.25">
      <c r="A576" s="16">
        <v>13010405</v>
      </c>
      <c r="B576" s="11" t="s">
        <v>2631</v>
      </c>
      <c r="C576" s="11" t="s">
        <v>26</v>
      </c>
      <c r="D576" s="4">
        <f t="shared" si="19"/>
        <v>14</v>
      </c>
      <c r="E576" s="10">
        <v>0.92</v>
      </c>
      <c r="F576" s="1">
        <v>15</v>
      </c>
      <c r="H576" s="1" t="s">
        <v>2949</v>
      </c>
    </row>
    <row r="577" spans="1:9" ht="15" x14ac:dyDescent="0.25">
      <c r="A577" s="20">
        <v>13010501</v>
      </c>
      <c r="B577" s="11" t="s">
        <v>350</v>
      </c>
      <c r="C577" s="11" t="s">
        <v>13</v>
      </c>
      <c r="D577" s="4">
        <f t="shared" si="19"/>
        <v>55</v>
      </c>
      <c r="E577" s="1">
        <v>0.92</v>
      </c>
      <c r="F577" s="1">
        <v>60</v>
      </c>
      <c r="H577" s="1" t="s">
        <v>2949</v>
      </c>
    </row>
    <row r="578" spans="1:9" ht="15" x14ac:dyDescent="0.25">
      <c r="A578" s="3">
        <v>13010501</v>
      </c>
      <c r="B578" s="11" t="s">
        <v>350</v>
      </c>
      <c r="C578" s="11" t="s">
        <v>15</v>
      </c>
      <c r="D578" s="4">
        <f t="shared" si="19"/>
        <v>77</v>
      </c>
      <c r="E578" s="10">
        <v>0.92</v>
      </c>
      <c r="F578" s="1">
        <v>84</v>
      </c>
      <c r="H578" s="1" t="s">
        <v>2949</v>
      </c>
    </row>
    <row r="579" spans="1:9" ht="15" x14ac:dyDescent="0.25">
      <c r="A579" s="3">
        <v>13010501</v>
      </c>
      <c r="B579" s="11" t="s">
        <v>350</v>
      </c>
      <c r="C579" s="11" t="s">
        <v>27</v>
      </c>
      <c r="D579" s="4">
        <f t="shared" si="19"/>
        <v>120</v>
      </c>
      <c r="E579" s="1">
        <v>0.92</v>
      </c>
      <c r="F579" s="1">
        <v>130</v>
      </c>
      <c r="H579" s="1" t="s">
        <v>2949</v>
      </c>
    </row>
    <row r="580" spans="1:9" ht="15" x14ac:dyDescent="0.25">
      <c r="A580" s="3">
        <v>13010501</v>
      </c>
      <c r="B580" s="11" t="s">
        <v>350</v>
      </c>
      <c r="C580" s="11" t="s">
        <v>29</v>
      </c>
      <c r="D580" s="4">
        <f t="shared" si="19"/>
        <v>28</v>
      </c>
      <c r="E580" s="1">
        <v>0.92</v>
      </c>
      <c r="F580" s="1">
        <v>30</v>
      </c>
      <c r="H580" s="1" t="s">
        <v>2949</v>
      </c>
    </row>
    <row r="581" spans="1:9" ht="15" x14ac:dyDescent="0.25">
      <c r="A581" s="20">
        <v>13010501</v>
      </c>
      <c r="B581" s="11" t="s">
        <v>350</v>
      </c>
      <c r="C581" s="11" t="s">
        <v>11</v>
      </c>
      <c r="D581" s="4">
        <f t="shared" si="19"/>
        <v>14</v>
      </c>
      <c r="E581" s="10">
        <v>0.92</v>
      </c>
      <c r="F581" s="1">
        <v>15</v>
      </c>
      <c r="H581" s="1" t="s">
        <v>2949</v>
      </c>
    </row>
    <row r="582" spans="1:9" ht="15" x14ac:dyDescent="0.25">
      <c r="A582" s="3">
        <v>13010501</v>
      </c>
      <c r="B582" s="11" t="s">
        <v>350</v>
      </c>
      <c r="C582" s="11" t="s">
        <v>1548</v>
      </c>
      <c r="D582" s="4">
        <f t="shared" si="19"/>
        <v>77</v>
      </c>
      <c r="E582" s="10">
        <v>0.92</v>
      </c>
      <c r="F582" s="1">
        <v>84</v>
      </c>
      <c r="H582" s="1" t="s">
        <v>2949</v>
      </c>
    </row>
    <row r="583" spans="1:9" ht="15" x14ac:dyDescent="0.25">
      <c r="A583" s="16">
        <v>13010501</v>
      </c>
      <c r="B583" s="11" t="s">
        <v>350</v>
      </c>
      <c r="C583" s="11" t="s">
        <v>1533</v>
      </c>
      <c r="D583" s="4">
        <f t="shared" si="19"/>
        <v>28</v>
      </c>
      <c r="E583" s="1">
        <v>0.92</v>
      </c>
      <c r="F583" s="1">
        <v>30</v>
      </c>
      <c r="H583" s="1" t="s">
        <v>2949</v>
      </c>
    </row>
    <row r="584" spans="1:9" ht="15" x14ac:dyDescent="0.25">
      <c r="A584" s="16">
        <v>13010501</v>
      </c>
      <c r="B584" s="11" t="s">
        <v>366</v>
      </c>
      <c r="C584" s="11" t="s">
        <v>1549</v>
      </c>
      <c r="D584" s="4">
        <f t="shared" si="19"/>
        <v>14</v>
      </c>
      <c r="E584" s="10">
        <v>0.92</v>
      </c>
      <c r="F584" s="1">
        <v>15</v>
      </c>
      <c r="H584" s="1" t="s">
        <v>2949</v>
      </c>
    </row>
    <row r="585" spans="1:9" ht="15" x14ac:dyDescent="0.25">
      <c r="A585" s="16">
        <v>13010502</v>
      </c>
      <c r="B585" s="11" t="s">
        <v>349</v>
      </c>
      <c r="C585" s="11" t="s">
        <v>1532</v>
      </c>
      <c r="D585" s="4">
        <f t="shared" si="19"/>
        <v>15</v>
      </c>
      <c r="E585" s="10">
        <v>1</v>
      </c>
      <c r="F585" s="1">
        <v>15</v>
      </c>
      <c r="H585" s="1" t="s">
        <v>2953</v>
      </c>
      <c r="I585" s="1" t="s">
        <v>3003</v>
      </c>
    </row>
    <row r="586" spans="1:9" ht="15" x14ac:dyDescent="0.25">
      <c r="A586" s="20">
        <v>13010502</v>
      </c>
      <c r="B586" s="11" t="s">
        <v>349</v>
      </c>
      <c r="C586" s="11" t="s">
        <v>13</v>
      </c>
      <c r="D586" s="4">
        <f t="shared" si="19"/>
        <v>60</v>
      </c>
      <c r="E586" s="10">
        <v>1</v>
      </c>
      <c r="F586" s="1">
        <v>60</v>
      </c>
      <c r="H586" s="1" t="s">
        <v>2953</v>
      </c>
      <c r="I586" s="1" t="s">
        <v>3022</v>
      </c>
    </row>
    <row r="587" spans="1:9" ht="15" x14ac:dyDescent="0.25">
      <c r="A587" s="5">
        <v>13010502</v>
      </c>
      <c r="B587" s="11" t="s">
        <v>349</v>
      </c>
      <c r="C587" s="11" t="s">
        <v>15</v>
      </c>
      <c r="D587" s="4">
        <v>84</v>
      </c>
      <c r="E587" s="10">
        <v>1</v>
      </c>
      <c r="F587" s="1">
        <v>84</v>
      </c>
      <c r="H587" s="1" t="s">
        <v>2953</v>
      </c>
    </row>
    <row r="588" spans="1:9" ht="15" x14ac:dyDescent="0.25">
      <c r="A588" s="16">
        <v>13010502</v>
      </c>
      <c r="B588" s="11" t="s">
        <v>351</v>
      </c>
      <c r="C588" s="11" t="s">
        <v>1533</v>
      </c>
      <c r="D588" s="4">
        <f>ROUND(E588*F588,0)</f>
        <v>30</v>
      </c>
      <c r="E588" s="10">
        <v>1</v>
      </c>
      <c r="F588" s="1">
        <v>30</v>
      </c>
      <c r="H588" s="1" t="s">
        <v>2953</v>
      </c>
      <c r="I588" s="1" t="s">
        <v>3017</v>
      </c>
    </row>
    <row r="589" spans="1:9" ht="15" x14ac:dyDescent="0.25">
      <c r="A589" s="16">
        <v>13010502</v>
      </c>
      <c r="B589" s="11" t="s">
        <v>369</v>
      </c>
      <c r="C589" s="11" t="s">
        <v>1551</v>
      </c>
      <c r="D589" s="4">
        <f>ROUND(E589*F589,0)</f>
        <v>15</v>
      </c>
      <c r="E589" s="10">
        <v>1</v>
      </c>
      <c r="F589" s="1">
        <v>15</v>
      </c>
      <c r="H589" s="1" t="s">
        <v>2953</v>
      </c>
      <c r="I589" s="1" t="s">
        <v>3019</v>
      </c>
    </row>
    <row r="590" spans="1:9" ht="15" x14ac:dyDescent="0.25">
      <c r="A590" s="3">
        <v>13010502</v>
      </c>
      <c r="B590" s="11" t="s">
        <v>365</v>
      </c>
      <c r="C590" s="11" t="s">
        <v>1548</v>
      </c>
      <c r="D590" s="4">
        <f>ROUND(E590*F590*1.25,0)</f>
        <v>105</v>
      </c>
      <c r="E590" s="10">
        <v>1</v>
      </c>
      <c r="F590" s="1">
        <v>84</v>
      </c>
      <c r="H590" s="1" t="s">
        <v>2953</v>
      </c>
      <c r="I590" s="1" t="s">
        <v>2999</v>
      </c>
    </row>
    <row r="591" spans="1:9" ht="15" x14ac:dyDescent="0.25">
      <c r="A591" s="3">
        <v>13010503</v>
      </c>
      <c r="B591" s="11" t="s">
        <v>352</v>
      </c>
      <c r="C591" s="11" t="s">
        <v>25</v>
      </c>
      <c r="D591" s="1">
        <f t="shared" ref="D591:D604" si="20">ROUND(E591*F591,0)</f>
        <v>5</v>
      </c>
      <c r="E591" s="1">
        <v>0.92</v>
      </c>
      <c r="F591" s="1">
        <v>5</v>
      </c>
      <c r="H591" s="1" t="s">
        <v>2949</v>
      </c>
    </row>
    <row r="592" spans="1:9" ht="15" x14ac:dyDescent="0.25">
      <c r="A592" s="3">
        <v>13010503</v>
      </c>
      <c r="B592" s="11" t="s">
        <v>352</v>
      </c>
      <c r="C592" s="11" t="s">
        <v>29</v>
      </c>
      <c r="D592" s="4">
        <f t="shared" si="20"/>
        <v>28</v>
      </c>
      <c r="E592" s="1">
        <v>0.92</v>
      </c>
      <c r="F592" s="1">
        <v>30</v>
      </c>
      <c r="H592" s="1" t="s">
        <v>2949</v>
      </c>
    </row>
    <row r="593" spans="1:10" ht="15" x14ac:dyDescent="0.25">
      <c r="A593" s="16">
        <v>13010503</v>
      </c>
      <c r="B593" s="11" t="s">
        <v>352</v>
      </c>
      <c r="C593" s="11" t="s">
        <v>13</v>
      </c>
      <c r="D593" s="4">
        <f t="shared" si="20"/>
        <v>55</v>
      </c>
      <c r="E593" s="1">
        <v>0.92</v>
      </c>
      <c r="F593" s="1">
        <v>60</v>
      </c>
      <c r="H593" s="1" t="s">
        <v>2949</v>
      </c>
    </row>
    <row r="594" spans="1:10" ht="15" x14ac:dyDescent="0.25">
      <c r="A594" s="16">
        <v>13010503</v>
      </c>
      <c r="B594" s="11" t="s">
        <v>352</v>
      </c>
      <c r="C594" s="11" t="s">
        <v>1534</v>
      </c>
      <c r="D594" s="4">
        <f t="shared" si="20"/>
        <v>14</v>
      </c>
      <c r="E594" s="10">
        <v>0.92</v>
      </c>
      <c r="F594" s="1">
        <v>15</v>
      </c>
      <c r="H594" s="1" t="s">
        <v>2949</v>
      </c>
    </row>
    <row r="595" spans="1:10" ht="15" x14ac:dyDescent="0.25">
      <c r="A595" s="3">
        <v>13010503</v>
      </c>
      <c r="B595" s="11" t="s">
        <v>367</v>
      </c>
      <c r="C595" s="11" t="s">
        <v>1550</v>
      </c>
      <c r="D595" s="4">
        <f t="shared" si="20"/>
        <v>77</v>
      </c>
      <c r="E595" s="10">
        <v>0.92</v>
      </c>
      <c r="F595" s="1">
        <v>84</v>
      </c>
      <c r="H595" s="1" t="s">
        <v>2949</v>
      </c>
    </row>
    <row r="596" spans="1:10" ht="15" x14ac:dyDescent="0.25">
      <c r="A596" s="3">
        <v>13010503</v>
      </c>
      <c r="B596" s="11" t="s">
        <v>352</v>
      </c>
      <c r="C596" s="11" t="s">
        <v>27</v>
      </c>
      <c r="D596" s="4">
        <f t="shared" si="20"/>
        <v>120</v>
      </c>
      <c r="E596" s="1">
        <v>0.92</v>
      </c>
      <c r="F596" s="1">
        <v>130</v>
      </c>
      <c r="H596" s="1" t="s">
        <v>2949</v>
      </c>
    </row>
    <row r="597" spans="1:10" ht="15" x14ac:dyDescent="0.25">
      <c r="A597" s="16">
        <v>13010503</v>
      </c>
      <c r="B597" s="11" t="s">
        <v>352</v>
      </c>
      <c r="C597" s="11" t="s">
        <v>1535</v>
      </c>
      <c r="D597" s="4">
        <f t="shared" si="20"/>
        <v>28</v>
      </c>
      <c r="E597" s="1">
        <v>0.92</v>
      </c>
      <c r="F597" s="1">
        <v>30</v>
      </c>
      <c r="H597" s="1" t="s">
        <v>2949</v>
      </c>
    </row>
    <row r="598" spans="1:10" ht="15" x14ac:dyDescent="0.25">
      <c r="A598" s="16">
        <v>13010503</v>
      </c>
      <c r="B598" s="11" t="s">
        <v>370</v>
      </c>
      <c r="C598" s="11" t="s">
        <v>1552</v>
      </c>
      <c r="D598" s="4">
        <f t="shared" si="20"/>
        <v>14</v>
      </c>
      <c r="E598" s="10">
        <v>0.92</v>
      </c>
      <c r="F598" s="1">
        <v>15</v>
      </c>
      <c r="H598" s="1" t="s">
        <v>2949</v>
      </c>
    </row>
    <row r="599" spans="1:10" ht="15" x14ac:dyDescent="0.25">
      <c r="A599" s="3">
        <v>13010504</v>
      </c>
      <c r="B599" s="11" t="s">
        <v>353</v>
      </c>
      <c r="C599" s="11" t="s">
        <v>14</v>
      </c>
      <c r="D599" s="4">
        <f t="shared" si="20"/>
        <v>15</v>
      </c>
      <c r="E599" s="10">
        <v>1</v>
      </c>
      <c r="F599" s="1">
        <v>15</v>
      </c>
      <c r="H599" s="1" t="s">
        <v>2953</v>
      </c>
    </row>
    <row r="600" spans="1:10" ht="15" x14ac:dyDescent="0.25">
      <c r="A600" s="16">
        <v>13010504</v>
      </c>
      <c r="B600" s="11" t="s">
        <v>353</v>
      </c>
      <c r="C600" s="11" t="s">
        <v>13</v>
      </c>
      <c r="D600" s="4">
        <f t="shared" si="20"/>
        <v>60</v>
      </c>
      <c r="E600" s="10">
        <v>1</v>
      </c>
      <c r="F600" s="1">
        <v>60</v>
      </c>
      <c r="H600" s="1" t="s">
        <v>2953</v>
      </c>
      <c r="I600" s="1" t="s">
        <v>3023</v>
      </c>
    </row>
    <row r="601" spans="1:10" ht="15" x14ac:dyDescent="0.25">
      <c r="A601" s="16">
        <v>13010504</v>
      </c>
      <c r="B601" s="11" t="s">
        <v>353</v>
      </c>
      <c r="C601" s="11" t="s">
        <v>1536</v>
      </c>
      <c r="D601" s="4">
        <f t="shared" si="20"/>
        <v>15</v>
      </c>
      <c r="E601" s="10">
        <v>1</v>
      </c>
      <c r="F601" s="1">
        <v>15</v>
      </c>
      <c r="H601" s="1" t="s">
        <v>2953</v>
      </c>
      <c r="I601" s="1" t="s">
        <v>3003</v>
      </c>
    </row>
    <row r="602" spans="1:10" ht="15" x14ac:dyDescent="0.25">
      <c r="A602" s="16">
        <v>13010504</v>
      </c>
      <c r="B602" s="11" t="s">
        <v>353</v>
      </c>
      <c r="C602" s="11" t="s">
        <v>1537</v>
      </c>
      <c r="D602" s="4">
        <f t="shared" si="20"/>
        <v>30</v>
      </c>
      <c r="E602" s="10">
        <v>1</v>
      </c>
      <c r="F602" s="1">
        <v>30</v>
      </c>
      <c r="H602" s="1" t="s">
        <v>2953</v>
      </c>
      <c r="I602" s="1" t="s">
        <v>3021</v>
      </c>
    </row>
    <row r="603" spans="1:10" ht="15" x14ac:dyDescent="0.25">
      <c r="A603" s="3">
        <v>13010504</v>
      </c>
      <c r="B603" s="11" t="s">
        <v>353</v>
      </c>
      <c r="C603" s="11" t="s">
        <v>29</v>
      </c>
      <c r="D603" s="4">
        <f t="shared" si="20"/>
        <v>30</v>
      </c>
      <c r="E603" s="10">
        <v>1</v>
      </c>
      <c r="F603" s="1">
        <v>30</v>
      </c>
      <c r="H603" s="1" t="s">
        <v>2953</v>
      </c>
      <c r="I603" s="1" t="s">
        <v>3019</v>
      </c>
    </row>
    <row r="604" spans="1:10" ht="15" x14ac:dyDescent="0.25">
      <c r="A604" s="16">
        <v>13010504</v>
      </c>
      <c r="B604" s="11" t="s">
        <v>372</v>
      </c>
      <c r="C604" s="11" t="s">
        <v>1554</v>
      </c>
      <c r="D604" s="4">
        <f t="shared" si="20"/>
        <v>15</v>
      </c>
      <c r="E604" s="10">
        <v>1</v>
      </c>
      <c r="F604" s="1">
        <v>15</v>
      </c>
      <c r="H604" s="1" t="s">
        <v>2953</v>
      </c>
      <c r="I604" s="1" t="s">
        <v>3019</v>
      </c>
    </row>
    <row r="605" spans="1:10" ht="15" x14ac:dyDescent="0.25">
      <c r="A605" s="3">
        <v>13010504</v>
      </c>
      <c r="B605" s="11" t="s">
        <v>368</v>
      </c>
      <c r="C605" s="11" t="s">
        <v>1550</v>
      </c>
      <c r="D605" s="4">
        <f>ROUND(E605*F605*1.25,0)</f>
        <v>105</v>
      </c>
      <c r="E605" s="10">
        <v>1</v>
      </c>
      <c r="F605" s="1">
        <v>84</v>
      </c>
      <c r="H605" s="1" t="s">
        <v>2953</v>
      </c>
      <c r="I605" s="1" t="s">
        <v>2999</v>
      </c>
    </row>
    <row r="606" spans="1:10" ht="15" x14ac:dyDescent="0.25">
      <c r="A606" s="16">
        <v>13010505</v>
      </c>
      <c r="B606" s="11" t="s">
        <v>371</v>
      </c>
      <c r="C606" s="11" t="s">
        <v>11</v>
      </c>
      <c r="D606" s="4">
        <f>ROUND(E606*F606,0)</f>
        <v>15</v>
      </c>
      <c r="E606" s="10">
        <v>1</v>
      </c>
      <c r="F606" s="1">
        <v>15</v>
      </c>
      <c r="H606" s="1" t="s">
        <v>2953</v>
      </c>
      <c r="I606" s="1" t="s">
        <v>2700</v>
      </c>
      <c r="J606" s="1" t="s">
        <v>3132</v>
      </c>
    </row>
    <row r="607" spans="1:10" ht="15" x14ac:dyDescent="0.25">
      <c r="A607" s="5">
        <v>13010505</v>
      </c>
      <c r="B607" s="11" t="s">
        <v>371</v>
      </c>
      <c r="C607" s="11" t="s">
        <v>14</v>
      </c>
      <c r="D607" s="4">
        <f>ROUND(E607*F607,0)</f>
        <v>15</v>
      </c>
      <c r="E607" s="10">
        <v>1</v>
      </c>
      <c r="F607" s="1">
        <v>15</v>
      </c>
      <c r="H607" s="1" t="s">
        <v>2953</v>
      </c>
      <c r="I607" s="1" t="s">
        <v>3018</v>
      </c>
    </row>
    <row r="608" spans="1:10" ht="15" x14ac:dyDescent="0.25">
      <c r="A608" s="16">
        <v>13010505</v>
      </c>
      <c r="B608" s="11" t="s">
        <v>375</v>
      </c>
      <c r="C608" s="11" t="s">
        <v>1557</v>
      </c>
      <c r="D608" s="4">
        <f>ROUND(E608*F608,0)</f>
        <v>15</v>
      </c>
      <c r="E608" s="10">
        <v>1</v>
      </c>
      <c r="F608" s="1">
        <v>15</v>
      </c>
      <c r="H608" s="1" t="s">
        <v>2953</v>
      </c>
      <c r="I608" s="1" t="s">
        <v>3018</v>
      </c>
    </row>
    <row r="609" spans="1:10" ht="15" x14ac:dyDescent="0.25">
      <c r="A609" s="3">
        <v>13010505</v>
      </c>
      <c r="B609" s="11" t="s">
        <v>371</v>
      </c>
      <c r="C609" s="11" t="s">
        <v>27</v>
      </c>
      <c r="D609" s="4">
        <v>130</v>
      </c>
      <c r="E609" s="10">
        <v>1</v>
      </c>
      <c r="F609" s="1">
        <v>130</v>
      </c>
      <c r="H609" s="1" t="s">
        <v>2953</v>
      </c>
      <c r="I609" s="1" t="s">
        <v>3146</v>
      </c>
      <c r="J609" s="1" t="s">
        <v>3132</v>
      </c>
    </row>
    <row r="610" spans="1:10" ht="15" x14ac:dyDescent="0.25">
      <c r="A610" s="24">
        <v>13010505</v>
      </c>
      <c r="B610" s="25" t="s">
        <v>371</v>
      </c>
      <c r="C610" s="25" t="s">
        <v>12</v>
      </c>
      <c r="D610" s="4">
        <v>30</v>
      </c>
      <c r="H610" s="1" t="s">
        <v>2953</v>
      </c>
    </row>
    <row r="611" spans="1:10" ht="15" x14ac:dyDescent="0.25">
      <c r="A611" s="24">
        <v>13010505</v>
      </c>
      <c r="B611" s="25" t="s">
        <v>371</v>
      </c>
      <c r="C611" s="25" t="s">
        <v>13</v>
      </c>
      <c r="D611" s="4">
        <v>60</v>
      </c>
      <c r="H611" s="1" t="s">
        <v>2953</v>
      </c>
    </row>
    <row r="612" spans="1:10" ht="15" x14ac:dyDescent="0.25">
      <c r="A612" s="3">
        <v>13010505</v>
      </c>
      <c r="B612" s="11" t="s">
        <v>371</v>
      </c>
      <c r="C612" s="11" t="s">
        <v>1553</v>
      </c>
      <c r="D612" s="4">
        <f>ROUND(E612*F612*1.25,0)</f>
        <v>105</v>
      </c>
      <c r="E612" s="10">
        <v>1</v>
      </c>
      <c r="F612" s="1">
        <v>84</v>
      </c>
      <c r="H612" s="1" t="s">
        <v>2953</v>
      </c>
      <c r="I612" s="1" t="s">
        <v>2999</v>
      </c>
    </row>
    <row r="613" spans="1:10" ht="15" x14ac:dyDescent="0.25">
      <c r="A613" s="16">
        <v>13010506</v>
      </c>
      <c r="B613" s="11" t="s">
        <v>357</v>
      </c>
      <c r="C613" s="11" t="s">
        <v>11</v>
      </c>
      <c r="D613" s="4">
        <f>ROUND(E613*F613,0)</f>
        <v>14</v>
      </c>
      <c r="E613" s="10">
        <v>0.92</v>
      </c>
      <c r="F613" s="1">
        <v>15</v>
      </c>
      <c r="H613" s="1" t="s">
        <v>2949</v>
      </c>
    </row>
    <row r="614" spans="1:10" ht="15" x14ac:dyDescent="0.25">
      <c r="A614" s="24">
        <v>13010506</v>
      </c>
      <c r="B614" s="25" t="s">
        <v>357</v>
      </c>
      <c r="C614" s="25" t="s">
        <v>12</v>
      </c>
      <c r="D614" s="4">
        <v>28</v>
      </c>
      <c r="H614" s="1" t="s">
        <v>2949</v>
      </c>
    </row>
    <row r="615" spans="1:10" ht="15" x14ac:dyDescent="0.25">
      <c r="A615" s="16">
        <v>13010506</v>
      </c>
      <c r="B615" s="11" t="s">
        <v>357</v>
      </c>
      <c r="C615" s="11" t="s">
        <v>1540</v>
      </c>
      <c r="D615" s="4">
        <f>ROUND(E615*F615,0)</f>
        <v>55</v>
      </c>
      <c r="E615" s="1">
        <v>0.92</v>
      </c>
      <c r="F615" s="1">
        <v>60</v>
      </c>
      <c r="H615" s="1" t="s">
        <v>2949</v>
      </c>
    </row>
    <row r="616" spans="1:10" ht="15" x14ac:dyDescent="0.25">
      <c r="A616" s="3">
        <v>13010506</v>
      </c>
      <c r="B616" s="11" t="s">
        <v>374</v>
      </c>
      <c r="C616" s="11" t="s">
        <v>1556</v>
      </c>
      <c r="D616" s="4">
        <f>ROUND(E616*F616,0)</f>
        <v>77</v>
      </c>
      <c r="E616" s="10">
        <v>0.92</v>
      </c>
      <c r="F616" s="1">
        <v>84</v>
      </c>
      <c r="H616" s="1" t="s">
        <v>2949</v>
      </c>
    </row>
    <row r="617" spans="1:10" ht="15" x14ac:dyDescent="0.25">
      <c r="A617" s="16">
        <v>13010506</v>
      </c>
      <c r="B617" s="11" t="s">
        <v>377</v>
      </c>
      <c r="C617" s="11" t="s">
        <v>1559</v>
      </c>
      <c r="D617" s="4">
        <f>ROUND(E617*F617,0)</f>
        <v>14</v>
      </c>
      <c r="E617" s="10">
        <v>0.92</v>
      </c>
      <c r="F617" s="1">
        <v>15</v>
      </c>
      <c r="H617" s="1" t="s">
        <v>2949</v>
      </c>
    </row>
    <row r="618" spans="1:10" ht="15" x14ac:dyDescent="0.25">
      <c r="A618" s="3">
        <v>13010507</v>
      </c>
      <c r="B618" s="11" t="s">
        <v>373</v>
      </c>
      <c r="C618" s="11" t="s">
        <v>1555</v>
      </c>
      <c r="D618" s="4">
        <f>ROUND(E618*F618,0)</f>
        <v>60</v>
      </c>
      <c r="E618" s="10">
        <v>1</v>
      </c>
      <c r="F618" s="1">
        <v>60</v>
      </c>
      <c r="H618" s="1" t="s">
        <v>2953</v>
      </c>
      <c r="I618" s="1" t="s">
        <v>3018</v>
      </c>
    </row>
    <row r="619" spans="1:10" ht="15" x14ac:dyDescent="0.25">
      <c r="A619" s="24">
        <v>13010507</v>
      </c>
      <c r="B619" s="25" t="s">
        <v>354</v>
      </c>
      <c r="C619" s="25" t="s">
        <v>13</v>
      </c>
      <c r="D619" s="4">
        <v>60</v>
      </c>
      <c r="H619" s="1" t="s">
        <v>2953</v>
      </c>
    </row>
    <row r="620" spans="1:10" ht="15" x14ac:dyDescent="0.25">
      <c r="A620" s="16">
        <v>13010507</v>
      </c>
      <c r="B620" s="11" t="s">
        <v>354</v>
      </c>
      <c r="C620" s="11" t="s">
        <v>1538</v>
      </c>
      <c r="D620" s="4">
        <f>ROUND(E620*F620,0)</f>
        <v>15</v>
      </c>
      <c r="E620" s="10">
        <v>1</v>
      </c>
      <c r="F620" s="1">
        <v>15</v>
      </c>
      <c r="H620" s="1" t="s">
        <v>2953</v>
      </c>
      <c r="I620" s="1" t="s">
        <v>3020</v>
      </c>
    </row>
    <row r="621" spans="1:10" ht="15" x14ac:dyDescent="0.25">
      <c r="A621" s="16">
        <v>13010507</v>
      </c>
      <c r="B621" s="11" t="s">
        <v>380</v>
      </c>
      <c r="C621" s="11" t="s">
        <v>1561</v>
      </c>
      <c r="D621" s="4">
        <f>ROUND(E621*F621,0)</f>
        <v>15</v>
      </c>
      <c r="E621" s="10">
        <v>1</v>
      </c>
      <c r="F621" s="1">
        <v>15</v>
      </c>
      <c r="H621" s="1" t="s">
        <v>2953</v>
      </c>
      <c r="I621" s="1" t="s">
        <v>3020</v>
      </c>
    </row>
    <row r="622" spans="1:10" ht="15" x14ac:dyDescent="0.25">
      <c r="A622" s="16">
        <v>13010507</v>
      </c>
      <c r="B622" s="11" t="s">
        <v>356</v>
      </c>
      <c r="C622" s="11" t="s">
        <v>1539</v>
      </c>
      <c r="D622" s="4">
        <f>ROUND(E622*F622,0)</f>
        <v>30</v>
      </c>
      <c r="E622" s="10">
        <v>1</v>
      </c>
      <c r="F622" s="1">
        <v>30</v>
      </c>
      <c r="H622" s="1" t="s">
        <v>2953</v>
      </c>
      <c r="I622" s="1" t="s">
        <v>3017</v>
      </c>
    </row>
    <row r="623" spans="1:10" ht="15" x14ac:dyDescent="0.25">
      <c r="A623" s="3">
        <v>13010507</v>
      </c>
      <c r="B623" s="11" t="s">
        <v>376</v>
      </c>
      <c r="C623" s="11" t="s">
        <v>1558</v>
      </c>
      <c r="D623" s="4">
        <f>ROUND(E623*F623*1.25,0)</f>
        <v>105</v>
      </c>
      <c r="E623" s="10">
        <v>1</v>
      </c>
      <c r="F623" s="1">
        <v>84</v>
      </c>
      <c r="H623" s="1" t="s">
        <v>2953</v>
      </c>
      <c r="I623" s="1" t="s">
        <v>2999</v>
      </c>
    </row>
    <row r="624" spans="1:10" ht="15" x14ac:dyDescent="0.25">
      <c r="A624" s="3">
        <v>13010508</v>
      </c>
      <c r="B624" s="11" t="s">
        <v>384</v>
      </c>
      <c r="C624" s="11" t="s">
        <v>1564</v>
      </c>
      <c r="D624" s="4">
        <v>130</v>
      </c>
      <c r="E624" s="10">
        <v>1</v>
      </c>
      <c r="F624" s="1">
        <v>130</v>
      </c>
      <c r="H624" s="1" t="s">
        <v>2953</v>
      </c>
      <c r="I624" s="1" t="s">
        <v>3024</v>
      </c>
    </row>
    <row r="625" spans="1:9" ht="15" x14ac:dyDescent="0.25">
      <c r="A625" s="16">
        <v>13010508</v>
      </c>
      <c r="B625" s="11" t="s">
        <v>361</v>
      </c>
      <c r="C625" s="11" t="s">
        <v>1543</v>
      </c>
      <c r="D625" s="4">
        <f>ROUND(E625*F625,0)</f>
        <v>60</v>
      </c>
      <c r="E625" s="10">
        <v>1</v>
      </c>
      <c r="F625" s="1">
        <v>60</v>
      </c>
      <c r="H625" s="1" t="s">
        <v>2953</v>
      </c>
      <c r="I625" s="1" t="s">
        <v>3023</v>
      </c>
    </row>
    <row r="626" spans="1:9" ht="15" x14ac:dyDescent="0.25">
      <c r="A626" s="3">
        <v>13010508</v>
      </c>
      <c r="B626" s="11" t="s">
        <v>378</v>
      </c>
      <c r="C626" s="11" t="s">
        <v>1560</v>
      </c>
      <c r="D626" s="4">
        <f>ROUND(E626*F626*1.25,0)</f>
        <v>105</v>
      </c>
      <c r="E626" s="10">
        <v>1</v>
      </c>
      <c r="F626" s="1">
        <v>84</v>
      </c>
      <c r="H626" s="1" t="s">
        <v>2953</v>
      </c>
      <c r="I626" s="1" t="s">
        <v>2999</v>
      </c>
    </row>
    <row r="627" spans="1:9" ht="15" x14ac:dyDescent="0.25">
      <c r="A627" s="16">
        <v>13010508</v>
      </c>
      <c r="B627" s="11" t="s">
        <v>381</v>
      </c>
      <c r="C627" s="11" t="s">
        <v>1561</v>
      </c>
      <c r="D627" s="4">
        <f>ROUND(E627*F627,0)</f>
        <v>15</v>
      </c>
      <c r="E627" s="10">
        <v>1</v>
      </c>
      <c r="F627" s="1">
        <v>15</v>
      </c>
      <c r="H627" s="1" t="s">
        <v>2953</v>
      </c>
      <c r="I627" s="1" t="s">
        <v>3019</v>
      </c>
    </row>
    <row r="628" spans="1:9" ht="15" x14ac:dyDescent="0.25">
      <c r="A628" s="16">
        <v>13010508</v>
      </c>
      <c r="B628" s="11" t="s">
        <v>359</v>
      </c>
      <c r="C628" s="11" t="s">
        <v>1542</v>
      </c>
      <c r="D628" s="4">
        <f>ROUND(E628*F628,0)</f>
        <v>30</v>
      </c>
      <c r="E628" s="10">
        <v>1</v>
      </c>
      <c r="F628" s="1">
        <v>30</v>
      </c>
      <c r="H628" s="1" t="s">
        <v>2953</v>
      </c>
      <c r="I628" s="1" t="s">
        <v>3021</v>
      </c>
    </row>
    <row r="629" spans="1:9" ht="15" x14ac:dyDescent="0.25">
      <c r="A629" s="16">
        <v>13010508</v>
      </c>
      <c r="B629" s="11" t="s">
        <v>355</v>
      </c>
      <c r="C629" s="11" t="s">
        <v>1538</v>
      </c>
      <c r="D629" s="4">
        <f>ROUND(E629*F629,0)</f>
        <v>15</v>
      </c>
      <c r="E629" s="10">
        <v>1</v>
      </c>
      <c r="F629" s="1">
        <v>15</v>
      </c>
      <c r="H629" s="1" t="s">
        <v>2953</v>
      </c>
      <c r="I629" s="1" t="s">
        <v>3003</v>
      </c>
    </row>
    <row r="630" spans="1:9" ht="15" x14ac:dyDescent="0.25">
      <c r="A630" s="3">
        <v>13010509</v>
      </c>
      <c r="B630" s="11" t="s">
        <v>358</v>
      </c>
      <c r="C630" s="11" t="s">
        <v>29</v>
      </c>
      <c r="D630" s="4">
        <f>ROUND(E630*F630,0)</f>
        <v>30</v>
      </c>
      <c r="E630" s="10">
        <v>1</v>
      </c>
      <c r="F630" s="1">
        <v>30</v>
      </c>
      <c r="H630" s="1" t="s">
        <v>2953</v>
      </c>
      <c r="I630" s="1" t="s">
        <v>3026</v>
      </c>
    </row>
    <row r="631" spans="1:9" ht="15" x14ac:dyDescent="0.25">
      <c r="A631" s="3">
        <v>13010509</v>
      </c>
      <c r="B631" s="11" t="s">
        <v>358</v>
      </c>
      <c r="C631" s="11" t="s">
        <v>15</v>
      </c>
      <c r="D631" s="4">
        <v>84</v>
      </c>
      <c r="E631" s="10">
        <v>1</v>
      </c>
      <c r="F631" s="1">
        <v>84</v>
      </c>
      <c r="H631" s="1" t="s">
        <v>2953</v>
      </c>
      <c r="I631" s="1" t="s">
        <v>3026</v>
      </c>
    </row>
    <row r="632" spans="1:9" ht="15" x14ac:dyDescent="0.25">
      <c r="A632" s="16">
        <v>13010509</v>
      </c>
      <c r="B632" s="11" t="s">
        <v>363</v>
      </c>
      <c r="C632" s="11" t="s">
        <v>1545</v>
      </c>
      <c r="D632" s="4">
        <f>ROUND(E632*F632,0)</f>
        <v>60</v>
      </c>
      <c r="E632" s="10">
        <v>1</v>
      </c>
      <c r="F632" s="1">
        <v>60</v>
      </c>
      <c r="H632" s="1" t="s">
        <v>2953</v>
      </c>
    </row>
    <row r="633" spans="1:9" ht="15" x14ac:dyDescent="0.25">
      <c r="A633" s="3">
        <v>13010509</v>
      </c>
      <c r="B633" s="11" t="s">
        <v>379</v>
      </c>
      <c r="C633" s="11" t="s">
        <v>1560</v>
      </c>
      <c r="D633" s="4">
        <f>ROUND(E633*F633*1.25,0)</f>
        <v>105</v>
      </c>
      <c r="E633" s="10">
        <v>1</v>
      </c>
      <c r="F633" s="1">
        <v>84</v>
      </c>
      <c r="H633" s="1" t="s">
        <v>2953</v>
      </c>
      <c r="I633" s="1" t="s">
        <v>2999</v>
      </c>
    </row>
    <row r="634" spans="1:9" ht="15" x14ac:dyDescent="0.25">
      <c r="A634" s="16">
        <v>13010509</v>
      </c>
      <c r="B634" s="11" t="s">
        <v>358</v>
      </c>
      <c r="C634" s="11" t="s">
        <v>1541</v>
      </c>
      <c r="D634" s="4">
        <f t="shared" ref="D634:D644" si="21">ROUND(E634*F634,0)</f>
        <v>15</v>
      </c>
      <c r="E634" s="10">
        <v>1</v>
      </c>
      <c r="F634" s="1">
        <v>15</v>
      </c>
      <c r="H634" s="1" t="s">
        <v>2953</v>
      </c>
      <c r="I634" s="1" t="s">
        <v>3003</v>
      </c>
    </row>
    <row r="635" spans="1:9" ht="15" x14ac:dyDescent="0.25">
      <c r="A635" s="16">
        <v>13010509</v>
      </c>
      <c r="B635" s="11" t="s">
        <v>383</v>
      </c>
      <c r="C635" s="11" t="s">
        <v>1563</v>
      </c>
      <c r="D635" s="4">
        <f t="shared" si="21"/>
        <v>15</v>
      </c>
      <c r="E635" s="10">
        <v>1</v>
      </c>
      <c r="F635" s="1">
        <v>15</v>
      </c>
      <c r="H635" s="1" t="s">
        <v>2953</v>
      </c>
    </row>
    <row r="636" spans="1:9" ht="15" x14ac:dyDescent="0.25">
      <c r="A636" s="16">
        <v>13010509</v>
      </c>
      <c r="B636" s="11" t="s">
        <v>360</v>
      </c>
      <c r="C636" s="11" t="s">
        <v>1542</v>
      </c>
      <c r="D636" s="4">
        <f t="shared" si="21"/>
        <v>30</v>
      </c>
      <c r="E636" s="10">
        <v>1</v>
      </c>
      <c r="F636" s="1">
        <v>30</v>
      </c>
      <c r="H636" s="1" t="s">
        <v>2953</v>
      </c>
    </row>
    <row r="637" spans="1:9" ht="15" x14ac:dyDescent="0.25">
      <c r="A637" s="3">
        <v>13010510</v>
      </c>
      <c r="B637" s="11" t="s">
        <v>362</v>
      </c>
      <c r="C637" s="11" t="s">
        <v>25</v>
      </c>
      <c r="D637" s="4">
        <f t="shared" si="21"/>
        <v>5</v>
      </c>
      <c r="E637" s="1">
        <v>0.92</v>
      </c>
      <c r="F637" s="1">
        <v>5</v>
      </c>
      <c r="G637" s="1">
        <v>3</v>
      </c>
      <c r="H637" s="1" t="s">
        <v>2949</v>
      </c>
    </row>
    <row r="638" spans="1:9" ht="15" x14ac:dyDescent="0.25">
      <c r="A638" s="3">
        <v>13010510</v>
      </c>
      <c r="B638" s="11" t="s">
        <v>362</v>
      </c>
      <c r="C638" s="11" t="s">
        <v>2675</v>
      </c>
      <c r="D638" s="4">
        <f t="shared" si="21"/>
        <v>46</v>
      </c>
      <c r="E638" s="1">
        <v>0.92</v>
      </c>
      <c r="F638" s="1">
        <v>50</v>
      </c>
      <c r="G638" s="1">
        <v>28</v>
      </c>
      <c r="H638" s="1" t="s">
        <v>2949</v>
      </c>
    </row>
    <row r="639" spans="1:9" ht="15" x14ac:dyDescent="0.25">
      <c r="A639" s="16">
        <v>13010510</v>
      </c>
      <c r="B639" s="11" t="s">
        <v>364</v>
      </c>
      <c r="C639" s="11" t="s">
        <v>1547</v>
      </c>
      <c r="D639" s="4">
        <f t="shared" si="21"/>
        <v>55</v>
      </c>
      <c r="E639" s="1">
        <v>0.92</v>
      </c>
      <c r="F639" s="1">
        <v>60</v>
      </c>
      <c r="H639" s="1" t="s">
        <v>2949</v>
      </c>
    </row>
    <row r="640" spans="1:9" ht="15" x14ac:dyDescent="0.25">
      <c r="A640" s="3">
        <v>13010510</v>
      </c>
      <c r="B640" s="11" t="s">
        <v>382</v>
      </c>
      <c r="C640" s="11" t="s">
        <v>1562</v>
      </c>
      <c r="D640" s="4">
        <f t="shared" si="21"/>
        <v>77</v>
      </c>
      <c r="E640" s="10">
        <v>0.92</v>
      </c>
      <c r="F640" s="1">
        <v>84</v>
      </c>
      <c r="H640" s="1" t="s">
        <v>2949</v>
      </c>
    </row>
    <row r="641" spans="1:46" ht="15" x14ac:dyDescent="0.25">
      <c r="A641" s="3">
        <v>13010510</v>
      </c>
      <c r="B641" s="11" t="s">
        <v>385</v>
      </c>
      <c r="C641" s="11" t="s">
        <v>1565</v>
      </c>
      <c r="D641" s="4">
        <f t="shared" si="21"/>
        <v>120</v>
      </c>
      <c r="E641" s="1">
        <v>0.92</v>
      </c>
      <c r="F641" s="1">
        <v>130</v>
      </c>
      <c r="H641" s="1" t="s">
        <v>2949</v>
      </c>
    </row>
    <row r="642" spans="1:46" ht="15" x14ac:dyDescent="0.25">
      <c r="A642" s="16">
        <v>13010510</v>
      </c>
      <c r="B642" s="11" t="s">
        <v>362</v>
      </c>
      <c r="C642" s="11" t="s">
        <v>1544</v>
      </c>
      <c r="D642" s="4">
        <f t="shared" si="21"/>
        <v>14</v>
      </c>
      <c r="E642" s="10">
        <v>0.92</v>
      </c>
      <c r="F642" s="1">
        <v>15</v>
      </c>
      <c r="H642" s="1" t="s">
        <v>2949</v>
      </c>
    </row>
    <row r="643" spans="1:46" s="11" customFormat="1" ht="15" x14ac:dyDescent="0.25">
      <c r="A643" s="16">
        <v>13010510</v>
      </c>
      <c r="B643" s="11" t="s">
        <v>364</v>
      </c>
      <c r="C643" s="11" t="s">
        <v>1546</v>
      </c>
      <c r="D643" s="4">
        <f t="shared" si="21"/>
        <v>28</v>
      </c>
      <c r="E643" s="1">
        <v>0.92</v>
      </c>
      <c r="F643" s="1">
        <v>30</v>
      </c>
      <c r="G643" s="1"/>
      <c r="H643" s="1" t="s">
        <v>2949</v>
      </c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</row>
    <row r="644" spans="1:46" ht="15" x14ac:dyDescent="0.25">
      <c r="A644" s="16">
        <v>13010510</v>
      </c>
      <c r="B644" s="11" t="s">
        <v>385</v>
      </c>
      <c r="C644" s="11" t="s">
        <v>26</v>
      </c>
      <c r="D644" s="4">
        <f t="shared" si="21"/>
        <v>14</v>
      </c>
      <c r="E644" s="10">
        <v>0.92</v>
      </c>
      <c r="F644" s="1">
        <v>15</v>
      </c>
      <c r="H644" s="1" t="s">
        <v>2949</v>
      </c>
    </row>
    <row r="645" spans="1:46" ht="15" x14ac:dyDescent="0.25">
      <c r="A645" s="3">
        <v>13010601</v>
      </c>
      <c r="B645" s="11" t="s">
        <v>390</v>
      </c>
      <c r="C645" s="11" t="s">
        <v>1568</v>
      </c>
      <c r="D645" s="4">
        <f>ROUND(E645*F645*1.25,0)</f>
        <v>105</v>
      </c>
      <c r="E645" s="10">
        <v>1</v>
      </c>
      <c r="F645" s="1">
        <v>84</v>
      </c>
      <c r="H645" s="1" t="s">
        <v>2953</v>
      </c>
      <c r="I645" s="1" t="s">
        <v>2999</v>
      </c>
    </row>
    <row r="646" spans="1:46" ht="15" x14ac:dyDescent="0.25">
      <c r="A646" s="16">
        <v>13010601</v>
      </c>
      <c r="B646" s="11" t="s">
        <v>391</v>
      </c>
      <c r="C646" s="11" t="s">
        <v>1569</v>
      </c>
      <c r="D646" s="4">
        <f>ROUND(E646*F646,0)</f>
        <v>15</v>
      </c>
      <c r="E646" s="10">
        <v>1</v>
      </c>
      <c r="F646" s="1">
        <v>15</v>
      </c>
      <c r="H646" s="1" t="s">
        <v>2953</v>
      </c>
    </row>
    <row r="647" spans="1:46" ht="15" x14ac:dyDescent="0.25">
      <c r="A647" s="16">
        <v>13010602</v>
      </c>
      <c r="B647" s="11" t="s">
        <v>2658</v>
      </c>
      <c r="C647" s="11" t="s">
        <v>11</v>
      </c>
      <c r="D647" s="4">
        <v>7</v>
      </c>
      <c r="E647" s="4"/>
      <c r="F647" s="1" t="s">
        <v>3132</v>
      </c>
      <c r="G647" s="1">
        <v>7</v>
      </c>
      <c r="H647" s="1" t="s">
        <v>2773</v>
      </c>
      <c r="I647" s="1" t="s">
        <v>3028</v>
      </c>
    </row>
    <row r="648" spans="1:46" ht="15" x14ac:dyDescent="0.25">
      <c r="A648" s="16">
        <v>13010602</v>
      </c>
      <c r="B648" s="11" t="s">
        <v>2658</v>
      </c>
      <c r="C648" s="11" t="s">
        <v>26</v>
      </c>
      <c r="D648" s="1">
        <v>7</v>
      </c>
      <c r="F648" s="1">
        <v>8</v>
      </c>
      <c r="G648" s="1">
        <v>7</v>
      </c>
      <c r="H648" s="1" t="s">
        <v>2773</v>
      </c>
    </row>
    <row r="649" spans="1:46" ht="15" x14ac:dyDescent="0.25">
      <c r="A649" s="16">
        <v>13010603</v>
      </c>
      <c r="B649" s="11" t="s">
        <v>392</v>
      </c>
      <c r="C649" s="11" t="s">
        <v>1569</v>
      </c>
      <c r="D649" s="4">
        <f>ROUND(E649*F649,0)</f>
        <v>15</v>
      </c>
      <c r="E649" s="10">
        <v>1</v>
      </c>
      <c r="F649" s="1">
        <v>15</v>
      </c>
      <c r="H649" s="1" t="s">
        <v>2953</v>
      </c>
    </row>
    <row r="650" spans="1:46" ht="15" x14ac:dyDescent="0.25">
      <c r="A650" s="24">
        <v>13010603</v>
      </c>
      <c r="B650" s="25" t="s">
        <v>386</v>
      </c>
      <c r="C650" s="25" t="s">
        <v>24</v>
      </c>
      <c r="D650" s="21">
        <v>105</v>
      </c>
      <c r="E650" s="11"/>
      <c r="F650" s="2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</row>
    <row r="651" spans="1:46" ht="15" x14ac:dyDescent="0.25">
      <c r="A651" s="16">
        <v>13010603</v>
      </c>
      <c r="B651" s="11" t="s">
        <v>386</v>
      </c>
      <c r="C651" s="11" t="s">
        <v>1566</v>
      </c>
      <c r="D651" s="4">
        <f>ROUND(E651*F651,0)</f>
        <v>15</v>
      </c>
      <c r="E651" s="10">
        <v>1</v>
      </c>
      <c r="F651" s="1">
        <v>15</v>
      </c>
      <c r="G651" s="5"/>
      <c r="H651" s="1" t="s">
        <v>2953</v>
      </c>
    </row>
    <row r="652" spans="1:46" ht="15" x14ac:dyDescent="0.25">
      <c r="A652" s="16">
        <v>13010603</v>
      </c>
      <c r="B652" s="11" t="s">
        <v>388</v>
      </c>
      <c r="C652" s="11" t="s">
        <v>1567</v>
      </c>
      <c r="D652" s="4">
        <f>ROUND(E652*F652,0)</f>
        <v>30</v>
      </c>
      <c r="E652" s="10">
        <v>1</v>
      </c>
      <c r="F652" s="1">
        <v>30</v>
      </c>
      <c r="G652" s="5"/>
      <c r="H652" s="1" t="s">
        <v>2953</v>
      </c>
    </row>
    <row r="653" spans="1:46" ht="15" x14ac:dyDescent="0.25">
      <c r="A653" s="24">
        <v>13010603</v>
      </c>
      <c r="B653" s="25" t="s">
        <v>386</v>
      </c>
      <c r="C653" s="25" t="s">
        <v>13</v>
      </c>
      <c r="D653" s="4">
        <v>60</v>
      </c>
      <c r="H653" s="1" t="s">
        <v>2953</v>
      </c>
    </row>
    <row r="654" spans="1:46" ht="15" x14ac:dyDescent="0.25">
      <c r="A654" s="24">
        <v>13010604</v>
      </c>
      <c r="B654" s="25" t="s">
        <v>387</v>
      </c>
      <c r="C654" s="25" t="s">
        <v>13</v>
      </c>
      <c r="D654" s="4">
        <v>60</v>
      </c>
      <c r="H654" s="1" t="s">
        <v>2953</v>
      </c>
    </row>
    <row r="655" spans="1:46" ht="15" x14ac:dyDescent="0.25">
      <c r="A655" s="3">
        <v>13010604</v>
      </c>
      <c r="B655" s="11" t="s">
        <v>393</v>
      </c>
      <c r="C655" s="11" t="s">
        <v>1570</v>
      </c>
      <c r="D655" s="4">
        <v>130</v>
      </c>
      <c r="E655" s="10">
        <v>1</v>
      </c>
      <c r="F655" s="1">
        <v>130</v>
      </c>
      <c r="H655" s="1" t="s">
        <v>2953</v>
      </c>
    </row>
    <row r="656" spans="1:46" ht="15" x14ac:dyDescent="0.25">
      <c r="A656" s="16">
        <v>13010604</v>
      </c>
      <c r="B656" s="11" t="s">
        <v>387</v>
      </c>
      <c r="C656" s="11" t="s">
        <v>1566</v>
      </c>
      <c r="D656" s="4">
        <f>ROUND(E656*F656,0)</f>
        <v>15</v>
      </c>
      <c r="E656" s="10">
        <v>1</v>
      </c>
      <c r="F656" s="1">
        <v>15</v>
      </c>
      <c r="H656" s="1" t="s">
        <v>2953</v>
      </c>
    </row>
    <row r="657" spans="1:10" ht="15" x14ac:dyDescent="0.25">
      <c r="A657" s="16">
        <v>13010604</v>
      </c>
      <c r="B657" s="11" t="s">
        <v>389</v>
      </c>
      <c r="C657" s="11" t="s">
        <v>1567</v>
      </c>
      <c r="D657" s="4">
        <f>ROUND(E657*F657,0)</f>
        <v>30</v>
      </c>
      <c r="E657" s="10">
        <v>1</v>
      </c>
      <c r="F657" s="1">
        <v>30</v>
      </c>
      <c r="H657" s="1" t="s">
        <v>2953</v>
      </c>
    </row>
    <row r="658" spans="1:10" ht="15" x14ac:dyDescent="0.25">
      <c r="A658" s="16">
        <v>13010701</v>
      </c>
      <c r="B658" s="11" t="s">
        <v>395</v>
      </c>
      <c r="C658" s="11" t="s">
        <v>11</v>
      </c>
      <c r="D658" s="4">
        <f>ROUND(E658*F658,0)</f>
        <v>15</v>
      </c>
      <c r="E658" s="10">
        <v>1</v>
      </c>
      <c r="F658" s="1">
        <v>15</v>
      </c>
      <c r="H658" s="1" t="s">
        <v>2953</v>
      </c>
      <c r="I658" s="1" t="s">
        <v>3132</v>
      </c>
      <c r="J658" s="1" t="s">
        <v>3132</v>
      </c>
    </row>
    <row r="659" spans="1:10" ht="15" x14ac:dyDescent="0.25">
      <c r="A659" s="16">
        <v>13010701</v>
      </c>
      <c r="B659" s="11" t="s">
        <v>395</v>
      </c>
      <c r="C659" s="11" t="s">
        <v>1572</v>
      </c>
      <c r="D659" s="4">
        <f>ROUND(E659*F659,0)</f>
        <v>30</v>
      </c>
      <c r="E659" s="10">
        <v>1</v>
      </c>
      <c r="F659" s="1">
        <v>30</v>
      </c>
      <c r="H659" s="1" t="s">
        <v>2953</v>
      </c>
    </row>
    <row r="660" spans="1:10" ht="15" x14ac:dyDescent="0.25">
      <c r="A660" s="16">
        <v>13010701</v>
      </c>
      <c r="B660" s="11" t="s">
        <v>423</v>
      </c>
      <c r="C660" s="11" t="s">
        <v>1601</v>
      </c>
      <c r="D660" s="4">
        <f>ROUND(E660*F660,0)</f>
        <v>15</v>
      </c>
      <c r="E660" s="10">
        <v>1</v>
      </c>
      <c r="F660" s="1">
        <v>15</v>
      </c>
      <c r="H660" s="1" t="s">
        <v>2953</v>
      </c>
    </row>
    <row r="661" spans="1:10" ht="15" x14ac:dyDescent="0.25">
      <c r="A661" s="3">
        <v>13010701</v>
      </c>
      <c r="B661" s="11" t="s">
        <v>421</v>
      </c>
      <c r="C661" s="11" t="s">
        <v>1599</v>
      </c>
      <c r="D661" s="4">
        <f>ROUND(E661*F661*1.25,0)</f>
        <v>105</v>
      </c>
      <c r="E661" s="10">
        <v>1</v>
      </c>
      <c r="F661" s="1">
        <v>84</v>
      </c>
      <c r="H661" s="1" t="s">
        <v>2953</v>
      </c>
      <c r="I661" s="1" t="s">
        <v>2999</v>
      </c>
    </row>
    <row r="662" spans="1:10" ht="15" x14ac:dyDescent="0.25">
      <c r="A662" s="5">
        <v>13010702</v>
      </c>
      <c r="B662" s="11" t="s">
        <v>394</v>
      </c>
      <c r="C662" s="11" t="s">
        <v>15</v>
      </c>
      <c r="D662" s="4">
        <v>84</v>
      </c>
      <c r="E662" s="10">
        <v>1</v>
      </c>
      <c r="F662" s="1">
        <v>84</v>
      </c>
      <c r="H662" s="1" t="s">
        <v>2953</v>
      </c>
      <c r="I662" s="1" t="s">
        <v>2955</v>
      </c>
    </row>
    <row r="663" spans="1:10" ht="15" x14ac:dyDescent="0.25">
      <c r="A663" s="5">
        <v>13010702</v>
      </c>
      <c r="B663" s="11" t="s">
        <v>394</v>
      </c>
      <c r="C663" s="11" t="s">
        <v>32</v>
      </c>
      <c r="D663" s="4">
        <v>1</v>
      </c>
      <c r="E663" s="10">
        <v>1</v>
      </c>
      <c r="F663" s="1"/>
      <c r="G663" s="4">
        <v>1</v>
      </c>
      <c r="H663" s="1" t="s">
        <v>2953</v>
      </c>
    </row>
    <row r="664" spans="1:10" ht="15" x14ac:dyDescent="0.25">
      <c r="A664" s="3">
        <v>13010702</v>
      </c>
      <c r="B664" s="11" t="s">
        <v>394</v>
      </c>
      <c r="C664" s="11" t="s">
        <v>23</v>
      </c>
      <c r="D664" s="4">
        <f t="shared" ref="D664:D670" si="22">ROUND(E664*F664,0)</f>
        <v>60</v>
      </c>
      <c r="E664" s="10">
        <v>1</v>
      </c>
      <c r="F664" s="1">
        <v>60</v>
      </c>
      <c r="H664" s="1" t="s">
        <v>2953</v>
      </c>
    </row>
    <row r="665" spans="1:10" ht="15" x14ac:dyDescent="0.25">
      <c r="A665" s="3">
        <v>13010702</v>
      </c>
      <c r="B665" s="11" t="s">
        <v>426</v>
      </c>
      <c r="C665" s="11" t="s">
        <v>1603</v>
      </c>
      <c r="D665" s="4">
        <f t="shared" si="22"/>
        <v>30</v>
      </c>
      <c r="E665" s="10">
        <v>1</v>
      </c>
      <c r="F665" s="1">
        <v>30</v>
      </c>
      <c r="H665" s="1" t="s">
        <v>2953</v>
      </c>
      <c r="I665" s="1" t="s">
        <v>2950</v>
      </c>
    </row>
    <row r="666" spans="1:10" ht="15" x14ac:dyDescent="0.25">
      <c r="A666" s="3">
        <v>13010702</v>
      </c>
      <c r="B666" s="11" t="s">
        <v>401</v>
      </c>
      <c r="C666" s="11" t="s">
        <v>1578</v>
      </c>
      <c r="D666" s="4">
        <f t="shared" si="22"/>
        <v>15</v>
      </c>
      <c r="E666" s="10">
        <v>1</v>
      </c>
      <c r="F666" s="1">
        <v>15</v>
      </c>
      <c r="H666" s="1" t="s">
        <v>2953</v>
      </c>
      <c r="I666" s="1" t="s">
        <v>2950</v>
      </c>
    </row>
    <row r="667" spans="1:10" ht="15" x14ac:dyDescent="0.25">
      <c r="A667" s="16">
        <v>13010702</v>
      </c>
      <c r="B667" s="11" t="s">
        <v>398</v>
      </c>
      <c r="C667" s="11" t="s">
        <v>1575</v>
      </c>
      <c r="D667" s="4">
        <f t="shared" si="22"/>
        <v>60</v>
      </c>
      <c r="E667" s="10">
        <v>1</v>
      </c>
      <c r="F667" s="1">
        <v>60</v>
      </c>
      <c r="H667" s="1" t="s">
        <v>2953</v>
      </c>
    </row>
    <row r="668" spans="1:10" ht="15" x14ac:dyDescent="0.25">
      <c r="A668" s="16">
        <v>13010702</v>
      </c>
      <c r="B668" s="11" t="s">
        <v>394</v>
      </c>
      <c r="C668" s="11" t="s">
        <v>1571</v>
      </c>
      <c r="D668" s="4">
        <f t="shared" si="22"/>
        <v>15</v>
      </c>
      <c r="E668" s="10">
        <v>1</v>
      </c>
      <c r="F668" s="1">
        <v>15</v>
      </c>
      <c r="H668" s="1" t="s">
        <v>2953</v>
      </c>
    </row>
    <row r="669" spans="1:10" ht="15" x14ac:dyDescent="0.25">
      <c r="A669" s="16">
        <v>13010702</v>
      </c>
      <c r="B669" s="11" t="s">
        <v>396</v>
      </c>
      <c r="C669" s="11" t="s">
        <v>1572</v>
      </c>
      <c r="D669" s="4">
        <f t="shared" si="22"/>
        <v>30</v>
      </c>
      <c r="E669" s="10">
        <v>1</v>
      </c>
      <c r="F669" s="1">
        <v>30</v>
      </c>
      <c r="H669" s="1" t="s">
        <v>2953</v>
      </c>
    </row>
    <row r="670" spans="1:10" ht="15" x14ac:dyDescent="0.25">
      <c r="A670" s="16">
        <v>13010702</v>
      </c>
      <c r="B670" s="11" t="s">
        <v>424</v>
      </c>
      <c r="C670" s="11" t="s">
        <v>1601</v>
      </c>
      <c r="D670" s="4">
        <f t="shared" si="22"/>
        <v>15</v>
      </c>
      <c r="E670" s="10">
        <v>1</v>
      </c>
      <c r="F670" s="1">
        <v>15</v>
      </c>
      <c r="H670" s="1" t="s">
        <v>2953</v>
      </c>
    </row>
    <row r="671" spans="1:10" ht="15" x14ac:dyDescent="0.25">
      <c r="A671" s="3">
        <v>13010702</v>
      </c>
      <c r="B671" s="11" t="s">
        <v>422</v>
      </c>
      <c r="C671" s="11" t="s">
        <v>1600</v>
      </c>
      <c r="D671" s="4">
        <f>ROUND(E671*F671*1.25,0)</f>
        <v>105</v>
      </c>
      <c r="E671" s="10">
        <v>1</v>
      </c>
      <c r="F671" s="1">
        <v>84</v>
      </c>
      <c r="H671" s="1" t="s">
        <v>2953</v>
      </c>
      <c r="I671" s="1" t="s">
        <v>2999</v>
      </c>
    </row>
    <row r="672" spans="1:10" ht="15" x14ac:dyDescent="0.25">
      <c r="A672" s="5">
        <v>13010703</v>
      </c>
      <c r="B672" s="11" t="s">
        <v>397</v>
      </c>
      <c r="C672" s="11" t="s">
        <v>32</v>
      </c>
      <c r="D672" s="4">
        <f>G672</f>
        <v>1</v>
      </c>
      <c r="F672" s="1"/>
      <c r="G672" s="4">
        <v>1</v>
      </c>
      <c r="H672" s="1" t="s">
        <v>2405</v>
      </c>
      <c r="I672" s="1" t="s">
        <v>2420</v>
      </c>
    </row>
    <row r="673" spans="1:10" ht="15" x14ac:dyDescent="0.25">
      <c r="A673" s="3">
        <v>13010703</v>
      </c>
      <c r="B673" s="11" t="s">
        <v>397</v>
      </c>
      <c r="C673" s="11" t="s">
        <v>25</v>
      </c>
      <c r="D673" s="1">
        <v>3</v>
      </c>
      <c r="E673" s="4"/>
      <c r="F673" s="1" t="s">
        <v>3132</v>
      </c>
      <c r="G673" s="4">
        <v>3</v>
      </c>
      <c r="H673" s="1" t="s">
        <v>2773</v>
      </c>
      <c r="I673" s="1" t="s">
        <v>3132</v>
      </c>
      <c r="J673" s="1" t="s">
        <v>3132</v>
      </c>
    </row>
    <row r="674" spans="1:10" ht="15" x14ac:dyDescent="0.25">
      <c r="A674" s="24">
        <v>13010703</v>
      </c>
      <c r="B674" s="25" t="s">
        <v>397</v>
      </c>
      <c r="C674" s="25" t="s">
        <v>23</v>
      </c>
      <c r="D674" s="4">
        <v>17</v>
      </c>
      <c r="H674" s="1" t="s">
        <v>2773</v>
      </c>
    </row>
    <row r="675" spans="1:10" ht="15" x14ac:dyDescent="0.25">
      <c r="A675" s="16">
        <v>13010703</v>
      </c>
      <c r="B675" s="11" t="s">
        <v>397</v>
      </c>
      <c r="C675" s="11" t="s">
        <v>26</v>
      </c>
      <c r="D675" s="1">
        <v>7</v>
      </c>
      <c r="E675" s="4"/>
      <c r="F675" s="1" t="s">
        <v>3132</v>
      </c>
      <c r="G675" s="4">
        <v>7</v>
      </c>
      <c r="H675" s="1" t="s">
        <v>2773</v>
      </c>
      <c r="I675" s="1" t="s">
        <v>3132</v>
      </c>
      <c r="J675" s="1" t="s">
        <v>3132</v>
      </c>
    </row>
    <row r="676" spans="1:10" ht="15" x14ac:dyDescent="0.25">
      <c r="A676" s="16">
        <v>13010703</v>
      </c>
      <c r="B676" s="11" t="s">
        <v>400</v>
      </c>
      <c r="C676" s="11" t="s">
        <v>1577</v>
      </c>
      <c r="D676" s="4">
        <f>G676*2</f>
        <v>52</v>
      </c>
      <c r="F676" s="1"/>
      <c r="G676" s="1">
        <v>26</v>
      </c>
      <c r="H676" s="1" t="s">
        <v>2777</v>
      </c>
      <c r="I676" s="1" t="s">
        <v>2741</v>
      </c>
    </row>
    <row r="677" spans="1:10" ht="15" x14ac:dyDescent="0.25">
      <c r="A677" s="16">
        <v>13010703</v>
      </c>
      <c r="B677" s="11" t="s">
        <v>397</v>
      </c>
      <c r="C677" s="11" t="s">
        <v>1573</v>
      </c>
      <c r="D677" s="4">
        <v>7</v>
      </c>
      <c r="F677" s="1"/>
      <c r="G677" s="1">
        <v>7</v>
      </c>
      <c r="H677" s="1" t="s">
        <v>2773</v>
      </c>
      <c r="I677" s="1" t="s">
        <v>3028</v>
      </c>
    </row>
    <row r="678" spans="1:10" ht="15" x14ac:dyDescent="0.25">
      <c r="A678" s="16">
        <v>13010703</v>
      </c>
      <c r="B678" s="11" t="s">
        <v>397</v>
      </c>
      <c r="C678" s="11" t="s">
        <v>1574</v>
      </c>
      <c r="D678" s="4">
        <v>17</v>
      </c>
      <c r="F678" s="1"/>
      <c r="G678" s="1">
        <v>17</v>
      </c>
      <c r="H678" s="1" t="s">
        <v>2777</v>
      </c>
      <c r="I678" s="1" t="s">
        <v>3145</v>
      </c>
    </row>
    <row r="679" spans="1:10" ht="15" x14ac:dyDescent="0.25">
      <c r="A679" s="16">
        <v>13010704</v>
      </c>
      <c r="B679" s="11" t="s">
        <v>399</v>
      </c>
      <c r="C679" s="11" t="s">
        <v>26</v>
      </c>
      <c r="D679" s="4">
        <f>ROUND(E679*F679,0)</f>
        <v>15</v>
      </c>
      <c r="E679" s="10">
        <v>1</v>
      </c>
      <c r="F679" s="1">
        <v>15</v>
      </c>
      <c r="H679" s="1" t="s">
        <v>2953</v>
      </c>
      <c r="I679" s="1" t="s">
        <v>3132</v>
      </c>
      <c r="J679" s="1" t="s">
        <v>3132</v>
      </c>
    </row>
    <row r="680" spans="1:10" ht="15" x14ac:dyDescent="0.25">
      <c r="A680" s="24">
        <v>13010704</v>
      </c>
      <c r="B680" s="25" t="s">
        <v>399</v>
      </c>
      <c r="C680" s="25" t="s">
        <v>18</v>
      </c>
      <c r="D680" s="4">
        <v>30</v>
      </c>
      <c r="H680" s="1" t="s">
        <v>2953</v>
      </c>
    </row>
    <row r="681" spans="1:10" ht="15" x14ac:dyDescent="0.25">
      <c r="A681" s="16">
        <v>13010704</v>
      </c>
      <c r="B681" s="11" t="s">
        <v>405</v>
      </c>
      <c r="C681" s="11" t="s">
        <v>1583</v>
      </c>
      <c r="D681" s="4">
        <f t="shared" ref="D681:D687" si="23">ROUND(E681*F681,0)</f>
        <v>60</v>
      </c>
      <c r="E681" s="10">
        <v>1</v>
      </c>
      <c r="F681" s="1">
        <v>60</v>
      </c>
      <c r="H681" s="1" t="s">
        <v>2953</v>
      </c>
    </row>
    <row r="682" spans="1:10" ht="15" x14ac:dyDescent="0.25">
      <c r="A682" s="16">
        <v>13010704</v>
      </c>
      <c r="B682" s="11" t="s">
        <v>399</v>
      </c>
      <c r="C682" s="11" t="s">
        <v>1576</v>
      </c>
      <c r="D682" s="4">
        <f t="shared" si="23"/>
        <v>15</v>
      </c>
      <c r="E682" s="10">
        <v>1</v>
      </c>
      <c r="F682" s="1">
        <v>15</v>
      </c>
      <c r="H682" s="1" t="s">
        <v>2953</v>
      </c>
    </row>
    <row r="683" spans="1:10" ht="15" x14ac:dyDescent="0.25">
      <c r="A683" s="16">
        <v>13010704</v>
      </c>
      <c r="B683" s="11" t="s">
        <v>402</v>
      </c>
      <c r="C683" s="11" t="s">
        <v>1579</v>
      </c>
      <c r="D683" s="4">
        <f t="shared" si="23"/>
        <v>30</v>
      </c>
      <c r="E683" s="10">
        <v>1</v>
      </c>
      <c r="F683" s="1">
        <v>30</v>
      </c>
      <c r="H683" s="1" t="s">
        <v>2953</v>
      </c>
    </row>
    <row r="684" spans="1:10" ht="15" x14ac:dyDescent="0.25">
      <c r="A684" s="16">
        <v>13010705</v>
      </c>
      <c r="B684" s="11" t="s">
        <v>408</v>
      </c>
      <c r="C684" s="11" t="s">
        <v>1586</v>
      </c>
      <c r="D684" s="4">
        <f t="shared" si="23"/>
        <v>55</v>
      </c>
      <c r="E684" s="1">
        <v>0.92</v>
      </c>
      <c r="F684" s="1">
        <v>60</v>
      </c>
      <c r="H684" s="1" t="s">
        <v>2949</v>
      </c>
    </row>
    <row r="685" spans="1:10" ht="15" x14ac:dyDescent="0.25">
      <c r="A685" s="3">
        <v>13010705</v>
      </c>
      <c r="B685" s="11" t="s">
        <v>425</v>
      </c>
      <c r="C685" s="11" t="s">
        <v>1602</v>
      </c>
      <c r="D685" s="4">
        <f t="shared" si="23"/>
        <v>5</v>
      </c>
      <c r="E685" s="1">
        <v>0.92</v>
      </c>
      <c r="F685" s="1">
        <v>5</v>
      </c>
      <c r="H685" s="1" t="s">
        <v>2949</v>
      </c>
    </row>
    <row r="686" spans="1:10" ht="15" x14ac:dyDescent="0.25">
      <c r="A686" s="16">
        <v>13010705</v>
      </c>
      <c r="B686" s="11" t="s">
        <v>403</v>
      </c>
      <c r="C686" s="11" t="s">
        <v>1580</v>
      </c>
      <c r="D686" s="4">
        <f t="shared" si="23"/>
        <v>14</v>
      </c>
      <c r="E686" s="10">
        <v>0.92</v>
      </c>
      <c r="F686" s="1">
        <v>15</v>
      </c>
      <c r="H686" s="1" t="s">
        <v>2949</v>
      </c>
    </row>
    <row r="687" spans="1:10" ht="15" x14ac:dyDescent="0.25">
      <c r="A687" s="16">
        <v>13010705</v>
      </c>
      <c r="B687" s="11" t="s">
        <v>403</v>
      </c>
      <c r="C687" s="11" t="s">
        <v>1581</v>
      </c>
      <c r="D687" s="4">
        <f t="shared" si="23"/>
        <v>28</v>
      </c>
      <c r="E687" s="1">
        <v>0.92</v>
      </c>
      <c r="F687" s="1">
        <v>30</v>
      </c>
      <c r="H687" s="1" t="s">
        <v>2949</v>
      </c>
    </row>
    <row r="688" spans="1:10" ht="15" x14ac:dyDescent="0.25">
      <c r="A688" s="24">
        <v>13010706</v>
      </c>
      <c r="B688" s="25" t="s">
        <v>404</v>
      </c>
      <c r="C688" s="25" t="s">
        <v>15</v>
      </c>
      <c r="D688" s="4">
        <v>60</v>
      </c>
      <c r="H688" s="1" t="s">
        <v>2953</v>
      </c>
    </row>
    <row r="689" spans="1:9" ht="15" x14ac:dyDescent="0.25">
      <c r="A689" s="16">
        <v>13010706</v>
      </c>
      <c r="B689" s="11" t="s">
        <v>410</v>
      </c>
      <c r="C689" s="11" t="s">
        <v>1588</v>
      </c>
      <c r="D689" s="4">
        <f t="shared" ref="D689:D698" si="24">ROUND(E689*F689,0)</f>
        <v>60</v>
      </c>
      <c r="E689" s="10">
        <v>1</v>
      </c>
      <c r="F689" s="1">
        <v>60</v>
      </c>
      <c r="H689" s="1" t="s">
        <v>2953</v>
      </c>
    </row>
    <row r="690" spans="1:9" ht="15" x14ac:dyDescent="0.25">
      <c r="A690" s="16">
        <v>13010706</v>
      </c>
      <c r="B690" s="11" t="s">
        <v>404</v>
      </c>
      <c r="C690" s="11" t="s">
        <v>1582</v>
      </c>
      <c r="D690" s="4">
        <f t="shared" si="24"/>
        <v>15</v>
      </c>
      <c r="E690" s="10">
        <v>1</v>
      </c>
      <c r="F690" s="1">
        <v>15</v>
      </c>
      <c r="H690" s="1" t="s">
        <v>2953</v>
      </c>
    </row>
    <row r="691" spans="1:9" ht="15" x14ac:dyDescent="0.25">
      <c r="A691" s="16">
        <v>13010706</v>
      </c>
      <c r="B691" s="11" t="s">
        <v>406</v>
      </c>
      <c r="C691" s="11" t="s">
        <v>1584</v>
      </c>
      <c r="D691" s="4">
        <f t="shared" si="24"/>
        <v>30</v>
      </c>
      <c r="E691" s="10">
        <v>1</v>
      </c>
      <c r="F691" s="1">
        <v>30</v>
      </c>
      <c r="H691" s="1" t="s">
        <v>2953</v>
      </c>
    </row>
    <row r="692" spans="1:9" ht="15" x14ac:dyDescent="0.25">
      <c r="A692" s="5">
        <v>13010707</v>
      </c>
      <c r="B692" s="11" t="s">
        <v>407</v>
      </c>
      <c r="C692" s="11" t="s">
        <v>25</v>
      </c>
      <c r="D692" s="4">
        <f t="shared" si="24"/>
        <v>5</v>
      </c>
      <c r="E692" s="1">
        <v>0.92</v>
      </c>
      <c r="F692" s="1">
        <v>5</v>
      </c>
      <c r="H692" s="1" t="s">
        <v>2949</v>
      </c>
    </row>
    <row r="693" spans="1:9" ht="15" x14ac:dyDescent="0.25">
      <c r="A693" s="16">
        <v>13010707</v>
      </c>
      <c r="B693" s="11" t="s">
        <v>420</v>
      </c>
      <c r="C693" s="11" t="s">
        <v>1598</v>
      </c>
      <c r="D693" s="4">
        <f t="shared" si="24"/>
        <v>14</v>
      </c>
      <c r="E693" s="10">
        <v>0.92</v>
      </c>
      <c r="F693" s="1">
        <v>15</v>
      </c>
      <c r="H693" s="1" t="s">
        <v>2949</v>
      </c>
    </row>
    <row r="694" spans="1:9" ht="15" x14ac:dyDescent="0.25">
      <c r="A694" s="16">
        <v>13010707</v>
      </c>
      <c r="B694" s="11" t="s">
        <v>428</v>
      </c>
      <c r="C694" s="11" t="s">
        <v>1605</v>
      </c>
      <c r="D694" s="4">
        <f t="shared" si="24"/>
        <v>14</v>
      </c>
      <c r="E694" s="10">
        <v>0.92</v>
      </c>
      <c r="F694" s="1">
        <v>15</v>
      </c>
      <c r="H694" s="1" t="s">
        <v>2949</v>
      </c>
    </row>
    <row r="695" spans="1:9" ht="15" x14ac:dyDescent="0.25">
      <c r="A695" s="16">
        <v>13010707</v>
      </c>
      <c r="B695" s="11" t="s">
        <v>412</v>
      </c>
      <c r="C695" s="11" t="s">
        <v>1590</v>
      </c>
      <c r="D695" s="4">
        <f t="shared" si="24"/>
        <v>55</v>
      </c>
      <c r="E695" s="1">
        <v>0.92</v>
      </c>
      <c r="F695" s="1">
        <v>60</v>
      </c>
      <c r="H695" s="1" t="s">
        <v>2949</v>
      </c>
    </row>
    <row r="696" spans="1:9" ht="15" x14ac:dyDescent="0.25">
      <c r="A696" s="3">
        <v>13010707</v>
      </c>
      <c r="B696" s="11" t="s">
        <v>407</v>
      </c>
      <c r="C696" s="11" t="s">
        <v>24</v>
      </c>
      <c r="D696" s="4">
        <f t="shared" si="24"/>
        <v>77</v>
      </c>
      <c r="E696" s="10">
        <v>0.92</v>
      </c>
      <c r="F696" s="1">
        <v>84</v>
      </c>
      <c r="H696" s="1" t="s">
        <v>2949</v>
      </c>
    </row>
    <row r="697" spans="1:9" ht="15" x14ac:dyDescent="0.25">
      <c r="A697" s="16">
        <v>13010707</v>
      </c>
      <c r="B697" s="11" t="s">
        <v>409</v>
      </c>
      <c r="C697" s="11" t="s">
        <v>1587</v>
      </c>
      <c r="D697" s="4">
        <f t="shared" si="24"/>
        <v>28</v>
      </c>
      <c r="E697" s="1">
        <v>0.92</v>
      </c>
      <c r="F697" s="1">
        <v>30</v>
      </c>
      <c r="H697" s="1" t="s">
        <v>2949</v>
      </c>
    </row>
    <row r="698" spans="1:9" ht="15" x14ac:dyDescent="0.25">
      <c r="A698" s="16">
        <v>13010707</v>
      </c>
      <c r="B698" s="11" t="s">
        <v>407</v>
      </c>
      <c r="C698" s="11" t="s">
        <v>1585</v>
      </c>
      <c r="D698" s="4">
        <f t="shared" si="24"/>
        <v>14</v>
      </c>
      <c r="E698" s="10">
        <v>0.92</v>
      </c>
      <c r="F698" s="1">
        <v>15</v>
      </c>
      <c r="H698" s="1" t="s">
        <v>2949</v>
      </c>
    </row>
    <row r="699" spans="1:9" ht="15" x14ac:dyDescent="0.25">
      <c r="A699" s="16">
        <v>13010708</v>
      </c>
      <c r="B699" s="11" t="s">
        <v>413</v>
      </c>
      <c r="C699" s="11" t="s">
        <v>1591</v>
      </c>
      <c r="D699" s="4">
        <v>17</v>
      </c>
      <c r="F699" s="1"/>
      <c r="G699" s="1">
        <v>17</v>
      </c>
      <c r="H699" s="1" t="s">
        <v>2777</v>
      </c>
      <c r="I699" s="1" t="s">
        <v>3145</v>
      </c>
    </row>
    <row r="700" spans="1:9" ht="15" x14ac:dyDescent="0.25">
      <c r="A700" s="16">
        <v>13010708</v>
      </c>
      <c r="B700" s="11" t="s">
        <v>411</v>
      </c>
      <c r="C700" s="11" t="s">
        <v>1589</v>
      </c>
      <c r="D700" s="4">
        <v>7</v>
      </c>
      <c r="F700" s="1"/>
      <c r="G700" s="1">
        <v>7</v>
      </c>
      <c r="H700" s="1" t="s">
        <v>2773</v>
      </c>
      <c r="I700" s="1" t="s">
        <v>3028</v>
      </c>
    </row>
    <row r="701" spans="1:9" ht="15" x14ac:dyDescent="0.25">
      <c r="A701" s="16">
        <v>13010709</v>
      </c>
      <c r="B701" s="11" t="s">
        <v>415</v>
      </c>
      <c r="C701" s="11" t="s">
        <v>11</v>
      </c>
      <c r="D701" s="4">
        <f>ROUND(E701*F701,0)</f>
        <v>15</v>
      </c>
      <c r="E701" s="10">
        <v>1</v>
      </c>
      <c r="F701" s="1">
        <v>15</v>
      </c>
      <c r="H701" s="1" t="s">
        <v>2953</v>
      </c>
    </row>
    <row r="702" spans="1:9" ht="15" x14ac:dyDescent="0.25">
      <c r="A702" s="16">
        <v>13010709</v>
      </c>
      <c r="B702" s="11" t="s">
        <v>415</v>
      </c>
      <c r="C702" s="11" t="s">
        <v>1593</v>
      </c>
      <c r="D702" s="4">
        <f>ROUND(E702*F702,0)</f>
        <v>30</v>
      </c>
      <c r="E702" s="10">
        <v>1</v>
      </c>
      <c r="F702" s="1">
        <v>30</v>
      </c>
      <c r="H702" s="1" t="s">
        <v>2953</v>
      </c>
    </row>
    <row r="703" spans="1:9" ht="15" x14ac:dyDescent="0.25">
      <c r="A703" s="16">
        <v>13010709</v>
      </c>
      <c r="B703" s="11" t="s">
        <v>415</v>
      </c>
      <c r="C703" s="11" t="s">
        <v>13</v>
      </c>
      <c r="D703" s="4">
        <f>ROUND(E703*F703,0)</f>
        <v>60</v>
      </c>
      <c r="E703" s="10">
        <v>1</v>
      </c>
      <c r="F703" s="1">
        <v>60</v>
      </c>
      <c r="H703" s="1" t="s">
        <v>2953</v>
      </c>
    </row>
    <row r="704" spans="1:9" ht="15" x14ac:dyDescent="0.25">
      <c r="A704" s="3">
        <v>13010710</v>
      </c>
      <c r="B704" s="11" t="s">
        <v>414</v>
      </c>
      <c r="C704" s="11" t="s">
        <v>32</v>
      </c>
      <c r="D704" s="4">
        <v>1</v>
      </c>
      <c r="E704" s="10">
        <v>1</v>
      </c>
      <c r="F704" s="1"/>
      <c r="G704" s="4">
        <v>1</v>
      </c>
      <c r="H704" s="1" t="s">
        <v>2953</v>
      </c>
    </row>
    <row r="705" spans="1:46" ht="15" x14ac:dyDescent="0.25">
      <c r="A705" s="3">
        <v>13010710</v>
      </c>
      <c r="B705" s="11" t="s">
        <v>427</v>
      </c>
      <c r="C705" s="11" t="s">
        <v>1604</v>
      </c>
      <c r="D705" s="4">
        <f>ROUND(E705*F705,0)</f>
        <v>60</v>
      </c>
      <c r="E705" s="10">
        <v>1</v>
      </c>
      <c r="F705" s="1">
        <v>60</v>
      </c>
      <c r="H705" s="1" t="s">
        <v>2953</v>
      </c>
      <c r="I705" s="1" t="s">
        <v>2420</v>
      </c>
    </row>
    <row r="706" spans="1:46" ht="15" x14ac:dyDescent="0.25">
      <c r="A706" s="3">
        <v>13010710</v>
      </c>
      <c r="B706" s="11" t="s">
        <v>414</v>
      </c>
      <c r="C706" s="11" t="s">
        <v>2675</v>
      </c>
      <c r="D706" s="4">
        <f>ROUND(E706*F706,0)</f>
        <v>50</v>
      </c>
      <c r="E706" s="10">
        <v>1</v>
      </c>
      <c r="F706" s="1">
        <v>50</v>
      </c>
      <c r="H706" s="1" t="s">
        <v>2953</v>
      </c>
    </row>
    <row r="707" spans="1:46" ht="15" x14ac:dyDescent="0.25">
      <c r="A707" s="3">
        <v>13010710</v>
      </c>
      <c r="B707" s="11" t="s">
        <v>431</v>
      </c>
      <c r="C707" s="11" t="s">
        <v>1610</v>
      </c>
      <c r="D707" s="4">
        <v>130</v>
      </c>
      <c r="E707" s="10">
        <v>1</v>
      </c>
      <c r="F707" s="1">
        <v>130</v>
      </c>
      <c r="H707" s="1" t="s">
        <v>2953</v>
      </c>
    </row>
    <row r="708" spans="1:46" ht="15" x14ac:dyDescent="0.25">
      <c r="A708" s="16">
        <v>13010710</v>
      </c>
      <c r="B708" s="11" t="s">
        <v>429</v>
      </c>
      <c r="C708" s="11" t="s">
        <v>1607</v>
      </c>
      <c r="D708" s="4">
        <f>ROUND(E708*F708,0)</f>
        <v>15</v>
      </c>
      <c r="E708" s="10">
        <v>1</v>
      </c>
      <c r="F708" s="1">
        <v>15</v>
      </c>
      <c r="H708" s="1" t="s">
        <v>2953</v>
      </c>
    </row>
    <row r="709" spans="1:46" ht="15" x14ac:dyDescent="0.25">
      <c r="A709" s="3">
        <v>13010710</v>
      </c>
      <c r="B709" s="11" t="s">
        <v>429</v>
      </c>
      <c r="C709" s="11" t="s">
        <v>1606</v>
      </c>
      <c r="D709" s="4">
        <f>ROUND(E709*F709*1.25,0)</f>
        <v>105</v>
      </c>
      <c r="E709" s="10">
        <v>1</v>
      </c>
      <c r="F709" s="1">
        <v>84</v>
      </c>
      <c r="H709" s="1" t="s">
        <v>2953</v>
      </c>
      <c r="I709" s="1" t="s">
        <v>2999</v>
      </c>
    </row>
    <row r="710" spans="1:46" ht="15" x14ac:dyDescent="0.25">
      <c r="A710" s="16">
        <v>13010710</v>
      </c>
      <c r="B710" s="11" t="s">
        <v>414</v>
      </c>
      <c r="C710" s="11" t="s">
        <v>1592</v>
      </c>
      <c r="D710" s="4">
        <f>ROUND(E710*F710,0)</f>
        <v>15</v>
      </c>
      <c r="E710" s="10">
        <v>1</v>
      </c>
      <c r="F710" s="1">
        <v>15</v>
      </c>
      <c r="H710" s="1" t="s">
        <v>2953</v>
      </c>
    </row>
    <row r="711" spans="1:46" ht="15" x14ac:dyDescent="0.25">
      <c r="A711" s="16">
        <v>13010710</v>
      </c>
      <c r="B711" s="11" t="s">
        <v>418</v>
      </c>
      <c r="C711" s="11" t="s">
        <v>1595</v>
      </c>
      <c r="D711" s="4">
        <f>ROUND(E711*F711,0)</f>
        <v>60</v>
      </c>
      <c r="E711" s="10">
        <v>1</v>
      </c>
      <c r="F711" s="1">
        <v>60</v>
      </c>
      <c r="H711" s="1" t="s">
        <v>2953</v>
      </c>
    </row>
    <row r="712" spans="1:46" ht="15" x14ac:dyDescent="0.25">
      <c r="A712" s="16">
        <v>13010710</v>
      </c>
      <c r="B712" s="11" t="s">
        <v>416</v>
      </c>
      <c r="C712" s="11" t="s">
        <v>1593</v>
      </c>
      <c r="D712" s="4">
        <f>ROUND(E712*F712,0)</f>
        <v>30</v>
      </c>
      <c r="E712" s="10">
        <v>1</v>
      </c>
      <c r="F712" s="1">
        <v>30</v>
      </c>
      <c r="H712" s="1" t="s">
        <v>2953</v>
      </c>
    </row>
    <row r="713" spans="1:46" ht="15" x14ac:dyDescent="0.25">
      <c r="A713" s="3">
        <v>13010711</v>
      </c>
      <c r="B713" s="11" t="s">
        <v>430</v>
      </c>
      <c r="C713" s="11" t="s">
        <v>1608</v>
      </c>
      <c r="D713" s="4">
        <f>ROUND(E713*F713,0)</f>
        <v>8</v>
      </c>
      <c r="E713" s="10">
        <v>1</v>
      </c>
      <c r="F713" s="1">
        <v>8</v>
      </c>
      <c r="H713" s="1" t="s">
        <v>2953</v>
      </c>
    </row>
    <row r="714" spans="1:46" ht="15" x14ac:dyDescent="0.25">
      <c r="A714" s="16">
        <v>13010711</v>
      </c>
      <c r="B714" s="11" t="s">
        <v>430</v>
      </c>
      <c r="C714" s="11" t="s">
        <v>1609</v>
      </c>
      <c r="D714" s="4">
        <v>14</v>
      </c>
      <c r="E714" s="10">
        <v>1</v>
      </c>
      <c r="F714" s="1">
        <v>8</v>
      </c>
      <c r="H714" s="1" t="s">
        <v>2953</v>
      </c>
    </row>
    <row r="715" spans="1:46" ht="15" x14ac:dyDescent="0.25">
      <c r="A715" s="3">
        <v>13010711</v>
      </c>
      <c r="B715" s="11" t="s">
        <v>432</v>
      </c>
      <c r="C715" s="11" t="s">
        <v>1610</v>
      </c>
      <c r="D715" s="4">
        <f t="shared" ref="D715:D724" si="25">ROUND(E715*F715,0)</f>
        <v>130</v>
      </c>
      <c r="E715" s="10">
        <v>1</v>
      </c>
      <c r="F715" s="1">
        <v>130</v>
      </c>
      <c r="H715" s="1" t="s">
        <v>2953</v>
      </c>
    </row>
    <row r="716" spans="1:46" ht="15" x14ac:dyDescent="0.25">
      <c r="A716" s="3">
        <v>13010711</v>
      </c>
      <c r="B716" s="11" t="s">
        <v>417</v>
      </c>
      <c r="C716" s="11" t="s">
        <v>24</v>
      </c>
      <c r="D716" s="4">
        <f t="shared" si="25"/>
        <v>84</v>
      </c>
      <c r="E716" s="10">
        <v>1</v>
      </c>
      <c r="F716" s="1">
        <v>84</v>
      </c>
      <c r="H716" s="1" t="s">
        <v>2953</v>
      </c>
    </row>
    <row r="717" spans="1:46" ht="15" x14ac:dyDescent="0.25">
      <c r="A717" s="16">
        <v>13010711</v>
      </c>
      <c r="B717" s="11" t="s">
        <v>417</v>
      </c>
      <c r="C717" s="11" t="s">
        <v>1594</v>
      </c>
      <c r="D717" s="4">
        <f t="shared" si="25"/>
        <v>30</v>
      </c>
      <c r="E717" s="10">
        <v>1</v>
      </c>
      <c r="F717" s="1">
        <v>30</v>
      </c>
      <c r="H717" s="1" t="s">
        <v>2953</v>
      </c>
    </row>
    <row r="718" spans="1:46" ht="15" x14ac:dyDescent="0.25">
      <c r="A718" s="16">
        <v>13010711</v>
      </c>
      <c r="B718" s="11" t="s">
        <v>419</v>
      </c>
      <c r="C718" s="11" t="s">
        <v>1597</v>
      </c>
      <c r="D718" s="4">
        <f t="shared" si="25"/>
        <v>120</v>
      </c>
      <c r="E718" s="10">
        <v>1</v>
      </c>
      <c r="F718" s="1">
        <v>120</v>
      </c>
      <c r="H718" s="1" t="s">
        <v>2953</v>
      </c>
    </row>
    <row r="719" spans="1:46" ht="15" x14ac:dyDescent="0.25">
      <c r="A719" s="16">
        <v>13010711</v>
      </c>
      <c r="B719" s="11" t="s">
        <v>419</v>
      </c>
      <c r="C719" s="11" t="s">
        <v>1596</v>
      </c>
      <c r="D719" s="4">
        <f t="shared" si="25"/>
        <v>60</v>
      </c>
      <c r="E719" s="10">
        <v>1</v>
      </c>
      <c r="F719" s="1">
        <v>60</v>
      </c>
      <c r="H719" s="1" t="s">
        <v>2953</v>
      </c>
    </row>
    <row r="720" spans="1:46" s="11" customFormat="1" ht="15" x14ac:dyDescent="0.25">
      <c r="A720" s="20">
        <v>13010712</v>
      </c>
      <c r="B720" s="11" t="s">
        <v>2398</v>
      </c>
      <c r="C720" s="11" t="s">
        <v>26</v>
      </c>
      <c r="D720" s="4">
        <f t="shared" si="25"/>
        <v>14</v>
      </c>
      <c r="E720" s="10">
        <v>0.92</v>
      </c>
      <c r="F720" s="1">
        <v>15</v>
      </c>
      <c r="G720" s="1"/>
      <c r="H720" s="1" t="s">
        <v>2949</v>
      </c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</row>
    <row r="721" spans="1:46" ht="15" x14ac:dyDescent="0.25">
      <c r="A721" s="3">
        <v>13010712</v>
      </c>
      <c r="B721" s="11" t="s">
        <v>2398</v>
      </c>
      <c r="C721" s="11" t="s">
        <v>25</v>
      </c>
      <c r="D721" s="4">
        <f t="shared" si="25"/>
        <v>5</v>
      </c>
      <c r="E721" s="1">
        <v>0.92</v>
      </c>
      <c r="F721" s="1">
        <v>5</v>
      </c>
      <c r="H721" s="1" t="s">
        <v>2949</v>
      </c>
    </row>
    <row r="722" spans="1:46" ht="15" x14ac:dyDescent="0.25">
      <c r="A722" s="20">
        <v>13010712</v>
      </c>
      <c r="B722" s="11" t="s">
        <v>2398</v>
      </c>
      <c r="C722" s="11" t="s">
        <v>13</v>
      </c>
      <c r="D722" s="4">
        <f t="shared" si="25"/>
        <v>55</v>
      </c>
      <c r="E722" s="1">
        <v>0.92</v>
      </c>
      <c r="F722" s="1">
        <v>60</v>
      </c>
      <c r="H722" s="1" t="s">
        <v>2949</v>
      </c>
    </row>
    <row r="723" spans="1:46" ht="15" x14ac:dyDescent="0.25">
      <c r="A723" s="20">
        <v>13010712</v>
      </c>
      <c r="B723" s="11" t="s">
        <v>2398</v>
      </c>
      <c r="C723" s="11" t="s">
        <v>11</v>
      </c>
      <c r="D723" s="4">
        <f t="shared" si="25"/>
        <v>14</v>
      </c>
      <c r="E723" s="10">
        <v>0.92</v>
      </c>
      <c r="F723" s="1">
        <v>15</v>
      </c>
      <c r="H723" s="1" t="s">
        <v>2949</v>
      </c>
    </row>
    <row r="724" spans="1:46" ht="15" x14ac:dyDescent="0.25">
      <c r="A724" s="20">
        <v>13010712</v>
      </c>
      <c r="B724" s="11" t="s">
        <v>2398</v>
      </c>
      <c r="C724" s="11" t="s">
        <v>12</v>
      </c>
      <c r="D724" s="4">
        <f t="shared" si="25"/>
        <v>28</v>
      </c>
      <c r="E724" s="1">
        <v>0.92</v>
      </c>
      <c r="F724" s="1">
        <v>30</v>
      </c>
      <c r="H724" s="1" t="s">
        <v>2949</v>
      </c>
    </row>
    <row r="725" spans="1:46" ht="15" x14ac:dyDescent="0.25">
      <c r="A725" s="24">
        <v>13010713</v>
      </c>
      <c r="B725" s="25" t="s">
        <v>2619</v>
      </c>
      <c r="C725" s="25" t="s">
        <v>23</v>
      </c>
      <c r="D725" s="4">
        <v>30</v>
      </c>
      <c r="H725" s="1" t="s">
        <v>2949</v>
      </c>
    </row>
    <row r="726" spans="1:46" ht="15" x14ac:dyDescent="0.25">
      <c r="A726" s="16">
        <v>13010713</v>
      </c>
      <c r="B726" s="11" t="s">
        <v>2619</v>
      </c>
      <c r="C726" s="11" t="s">
        <v>26</v>
      </c>
      <c r="D726" s="4">
        <f>ROUND(E726*F726,0)</f>
        <v>14</v>
      </c>
      <c r="E726" s="10">
        <v>0.92</v>
      </c>
      <c r="F726" s="1">
        <v>15</v>
      </c>
      <c r="H726" s="1" t="s">
        <v>2949</v>
      </c>
    </row>
    <row r="727" spans="1:46" ht="15" x14ac:dyDescent="0.25">
      <c r="A727" s="24">
        <v>13010713</v>
      </c>
      <c r="B727" s="25" t="s">
        <v>2619</v>
      </c>
      <c r="C727" s="25" t="s">
        <v>24</v>
      </c>
      <c r="D727" s="21">
        <v>84</v>
      </c>
      <c r="E727" s="11"/>
      <c r="F727" s="2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</row>
    <row r="728" spans="1:46" ht="15" x14ac:dyDescent="0.25">
      <c r="A728" s="16">
        <v>13010713</v>
      </c>
      <c r="B728" s="11" t="s">
        <v>2619</v>
      </c>
      <c r="C728" s="11" t="s">
        <v>13</v>
      </c>
      <c r="D728" s="4">
        <v>120</v>
      </c>
      <c r="E728" s="1">
        <v>0.92</v>
      </c>
      <c r="F728" s="1">
        <v>60</v>
      </c>
      <c r="H728" s="1" t="s">
        <v>2949</v>
      </c>
    </row>
    <row r="729" spans="1:46" ht="15" x14ac:dyDescent="0.25">
      <c r="A729" s="16">
        <v>13010713</v>
      </c>
      <c r="B729" s="11" t="s">
        <v>2619</v>
      </c>
      <c r="C729" s="11" t="s">
        <v>11</v>
      </c>
      <c r="D729" s="4">
        <v>30</v>
      </c>
      <c r="E729" s="10">
        <v>0.92</v>
      </c>
      <c r="F729" s="1">
        <v>15</v>
      </c>
      <c r="H729" s="1" t="s">
        <v>2949</v>
      </c>
    </row>
    <row r="730" spans="1:46" ht="15" x14ac:dyDescent="0.25">
      <c r="A730" s="16">
        <v>13010713</v>
      </c>
      <c r="B730" s="11" t="s">
        <v>2619</v>
      </c>
      <c r="C730" s="11" t="s">
        <v>12</v>
      </c>
      <c r="D730" s="4">
        <v>60</v>
      </c>
      <c r="E730" s="1">
        <v>0.92</v>
      </c>
      <c r="F730" s="1">
        <v>30</v>
      </c>
      <c r="H730" s="1" t="s">
        <v>2949</v>
      </c>
    </row>
    <row r="731" spans="1:46" ht="15" x14ac:dyDescent="0.25">
      <c r="A731" s="3">
        <v>13010801</v>
      </c>
      <c r="B731" s="11" t="s">
        <v>454</v>
      </c>
      <c r="C731" s="11" t="s">
        <v>1629</v>
      </c>
      <c r="D731" s="4">
        <f t="shared" ref="D731:D736" si="26">ROUND(E731*F731,0)</f>
        <v>77</v>
      </c>
      <c r="E731" s="10">
        <v>0.92</v>
      </c>
      <c r="F731" s="1">
        <v>84</v>
      </c>
      <c r="G731" s="1">
        <v>6</v>
      </c>
      <c r="H731" s="1" t="s">
        <v>2949</v>
      </c>
    </row>
    <row r="732" spans="1:46" ht="15" x14ac:dyDescent="0.25">
      <c r="A732" s="16">
        <v>13010801</v>
      </c>
      <c r="B732" s="11" t="s">
        <v>457</v>
      </c>
      <c r="C732" s="11" t="s">
        <v>1632</v>
      </c>
      <c r="D732" s="4">
        <f t="shared" si="26"/>
        <v>7</v>
      </c>
      <c r="E732" s="10">
        <v>0.92</v>
      </c>
      <c r="F732" s="1">
        <v>8</v>
      </c>
      <c r="G732" s="1">
        <v>6</v>
      </c>
      <c r="H732" s="1" t="s">
        <v>2949</v>
      </c>
    </row>
    <row r="733" spans="1:46" ht="15" x14ac:dyDescent="0.25">
      <c r="A733" s="16">
        <v>13010802</v>
      </c>
      <c r="B733" s="11" t="s">
        <v>458</v>
      </c>
      <c r="C733" s="11" t="s">
        <v>1632</v>
      </c>
      <c r="D733" s="4">
        <f t="shared" si="26"/>
        <v>15</v>
      </c>
      <c r="E733" s="10">
        <v>1</v>
      </c>
      <c r="F733" s="1">
        <v>15</v>
      </c>
      <c r="H733" s="1" t="s">
        <v>2953</v>
      </c>
    </row>
    <row r="734" spans="1:46" ht="15" x14ac:dyDescent="0.25">
      <c r="A734" s="5">
        <v>13010802</v>
      </c>
      <c r="B734" s="11" t="s">
        <v>435</v>
      </c>
      <c r="C734" s="11" t="s">
        <v>29</v>
      </c>
      <c r="D734" s="4">
        <f t="shared" si="26"/>
        <v>30</v>
      </c>
      <c r="E734" s="10">
        <v>1</v>
      </c>
      <c r="F734" s="1">
        <v>30</v>
      </c>
      <c r="H734" s="1" t="s">
        <v>2953</v>
      </c>
      <c r="I734" s="1" t="s">
        <v>3147</v>
      </c>
    </row>
    <row r="735" spans="1:46" ht="15" x14ac:dyDescent="0.25">
      <c r="A735" s="16">
        <v>13010802</v>
      </c>
      <c r="B735" s="11" t="s">
        <v>437</v>
      </c>
      <c r="C735" s="11" t="s">
        <v>1614</v>
      </c>
      <c r="D735" s="4">
        <f t="shared" si="26"/>
        <v>60</v>
      </c>
      <c r="E735" s="10">
        <v>1</v>
      </c>
      <c r="F735" s="1">
        <v>60</v>
      </c>
      <c r="H735" s="1" t="s">
        <v>2953</v>
      </c>
    </row>
    <row r="736" spans="1:46" ht="15" x14ac:dyDescent="0.25">
      <c r="A736" s="16">
        <v>13010802</v>
      </c>
      <c r="B736" s="11" t="s">
        <v>435</v>
      </c>
      <c r="C736" s="11" t="s">
        <v>1613</v>
      </c>
      <c r="D736" s="4">
        <f t="shared" si="26"/>
        <v>30</v>
      </c>
      <c r="E736" s="10">
        <v>1</v>
      </c>
      <c r="F736" s="1">
        <v>30</v>
      </c>
      <c r="H736" s="1" t="s">
        <v>2953</v>
      </c>
    </row>
    <row r="737" spans="1:10" ht="15" x14ac:dyDescent="0.25">
      <c r="A737" s="3">
        <v>13010802</v>
      </c>
      <c r="B737" s="11" t="s">
        <v>455</v>
      </c>
      <c r="C737" s="11" t="s">
        <v>1630</v>
      </c>
      <c r="D737" s="4">
        <f>ROUND(E737*F737*1.25,0)</f>
        <v>105</v>
      </c>
      <c r="E737" s="10">
        <v>1</v>
      </c>
      <c r="F737" s="1">
        <v>84</v>
      </c>
      <c r="H737" s="1" t="s">
        <v>2953</v>
      </c>
      <c r="I737" s="1" t="s">
        <v>2999</v>
      </c>
    </row>
    <row r="738" spans="1:10" ht="15" x14ac:dyDescent="0.25">
      <c r="A738" s="16">
        <v>13010803</v>
      </c>
      <c r="B738" s="11" t="s">
        <v>436</v>
      </c>
      <c r="C738" s="11" t="s">
        <v>11</v>
      </c>
      <c r="D738" s="4">
        <v>7</v>
      </c>
      <c r="F738" s="1"/>
      <c r="G738" s="1">
        <v>7</v>
      </c>
      <c r="H738" s="1" t="s">
        <v>2773</v>
      </c>
      <c r="I738" s="1" t="s">
        <v>3028</v>
      </c>
    </row>
    <row r="739" spans="1:10" ht="15" x14ac:dyDescent="0.25">
      <c r="A739" s="16">
        <v>13010803</v>
      </c>
      <c r="B739" s="11" t="s">
        <v>451</v>
      </c>
      <c r="C739" s="11" t="s">
        <v>1625</v>
      </c>
      <c r="D739" s="4">
        <v>7</v>
      </c>
      <c r="F739" s="10"/>
      <c r="G739" s="1">
        <v>7</v>
      </c>
      <c r="H739" s="1" t="s">
        <v>2773</v>
      </c>
      <c r="I739" s="1" t="s">
        <v>3028</v>
      </c>
    </row>
    <row r="740" spans="1:10" ht="15" x14ac:dyDescent="0.25">
      <c r="A740" s="3">
        <v>13010803</v>
      </c>
      <c r="B740" s="11" t="s">
        <v>456</v>
      </c>
      <c r="C740" s="11" t="s">
        <v>1631</v>
      </c>
      <c r="D740" s="4">
        <f>G740*2</f>
        <v>52</v>
      </c>
      <c r="F740" s="1"/>
      <c r="G740" s="1">
        <v>26</v>
      </c>
      <c r="H740" s="1" t="s">
        <v>2777</v>
      </c>
      <c r="I740" s="1" t="s">
        <v>2741</v>
      </c>
    </row>
    <row r="741" spans="1:10" ht="15" x14ac:dyDescent="0.25">
      <c r="A741" s="16">
        <v>13010803</v>
      </c>
      <c r="B741" s="11" t="s">
        <v>439</v>
      </c>
      <c r="C741" s="11" t="s">
        <v>1616</v>
      </c>
      <c r="D741" s="4">
        <f>G741*2</f>
        <v>52</v>
      </c>
      <c r="F741" s="1"/>
      <c r="G741" s="1">
        <v>26</v>
      </c>
      <c r="H741" s="1" t="s">
        <v>2777</v>
      </c>
      <c r="I741" s="1" t="s">
        <v>2741</v>
      </c>
    </row>
    <row r="742" spans="1:10" ht="15" x14ac:dyDescent="0.25">
      <c r="A742" s="16">
        <v>13010803</v>
      </c>
      <c r="B742" s="11" t="s">
        <v>436</v>
      </c>
      <c r="C742" s="11" t="s">
        <v>1613</v>
      </c>
      <c r="D742" s="4">
        <v>17</v>
      </c>
      <c r="F742" s="1"/>
      <c r="G742" s="1">
        <v>17</v>
      </c>
      <c r="H742" s="1" t="s">
        <v>2777</v>
      </c>
      <c r="I742" s="1" t="s">
        <v>3145</v>
      </c>
    </row>
    <row r="743" spans="1:10" ht="15" x14ac:dyDescent="0.25">
      <c r="A743" s="16">
        <v>13010804</v>
      </c>
      <c r="B743" s="11" t="s">
        <v>459</v>
      </c>
      <c r="C743" s="11" t="s">
        <v>11</v>
      </c>
      <c r="D743" s="4">
        <f>ROUND(E743*F743,0)</f>
        <v>15</v>
      </c>
      <c r="E743" s="10">
        <v>1</v>
      </c>
      <c r="F743" s="1">
        <v>15</v>
      </c>
      <c r="H743" s="1" t="s">
        <v>2953</v>
      </c>
      <c r="I743" s="1" t="s">
        <v>3132</v>
      </c>
      <c r="J743" s="1" t="s">
        <v>3132</v>
      </c>
    </row>
    <row r="744" spans="1:10" ht="15" x14ac:dyDescent="0.25">
      <c r="A744" s="16">
        <v>13010804</v>
      </c>
      <c r="B744" s="11" t="s">
        <v>459</v>
      </c>
      <c r="C744" s="11" t="s">
        <v>12</v>
      </c>
      <c r="D744" s="4">
        <f>ROUND(E744*F744,0)</f>
        <v>30</v>
      </c>
      <c r="E744" s="10">
        <v>1</v>
      </c>
      <c r="F744" s="1">
        <v>30</v>
      </c>
      <c r="H744" s="1" t="s">
        <v>2953</v>
      </c>
    </row>
    <row r="745" spans="1:10" ht="15" x14ac:dyDescent="0.25">
      <c r="A745" s="3">
        <v>13010804</v>
      </c>
      <c r="B745" s="11" t="s">
        <v>459</v>
      </c>
      <c r="C745" s="11" t="s">
        <v>23</v>
      </c>
      <c r="D745" s="4">
        <f>ROUND(E745*F745,0)</f>
        <v>60</v>
      </c>
      <c r="E745" s="10">
        <v>1</v>
      </c>
      <c r="F745" s="1">
        <v>60</v>
      </c>
      <c r="H745" s="1" t="s">
        <v>2953</v>
      </c>
    </row>
    <row r="746" spans="1:10" ht="15" x14ac:dyDescent="0.25">
      <c r="A746" s="16">
        <v>13010804</v>
      </c>
      <c r="B746" s="11" t="s">
        <v>459</v>
      </c>
      <c r="C746" s="11" t="s">
        <v>1634</v>
      </c>
      <c r="D746" s="4">
        <f>ROUND(E746*F746,0)</f>
        <v>15</v>
      </c>
      <c r="E746" s="10">
        <v>1</v>
      </c>
      <c r="F746" s="1">
        <v>15</v>
      </c>
      <c r="H746" s="1" t="s">
        <v>2953</v>
      </c>
    </row>
    <row r="747" spans="1:10" ht="15" x14ac:dyDescent="0.25">
      <c r="A747" s="3">
        <v>13010804</v>
      </c>
      <c r="B747" s="11" t="s">
        <v>459</v>
      </c>
      <c r="C747" s="11" t="s">
        <v>1633</v>
      </c>
      <c r="D747" s="4">
        <f>ROUND(E747*F747*1.25,0)</f>
        <v>105</v>
      </c>
      <c r="E747" s="10">
        <v>1</v>
      </c>
      <c r="F747" s="1">
        <v>84</v>
      </c>
      <c r="H747" s="1" t="s">
        <v>2953</v>
      </c>
      <c r="I747" s="1" t="s">
        <v>2999</v>
      </c>
    </row>
    <row r="748" spans="1:10" ht="15" x14ac:dyDescent="0.25">
      <c r="A748" s="3">
        <v>13010805</v>
      </c>
      <c r="B748" s="11" t="s">
        <v>433</v>
      </c>
      <c r="C748" s="11" t="s">
        <v>23</v>
      </c>
      <c r="D748" s="4">
        <f>G748*2</f>
        <v>52</v>
      </c>
      <c r="F748" s="1"/>
      <c r="G748" s="1">
        <v>26</v>
      </c>
      <c r="H748" s="1" t="s">
        <v>2777</v>
      </c>
      <c r="I748" s="1" t="s">
        <v>2741</v>
      </c>
    </row>
    <row r="749" spans="1:10" ht="15" x14ac:dyDescent="0.25">
      <c r="A749" s="16">
        <v>13010805</v>
      </c>
      <c r="B749" s="11" t="s">
        <v>440</v>
      </c>
      <c r="C749" s="11" t="s">
        <v>1617</v>
      </c>
      <c r="D749" s="4">
        <v>17</v>
      </c>
      <c r="F749" s="1"/>
      <c r="G749" s="1">
        <v>17</v>
      </c>
      <c r="H749" s="1" t="s">
        <v>2777</v>
      </c>
      <c r="I749" s="1" t="s">
        <v>3145</v>
      </c>
    </row>
    <row r="750" spans="1:10" ht="15" x14ac:dyDescent="0.25">
      <c r="A750" s="3">
        <v>13010805</v>
      </c>
      <c r="B750" s="11" t="s">
        <v>433</v>
      </c>
      <c r="C750" s="11" t="s">
        <v>1611</v>
      </c>
      <c r="D750" s="4">
        <f>G750</f>
        <v>17</v>
      </c>
      <c r="F750" s="1"/>
      <c r="G750" s="1">
        <v>17</v>
      </c>
      <c r="H750" s="1" t="s">
        <v>2778</v>
      </c>
      <c r="I750" s="1" t="s">
        <v>3145</v>
      </c>
    </row>
    <row r="751" spans="1:10" ht="15" x14ac:dyDescent="0.25">
      <c r="A751" s="16">
        <v>13010805</v>
      </c>
      <c r="B751" s="11" t="s">
        <v>438</v>
      </c>
      <c r="C751" s="11" t="s">
        <v>1615</v>
      </c>
      <c r="D751" s="4">
        <v>7</v>
      </c>
      <c r="F751" s="1"/>
      <c r="G751" s="1">
        <v>7</v>
      </c>
      <c r="H751" s="1" t="s">
        <v>2773</v>
      </c>
      <c r="I751" s="1" t="s">
        <v>3028</v>
      </c>
    </row>
    <row r="752" spans="1:10" ht="15" x14ac:dyDescent="0.25">
      <c r="A752" s="3">
        <v>13010806</v>
      </c>
      <c r="B752" s="11" t="s">
        <v>441</v>
      </c>
      <c r="C752" s="11" t="s">
        <v>29</v>
      </c>
      <c r="D752" s="4">
        <f>ROUND(E752*F752,0)</f>
        <v>30</v>
      </c>
      <c r="E752" s="10">
        <v>1</v>
      </c>
      <c r="F752" s="1">
        <v>30</v>
      </c>
      <c r="H752" s="1" t="s">
        <v>2953</v>
      </c>
      <c r="I752" s="1" t="s">
        <v>3147</v>
      </c>
    </row>
    <row r="753" spans="1:10" ht="15" x14ac:dyDescent="0.25">
      <c r="A753" s="3">
        <v>13010806</v>
      </c>
      <c r="B753" s="11" t="s">
        <v>460</v>
      </c>
      <c r="C753" s="11" t="s">
        <v>1636</v>
      </c>
      <c r="D753" s="4">
        <f>ROUND(E753*F753,0)</f>
        <v>5</v>
      </c>
      <c r="E753" s="10">
        <v>1</v>
      </c>
      <c r="F753" s="1">
        <v>5</v>
      </c>
      <c r="H753" s="1" t="s">
        <v>2953</v>
      </c>
    </row>
    <row r="754" spans="1:10" ht="15" x14ac:dyDescent="0.25">
      <c r="A754" s="3">
        <v>13010806</v>
      </c>
      <c r="B754" s="11" t="s">
        <v>441</v>
      </c>
      <c r="C754" s="11" t="s">
        <v>15</v>
      </c>
      <c r="D754" s="4">
        <v>84</v>
      </c>
      <c r="E754" s="10">
        <v>1</v>
      </c>
      <c r="F754" s="1">
        <v>84</v>
      </c>
      <c r="H754" s="1" t="s">
        <v>2953</v>
      </c>
    </row>
    <row r="755" spans="1:10" ht="15" x14ac:dyDescent="0.25">
      <c r="A755" s="16">
        <v>13010806</v>
      </c>
      <c r="B755" s="11" t="s">
        <v>441</v>
      </c>
      <c r="C755" s="11" t="s">
        <v>1618</v>
      </c>
      <c r="D755" s="4">
        <f>ROUND(E755*F755,0)</f>
        <v>15</v>
      </c>
      <c r="E755" s="10">
        <v>1</v>
      </c>
      <c r="F755" s="1">
        <v>15</v>
      </c>
      <c r="H755" s="1" t="s">
        <v>2953</v>
      </c>
    </row>
    <row r="756" spans="1:10" ht="15" x14ac:dyDescent="0.25">
      <c r="A756" s="16">
        <v>13010806</v>
      </c>
      <c r="B756" s="11" t="s">
        <v>443</v>
      </c>
      <c r="C756" s="11" t="s">
        <v>1619</v>
      </c>
      <c r="D756" s="4">
        <f>ROUND(E756*F756,0)</f>
        <v>30</v>
      </c>
      <c r="E756" s="10">
        <v>1</v>
      </c>
      <c r="F756" s="1">
        <v>30</v>
      </c>
      <c r="H756" s="1" t="s">
        <v>2953</v>
      </c>
    </row>
    <row r="757" spans="1:10" ht="15" x14ac:dyDescent="0.25">
      <c r="A757" s="3">
        <v>13010806</v>
      </c>
      <c r="B757" s="11" t="s">
        <v>441</v>
      </c>
      <c r="C757" s="11" t="s">
        <v>27</v>
      </c>
      <c r="D757" s="4">
        <v>130</v>
      </c>
      <c r="E757" s="10">
        <v>1</v>
      </c>
      <c r="F757" s="1">
        <v>130</v>
      </c>
      <c r="H757" s="1" t="s">
        <v>2953</v>
      </c>
      <c r="I757" s="1" t="s">
        <v>3030</v>
      </c>
      <c r="J757" s="1" t="s">
        <v>3132</v>
      </c>
    </row>
    <row r="758" spans="1:10" ht="15" x14ac:dyDescent="0.25">
      <c r="A758" s="16">
        <v>13010806</v>
      </c>
      <c r="B758" s="11" t="s">
        <v>460</v>
      </c>
      <c r="C758" s="11" t="s">
        <v>1637</v>
      </c>
      <c r="D758" s="4">
        <f>ROUND(E758*F758,0)</f>
        <v>15</v>
      </c>
      <c r="E758" s="10">
        <v>1</v>
      </c>
      <c r="F758" s="1">
        <v>15</v>
      </c>
      <c r="H758" s="1" t="s">
        <v>2953</v>
      </c>
    </row>
    <row r="759" spans="1:10" ht="15" x14ac:dyDescent="0.25">
      <c r="A759" s="3">
        <v>13010806</v>
      </c>
      <c r="B759" s="11" t="s">
        <v>460</v>
      </c>
      <c r="C759" s="11" t="s">
        <v>1635</v>
      </c>
      <c r="D759" s="4">
        <f>ROUND(E759*F759*1.25,0)</f>
        <v>105</v>
      </c>
      <c r="E759" s="10">
        <v>1</v>
      </c>
      <c r="F759" s="1">
        <v>84</v>
      </c>
      <c r="H759" s="1" t="s">
        <v>2953</v>
      </c>
      <c r="I759" s="1" t="s">
        <v>2999</v>
      </c>
    </row>
    <row r="760" spans="1:10" ht="15" x14ac:dyDescent="0.25">
      <c r="A760" s="16">
        <v>13010807</v>
      </c>
      <c r="B760" s="11" t="s">
        <v>461</v>
      </c>
      <c r="C760" s="11" t="s">
        <v>1638</v>
      </c>
      <c r="D760" s="4">
        <v>3</v>
      </c>
      <c r="F760" s="1">
        <v>5</v>
      </c>
      <c r="G760" s="1">
        <v>3</v>
      </c>
      <c r="H760" s="1" t="s">
        <v>2773</v>
      </c>
    </row>
    <row r="761" spans="1:10" ht="15" x14ac:dyDescent="0.25">
      <c r="A761" s="3">
        <v>13010807</v>
      </c>
      <c r="B761" s="11" t="s">
        <v>434</v>
      </c>
      <c r="C761" s="11" t="s">
        <v>1612</v>
      </c>
      <c r="D761" s="4">
        <v>7</v>
      </c>
      <c r="F761" s="1"/>
      <c r="G761" s="1">
        <v>7</v>
      </c>
      <c r="H761" s="1" t="s">
        <v>2773</v>
      </c>
      <c r="I761" s="1" t="s">
        <v>3028</v>
      </c>
    </row>
    <row r="762" spans="1:10" ht="15" x14ac:dyDescent="0.25">
      <c r="A762" s="16">
        <v>13010807</v>
      </c>
      <c r="B762" s="11" t="s">
        <v>434</v>
      </c>
      <c r="C762" s="11" t="s">
        <v>13</v>
      </c>
      <c r="D762" s="4">
        <f>G762*2</f>
        <v>52</v>
      </c>
      <c r="E762" s="4"/>
      <c r="F762" s="1" t="s">
        <v>3132</v>
      </c>
      <c r="G762" s="1">
        <v>26</v>
      </c>
      <c r="H762" s="1" t="s">
        <v>2777</v>
      </c>
      <c r="I762" s="1" t="s">
        <v>2741</v>
      </c>
      <c r="J762" s="1" t="s">
        <v>3132</v>
      </c>
    </row>
    <row r="763" spans="1:10" ht="15" x14ac:dyDescent="0.25">
      <c r="A763" s="24">
        <v>13010807</v>
      </c>
      <c r="B763" s="25" t="s">
        <v>434</v>
      </c>
      <c r="C763" s="25" t="s">
        <v>0</v>
      </c>
      <c r="D763" s="4">
        <v>26</v>
      </c>
      <c r="H763" s="1" t="s">
        <v>2773</v>
      </c>
    </row>
    <row r="764" spans="1:10" ht="15" x14ac:dyDescent="0.25">
      <c r="A764" s="16">
        <v>13010807</v>
      </c>
      <c r="B764" s="11" t="s">
        <v>453</v>
      </c>
      <c r="C764" s="11" t="s">
        <v>1628</v>
      </c>
      <c r="D764" s="4">
        <v>7</v>
      </c>
      <c r="F764" s="10"/>
      <c r="G764" s="1">
        <v>7</v>
      </c>
      <c r="H764" s="1" t="s">
        <v>2773</v>
      </c>
      <c r="I764" s="1" t="s">
        <v>3028</v>
      </c>
    </row>
    <row r="765" spans="1:10" ht="15" x14ac:dyDescent="0.25">
      <c r="A765" s="16">
        <v>13010807</v>
      </c>
      <c r="B765" s="11" t="s">
        <v>445</v>
      </c>
      <c r="C765" s="11" t="s">
        <v>1621</v>
      </c>
      <c r="D765" s="4">
        <v>26</v>
      </c>
      <c r="F765" s="1"/>
      <c r="G765" s="1">
        <v>17</v>
      </c>
      <c r="H765" s="1" t="s">
        <v>2777</v>
      </c>
      <c r="I765" s="1" t="s">
        <v>3145</v>
      </c>
    </row>
    <row r="766" spans="1:10" ht="15" x14ac:dyDescent="0.25">
      <c r="A766" s="16">
        <v>13010807</v>
      </c>
      <c r="B766" s="11" t="s">
        <v>442</v>
      </c>
      <c r="C766" s="11" t="s">
        <v>1618</v>
      </c>
      <c r="D766" s="4">
        <v>13</v>
      </c>
      <c r="F766" s="1"/>
      <c r="G766" s="1">
        <v>7</v>
      </c>
      <c r="H766" s="1" t="s">
        <v>2773</v>
      </c>
      <c r="I766" s="1" t="s">
        <v>3028</v>
      </c>
    </row>
    <row r="767" spans="1:10" ht="15" x14ac:dyDescent="0.25">
      <c r="A767" s="3">
        <v>13010808</v>
      </c>
      <c r="B767" s="11" t="s">
        <v>444</v>
      </c>
      <c r="C767" s="11" t="s">
        <v>2674</v>
      </c>
      <c r="D767" s="4">
        <v>17</v>
      </c>
      <c r="F767" s="1"/>
      <c r="G767" s="1">
        <v>17</v>
      </c>
      <c r="H767" s="1" t="s">
        <v>2944</v>
      </c>
      <c r="I767" s="1" t="s">
        <v>2948</v>
      </c>
    </row>
    <row r="768" spans="1:10" ht="15" x14ac:dyDescent="0.25">
      <c r="A768" s="24">
        <v>13010808</v>
      </c>
      <c r="B768" s="25" t="s">
        <v>444</v>
      </c>
      <c r="C768" s="25" t="s">
        <v>18</v>
      </c>
      <c r="D768" s="4">
        <v>43</v>
      </c>
      <c r="H768" s="1" t="s">
        <v>2944</v>
      </c>
    </row>
    <row r="769" spans="1:9" ht="15" x14ac:dyDescent="0.25">
      <c r="A769" s="24">
        <v>13010808</v>
      </c>
      <c r="B769" s="25" t="s">
        <v>444</v>
      </c>
      <c r="C769" s="25" t="s">
        <v>1</v>
      </c>
      <c r="D769" s="4">
        <v>75</v>
      </c>
      <c r="H769" s="1" t="s">
        <v>2944</v>
      </c>
    </row>
    <row r="770" spans="1:9" ht="15" x14ac:dyDescent="0.25">
      <c r="A770" s="16">
        <v>13010808</v>
      </c>
      <c r="B770" s="11" t="s">
        <v>444</v>
      </c>
      <c r="C770" s="11" t="s">
        <v>27</v>
      </c>
      <c r="D770" s="4">
        <f>ROUND(E770*F770,0)</f>
        <v>135</v>
      </c>
      <c r="E770" s="1">
        <f>ROUND(17/16.4,2)</f>
        <v>1.04</v>
      </c>
      <c r="F770" s="1">
        <v>130</v>
      </c>
      <c r="H770" s="1" t="s">
        <v>2944</v>
      </c>
    </row>
    <row r="771" spans="1:9" ht="15" x14ac:dyDescent="0.25">
      <c r="A771" s="16">
        <v>13010808</v>
      </c>
      <c r="B771" s="11" t="s">
        <v>444</v>
      </c>
      <c r="C771" s="11" t="s">
        <v>26</v>
      </c>
      <c r="D771" s="4">
        <v>17</v>
      </c>
      <c r="F771" s="1">
        <v>8</v>
      </c>
      <c r="G771" s="1">
        <v>17</v>
      </c>
      <c r="H771" s="1" t="s">
        <v>2944</v>
      </c>
      <c r="I771" s="1" t="s">
        <v>2948</v>
      </c>
    </row>
    <row r="772" spans="1:9" ht="15" x14ac:dyDescent="0.25">
      <c r="A772" s="16">
        <v>13010808</v>
      </c>
      <c r="B772" s="11" t="s">
        <v>449</v>
      </c>
      <c r="C772" s="11" t="s">
        <v>1623</v>
      </c>
      <c r="D772" s="4">
        <v>85</v>
      </c>
      <c r="F772" s="1"/>
      <c r="G772" s="1">
        <v>85</v>
      </c>
      <c r="H772" s="1" t="s">
        <v>2944</v>
      </c>
      <c r="I772" s="1" t="s">
        <v>2947</v>
      </c>
    </row>
    <row r="773" spans="1:9" ht="15" x14ac:dyDescent="0.25">
      <c r="A773" s="16">
        <v>13010808</v>
      </c>
      <c r="B773" s="11" t="s">
        <v>444</v>
      </c>
      <c r="C773" s="11" t="s">
        <v>1620</v>
      </c>
      <c r="D773" s="4">
        <v>21</v>
      </c>
      <c r="F773" s="1"/>
      <c r="G773" s="1">
        <v>21</v>
      </c>
      <c r="H773" s="1" t="s">
        <v>2944</v>
      </c>
      <c r="I773" s="1" t="s">
        <v>2945</v>
      </c>
    </row>
    <row r="774" spans="1:9" ht="15" x14ac:dyDescent="0.25">
      <c r="A774" s="16">
        <v>13010808</v>
      </c>
      <c r="B774" s="11" t="s">
        <v>446</v>
      </c>
      <c r="C774" s="11" t="s">
        <v>1621</v>
      </c>
      <c r="D774" s="4">
        <v>43</v>
      </c>
      <c r="F774" s="1"/>
      <c r="G774" s="1">
        <v>43</v>
      </c>
      <c r="H774" s="1" t="s">
        <v>2944</v>
      </c>
      <c r="I774" s="1" t="s">
        <v>2946</v>
      </c>
    </row>
    <row r="775" spans="1:9" ht="15" x14ac:dyDescent="0.25">
      <c r="A775" s="16">
        <v>13010809</v>
      </c>
      <c r="B775" s="11" t="s">
        <v>450</v>
      </c>
      <c r="C775" s="11" t="s">
        <v>1624</v>
      </c>
      <c r="D775" s="4">
        <v>17</v>
      </c>
      <c r="F775" s="1"/>
      <c r="G775" s="1">
        <v>17</v>
      </c>
      <c r="H775" s="1" t="s">
        <v>2777</v>
      </c>
      <c r="I775" s="1" t="s">
        <v>3145</v>
      </c>
    </row>
    <row r="776" spans="1:9" ht="15" x14ac:dyDescent="0.25">
      <c r="A776" s="16">
        <v>13010809</v>
      </c>
      <c r="B776" s="11" t="s">
        <v>447</v>
      </c>
      <c r="C776" s="11" t="s">
        <v>1622</v>
      </c>
      <c r="D776" s="4">
        <v>7</v>
      </c>
      <c r="F776" s="1"/>
      <c r="G776" s="1">
        <v>7</v>
      </c>
      <c r="H776" s="1" t="s">
        <v>2773</v>
      </c>
      <c r="I776" s="1" t="s">
        <v>3028</v>
      </c>
    </row>
    <row r="777" spans="1:9" ht="15" x14ac:dyDescent="0.25">
      <c r="A777" s="3">
        <v>13010810</v>
      </c>
      <c r="B777" s="11" t="s">
        <v>448</v>
      </c>
      <c r="C777" s="11" t="s">
        <v>24</v>
      </c>
      <c r="D777" s="4">
        <f>G777</f>
        <v>42</v>
      </c>
      <c r="F777" s="1">
        <v>84</v>
      </c>
      <c r="G777" s="1">
        <f>6*7</f>
        <v>42</v>
      </c>
      <c r="H777" s="1" t="s">
        <v>2773</v>
      </c>
      <c r="I777" s="1" t="s">
        <v>3030</v>
      </c>
    </row>
    <row r="778" spans="1:9" ht="15" x14ac:dyDescent="0.25">
      <c r="A778" s="16">
        <v>13010810</v>
      </c>
      <c r="B778" s="11" t="s">
        <v>452</v>
      </c>
      <c r="C778" s="11" t="s">
        <v>1627</v>
      </c>
      <c r="D778" s="4">
        <f>G778*2</f>
        <v>52</v>
      </c>
      <c r="F778" s="1"/>
      <c r="G778" s="1">
        <v>26</v>
      </c>
      <c r="H778" s="1" t="s">
        <v>2777</v>
      </c>
      <c r="I778" s="1" t="s">
        <v>2741</v>
      </c>
    </row>
    <row r="779" spans="1:9" ht="15" x14ac:dyDescent="0.25">
      <c r="A779" s="16">
        <v>13010810</v>
      </c>
      <c r="B779" s="11" t="s">
        <v>448</v>
      </c>
      <c r="C779" s="11" t="s">
        <v>1622</v>
      </c>
      <c r="D779" s="4">
        <v>7</v>
      </c>
      <c r="F779" s="1"/>
      <c r="G779" s="1">
        <v>7</v>
      </c>
      <c r="H779" s="1" t="s">
        <v>2773</v>
      </c>
      <c r="I779" s="1" t="s">
        <v>3028</v>
      </c>
    </row>
    <row r="780" spans="1:9" ht="15" x14ac:dyDescent="0.25">
      <c r="A780" s="16">
        <v>13010810</v>
      </c>
      <c r="B780" s="11" t="s">
        <v>452</v>
      </c>
      <c r="C780" s="11" t="s">
        <v>1626</v>
      </c>
      <c r="D780" s="4">
        <v>17</v>
      </c>
      <c r="F780" s="1"/>
      <c r="G780" s="1">
        <v>17</v>
      </c>
      <c r="H780" s="1" t="s">
        <v>2777</v>
      </c>
      <c r="I780" s="1" t="s">
        <v>3145</v>
      </c>
    </row>
    <row r="781" spans="1:9" ht="15" x14ac:dyDescent="0.25">
      <c r="A781" s="24">
        <v>13010811</v>
      </c>
      <c r="B781" s="25" t="s">
        <v>2620</v>
      </c>
      <c r="C781" s="25" t="s">
        <v>18</v>
      </c>
      <c r="D781" s="4">
        <v>28</v>
      </c>
      <c r="H781" s="1" t="s">
        <v>2949</v>
      </c>
    </row>
    <row r="782" spans="1:9" ht="15" x14ac:dyDescent="0.25">
      <c r="A782" s="3">
        <v>13010811</v>
      </c>
      <c r="B782" s="11" t="s">
        <v>2620</v>
      </c>
      <c r="C782" s="11" t="s">
        <v>25</v>
      </c>
      <c r="D782" s="4">
        <f>ROUND(E782*F782,0)</f>
        <v>5</v>
      </c>
      <c r="E782" s="1">
        <v>0.92</v>
      </c>
      <c r="F782" s="1">
        <v>5</v>
      </c>
      <c r="H782" s="1" t="s">
        <v>2949</v>
      </c>
    </row>
    <row r="783" spans="1:9" ht="15" x14ac:dyDescent="0.25">
      <c r="A783" s="16">
        <v>13010811</v>
      </c>
      <c r="B783" s="11" t="s">
        <v>2620</v>
      </c>
      <c r="C783" s="11" t="s">
        <v>12</v>
      </c>
      <c r="D783" s="4">
        <f>ROUND(E783*F783,0)</f>
        <v>28</v>
      </c>
      <c r="E783" s="1">
        <v>0.92</v>
      </c>
      <c r="F783" s="1">
        <v>30</v>
      </c>
      <c r="H783" s="1" t="s">
        <v>2949</v>
      </c>
    </row>
    <row r="784" spans="1:9" ht="15" x14ac:dyDescent="0.25">
      <c r="A784" s="24">
        <v>13010811</v>
      </c>
      <c r="B784" s="25" t="s">
        <v>2620</v>
      </c>
      <c r="C784" s="25" t="s">
        <v>17</v>
      </c>
      <c r="D784" s="4">
        <v>14</v>
      </c>
      <c r="H784" s="1" t="s">
        <v>2949</v>
      </c>
    </row>
    <row r="785" spans="1:46" ht="15" x14ac:dyDescent="0.25">
      <c r="A785" s="16">
        <v>13010811</v>
      </c>
      <c r="B785" s="11" t="s">
        <v>2620</v>
      </c>
      <c r="C785" s="11" t="s">
        <v>11</v>
      </c>
      <c r="D785" s="4">
        <f>ROUND(E785*F785,0)</f>
        <v>14</v>
      </c>
      <c r="E785" s="10">
        <v>0.92</v>
      </c>
      <c r="F785" s="1">
        <v>15</v>
      </c>
      <c r="H785" s="1" t="s">
        <v>2949</v>
      </c>
    </row>
    <row r="786" spans="1:46" ht="15" x14ac:dyDescent="0.25">
      <c r="A786" s="16">
        <v>13010811</v>
      </c>
      <c r="B786" s="11" t="s">
        <v>2620</v>
      </c>
      <c r="C786" s="11" t="s">
        <v>26</v>
      </c>
      <c r="D786" s="4">
        <f>ROUND(E786*F786,0)</f>
        <v>14</v>
      </c>
      <c r="E786" s="10">
        <v>0.92</v>
      </c>
      <c r="F786" s="1">
        <v>15</v>
      </c>
      <c r="H786" s="1" t="s">
        <v>2949</v>
      </c>
    </row>
    <row r="787" spans="1:46" ht="15" x14ac:dyDescent="0.25">
      <c r="A787" s="16">
        <v>13010812</v>
      </c>
      <c r="B787" s="11" t="s">
        <v>2628</v>
      </c>
      <c r="C787" s="11" t="s">
        <v>26</v>
      </c>
      <c r="D787" s="4">
        <f>ROUND(E787*F787,0)</f>
        <v>15</v>
      </c>
      <c r="E787" s="10">
        <v>1</v>
      </c>
      <c r="F787" s="1">
        <v>15</v>
      </c>
      <c r="H787" s="1" t="s">
        <v>2953</v>
      </c>
    </row>
    <row r="788" spans="1:46" ht="15" x14ac:dyDescent="0.25">
      <c r="A788" s="3">
        <v>13010812</v>
      </c>
      <c r="B788" s="11" t="s">
        <v>2628</v>
      </c>
      <c r="C788" s="11" t="s">
        <v>24</v>
      </c>
      <c r="D788" s="4">
        <f>ROUND(E788*F788*1.25,0)</f>
        <v>105</v>
      </c>
      <c r="E788" s="10">
        <v>1</v>
      </c>
      <c r="F788" s="1">
        <v>84</v>
      </c>
      <c r="H788" s="1" t="s">
        <v>2953</v>
      </c>
      <c r="I788" s="1" t="s">
        <v>2999</v>
      </c>
    </row>
    <row r="789" spans="1:46" ht="15" x14ac:dyDescent="0.25">
      <c r="A789" s="16">
        <v>13010812</v>
      </c>
      <c r="B789" s="11" t="s">
        <v>2628</v>
      </c>
      <c r="C789" s="11" t="s">
        <v>11</v>
      </c>
      <c r="D789" s="4">
        <f t="shared" ref="D789:D795" si="27">ROUND(E789*F789,0)</f>
        <v>15</v>
      </c>
      <c r="E789" s="10">
        <v>1</v>
      </c>
      <c r="F789" s="1">
        <v>15</v>
      </c>
      <c r="H789" s="1" t="s">
        <v>2953</v>
      </c>
    </row>
    <row r="790" spans="1:46" ht="15" x14ac:dyDescent="0.25">
      <c r="A790" s="16">
        <v>13010812</v>
      </c>
      <c r="B790" s="11" t="s">
        <v>2628</v>
      </c>
      <c r="C790" s="11" t="s">
        <v>13</v>
      </c>
      <c r="D790" s="4">
        <f t="shared" si="27"/>
        <v>60</v>
      </c>
      <c r="E790" s="10">
        <v>1</v>
      </c>
      <c r="F790" s="1">
        <v>60</v>
      </c>
      <c r="H790" s="1" t="s">
        <v>2953</v>
      </c>
    </row>
    <row r="791" spans="1:46" ht="15" x14ac:dyDescent="0.25">
      <c r="A791" s="16">
        <v>13010812</v>
      </c>
      <c r="B791" s="11" t="s">
        <v>2628</v>
      </c>
      <c r="C791" s="11" t="s">
        <v>12</v>
      </c>
      <c r="D791" s="4">
        <f t="shared" si="27"/>
        <v>30</v>
      </c>
      <c r="E791" s="10">
        <v>1</v>
      </c>
      <c r="F791" s="1">
        <v>30</v>
      </c>
      <c r="H791" s="1" t="s">
        <v>2953</v>
      </c>
    </row>
    <row r="792" spans="1:46" ht="15" x14ac:dyDescent="0.25">
      <c r="A792" s="16">
        <v>13010813</v>
      </c>
      <c r="B792" s="11" t="s">
        <v>2622</v>
      </c>
      <c r="C792" s="11" t="s">
        <v>13</v>
      </c>
      <c r="D792" s="4">
        <f t="shared" si="27"/>
        <v>60</v>
      </c>
      <c r="E792" s="10">
        <v>1</v>
      </c>
      <c r="F792" s="1">
        <v>60</v>
      </c>
      <c r="H792" s="1" t="s">
        <v>2953</v>
      </c>
    </row>
    <row r="793" spans="1:46" ht="15" x14ac:dyDescent="0.25">
      <c r="A793" s="16">
        <v>13010813</v>
      </c>
      <c r="B793" s="11" t="s">
        <v>2622</v>
      </c>
      <c r="C793" s="11" t="s">
        <v>11</v>
      </c>
      <c r="D793" s="4">
        <f t="shared" si="27"/>
        <v>15</v>
      </c>
      <c r="E793" s="10">
        <v>1</v>
      </c>
      <c r="F793" s="1">
        <v>15</v>
      </c>
      <c r="H793" s="1" t="s">
        <v>2953</v>
      </c>
    </row>
    <row r="794" spans="1:46" ht="15" x14ac:dyDescent="0.25">
      <c r="A794" s="16">
        <v>13010813</v>
      </c>
      <c r="B794" s="11" t="s">
        <v>2622</v>
      </c>
      <c r="C794" s="11" t="s">
        <v>12</v>
      </c>
      <c r="D794" s="4">
        <f t="shared" si="27"/>
        <v>30</v>
      </c>
      <c r="E794" s="10">
        <v>1</v>
      </c>
      <c r="F794" s="1">
        <v>30</v>
      </c>
      <c r="H794" s="1" t="s">
        <v>2953</v>
      </c>
    </row>
    <row r="795" spans="1:46" ht="15" x14ac:dyDescent="0.25">
      <c r="A795" s="16">
        <v>13010814</v>
      </c>
      <c r="B795" s="11" t="s">
        <v>2633</v>
      </c>
      <c r="C795" s="11" t="s">
        <v>12</v>
      </c>
      <c r="D795" s="4">
        <f t="shared" si="27"/>
        <v>28</v>
      </c>
      <c r="E795" s="1">
        <v>0.92</v>
      </c>
      <c r="F795" s="1">
        <v>30</v>
      </c>
      <c r="H795" s="1" t="s">
        <v>2949</v>
      </c>
    </row>
    <row r="796" spans="1:46" ht="15" x14ac:dyDescent="0.25">
      <c r="A796" s="24">
        <v>13010814</v>
      </c>
      <c r="B796" s="25" t="s">
        <v>2633</v>
      </c>
      <c r="C796" s="25" t="s">
        <v>17</v>
      </c>
      <c r="D796" s="4">
        <v>14</v>
      </c>
      <c r="H796" s="1" t="s">
        <v>2949</v>
      </c>
    </row>
    <row r="797" spans="1:46" ht="15" x14ac:dyDescent="0.25">
      <c r="A797" s="3">
        <v>13010814</v>
      </c>
      <c r="B797" s="11" t="s">
        <v>2633</v>
      </c>
      <c r="C797" s="11" t="s">
        <v>25</v>
      </c>
      <c r="D797" s="4">
        <f>ROUND(E797*F797,0)</f>
        <v>5</v>
      </c>
      <c r="E797" s="1">
        <v>0.92</v>
      </c>
      <c r="F797" s="1">
        <v>5</v>
      </c>
      <c r="H797" s="1" t="s">
        <v>2949</v>
      </c>
    </row>
    <row r="798" spans="1:46" ht="15" x14ac:dyDescent="0.25">
      <c r="A798" s="16">
        <v>13010814</v>
      </c>
      <c r="B798" s="11" t="s">
        <v>2633</v>
      </c>
      <c r="C798" s="11" t="s">
        <v>26</v>
      </c>
      <c r="D798" s="4">
        <f>ROUND(E798*F798,0)</f>
        <v>14</v>
      </c>
      <c r="E798" s="10">
        <v>0.92</v>
      </c>
      <c r="F798" s="1">
        <v>15</v>
      </c>
      <c r="H798" s="1" t="s">
        <v>2949</v>
      </c>
    </row>
    <row r="799" spans="1:46" ht="15" x14ac:dyDescent="0.25">
      <c r="A799" s="16">
        <v>13010814</v>
      </c>
      <c r="B799" s="11" t="s">
        <v>2633</v>
      </c>
      <c r="C799" s="11" t="s">
        <v>11</v>
      </c>
      <c r="D799" s="4">
        <f>ROUND(E799*F799,0)</f>
        <v>14</v>
      </c>
      <c r="E799" s="10">
        <v>0.92</v>
      </c>
      <c r="F799" s="1">
        <v>15</v>
      </c>
      <c r="H799" s="1" t="s">
        <v>2949</v>
      </c>
    </row>
    <row r="800" spans="1:46" s="11" customFormat="1" ht="15" x14ac:dyDescent="0.25">
      <c r="A800" s="16">
        <v>13010815</v>
      </c>
      <c r="B800" s="11" t="s">
        <v>2630</v>
      </c>
      <c r="C800" s="11" t="s">
        <v>26</v>
      </c>
      <c r="D800" s="4">
        <v>14</v>
      </c>
      <c r="E800" s="10">
        <v>1</v>
      </c>
      <c r="F800" s="1">
        <v>8</v>
      </c>
      <c r="G800" s="1"/>
      <c r="H800" s="1" t="s">
        <v>2953</v>
      </c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</row>
    <row r="801" spans="1:46" ht="15" x14ac:dyDescent="0.25">
      <c r="A801" s="16">
        <v>13010815</v>
      </c>
      <c r="B801" s="11" t="s">
        <v>2630</v>
      </c>
      <c r="C801" s="11" t="s">
        <v>12</v>
      </c>
      <c r="D801" s="4">
        <f>ROUND(E801*F801,0)</f>
        <v>60</v>
      </c>
      <c r="E801" s="10">
        <v>1</v>
      </c>
      <c r="F801" s="1">
        <v>60</v>
      </c>
      <c r="H801" s="1" t="s">
        <v>2953</v>
      </c>
    </row>
    <row r="802" spans="1:46" ht="15" x14ac:dyDescent="0.25">
      <c r="A802" s="16">
        <v>13010815</v>
      </c>
      <c r="B802" s="11" t="s">
        <v>2630</v>
      </c>
      <c r="C802" s="11" t="s">
        <v>11</v>
      </c>
      <c r="D802" s="4">
        <f>ROUND(E802*F802,0)</f>
        <v>30</v>
      </c>
      <c r="E802" s="10">
        <v>1</v>
      </c>
      <c r="F802" s="1">
        <v>30</v>
      </c>
      <c r="H802" s="1" t="s">
        <v>2953</v>
      </c>
    </row>
    <row r="803" spans="1:46" ht="15" x14ac:dyDescent="0.25">
      <c r="A803" s="24">
        <v>13010816</v>
      </c>
      <c r="B803" s="25" t="s">
        <v>2627</v>
      </c>
      <c r="C803" s="25" t="s">
        <v>18</v>
      </c>
      <c r="D803" s="4">
        <v>30</v>
      </c>
      <c r="H803" s="1" t="s">
        <v>2953</v>
      </c>
    </row>
    <row r="804" spans="1:46" ht="15" x14ac:dyDescent="0.25">
      <c r="A804" s="3">
        <v>13010816</v>
      </c>
      <c r="B804" s="11" t="s">
        <v>2627</v>
      </c>
      <c r="C804" s="11" t="s">
        <v>27</v>
      </c>
      <c r="D804" s="4">
        <v>130</v>
      </c>
      <c r="E804" s="10">
        <v>1</v>
      </c>
      <c r="F804" s="1">
        <v>130</v>
      </c>
      <c r="H804" s="1" t="s">
        <v>2953</v>
      </c>
    </row>
    <row r="805" spans="1:46" ht="15" x14ac:dyDescent="0.25">
      <c r="A805" s="16">
        <v>13010816</v>
      </c>
      <c r="B805" s="11" t="s">
        <v>2627</v>
      </c>
      <c r="C805" s="11" t="s">
        <v>26</v>
      </c>
      <c r="D805" s="4">
        <f>ROUND(E805*F805,0)</f>
        <v>15</v>
      </c>
      <c r="E805" s="10">
        <v>1</v>
      </c>
      <c r="F805" s="1">
        <v>15</v>
      </c>
      <c r="H805" s="1" t="s">
        <v>2953</v>
      </c>
    </row>
    <row r="806" spans="1:46" ht="15" x14ac:dyDescent="0.25">
      <c r="A806" s="24">
        <v>13010816</v>
      </c>
      <c r="B806" s="25" t="s">
        <v>2627</v>
      </c>
      <c r="C806" s="25" t="s">
        <v>15</v>
      </c>
      <c r="D806" s="4">
        <v>50</v>
      </c>
      <c r="H806" s="1" t="s">
        <v>2953</v>
      </c>
    </row>
    <row r="807" spans="1:46" ht="15" x14ac:dyDescent="0.25">
      <c r="A807" s="24">
        <v>13010816</v>
      </c>
      <c r="B807" s="25" t="s">
        <v>2627</v>
      </c>
      <c r="C807" s="25" t="s">
        <v>24</v>
      </c>
      <c r="D807" s="21">
        <v>105</v>
      </c>
      <c r="E807" s="11"/>
      <c r="F807" s="2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</row>
    <row r="808" spans="1:46" ht="15" x14ac:dyDescent="0.25">
      <c r="A808" s="16">
        <v>13010816</v>
      </c>
      <c r="B808" s="11" t="s">
        <v>2627</v>
      </c>
      <c r="C808" s="11" t="s">
        <v>13</v>
      </c>
      <c r="D808" s="4">
        <f>ROUND(E808*F808,0)</f>
        <v>60</v>
      </c>
      <c r="E808" s="10">
        <v>1</v>
      </c>
      <c r="F808" s="1">
        <v>60</v>
      </c>
      <c r="H808" s="1" t="s">
        <v>2953</v>
      </c>
    </row>
    <row r="809" spans="1:46" ht="15" x14ac:dyDescent="0.25">
      <c r="A809" s="16">
        <v>13010816</v>
      </c>
      <c r="B809" s="11" t="s">
        <v>2627</v>
      </c>
      <c r="C809" s="11" t="s">
        <v>11</v>
      </c>
      <c r="D809" s="4">
        <f>ROUND(E809*F809,0)</f>
        <v>15</v>
      </c>
      <c r="E809" s="10">
        <v>1</v>
      </c>
      <c r="F809" s="1">
        <v>15</v>
      </c>
      <c r="H809" s="1" t="s">
        <v>2953</v>
      </c>
    </row>
    <row r="810" spans="1:46" ht="15" x14ac:dyDescent="0.25">
      <c r="A810" s="16">
        <v>13010816</v>
      </c>
      <c r="B810" s="11" t="s">
        <v>2627</v>
      </c>
      <c r="C810" s="11" t="s">
        <v>12</v>
      </c>
      <c r="D810" s="4">
        <f>ROUND(E810*F810,0)</f>
        <v>30</v>
      </c>
      <c r="E810" s="10">
        <v>1</v>
      </c>
      <c r="F810" s="1">
        <v>30</v>
      </c>
      <c r="H810" s="1" t="s">
        <v>2953</v>
      </c>
    </row>
    <row r="811" spans="1:46" ht="15" x14ac:dyDescent="0.25">
      <c r="A811" s="3">
        <v>13010901</v>
      </c>
      <c r="B811" s="11" t="s">
        <v>462</v>
      </c>
      <c r="C811" s="11" t="s">
        <v>27</v>
      </c>
      <c r="D811" s="4">
        <v>130</v>
      </c>
      <c r="E811" s="10">
        <v>1</v>
      </c>
      <c r="F811" s="1">
        <v>130</v>
      </c>
      <c r="H811" s="1" t="s">
        <v>2953</v>
      </c>
    </row>
    <row r="812" spans="1:46" ht="15" x14ac:dyDescent="0.25">
      <c r="A812" s="16">
        <v>13010901</v>
      </c>
      <c r="B812" s="11" t="s">
        <v>470</v>
      </c>
      <c r="C812" s="11" t="s">
        <v>1647</v>
      </c>
      <c r="D812" s="4">
        <f>ROUND(E812*F812,0)</f>
        <v>15</v>
      </c>
      <c r="E812" s="10">
        <v>1</v>
      </c>
      <c r="F812" s="1">
        <v>15</v>
      </c>
      <c r="H812" s="1" t="s">
        <v>2953</v>
      </c>
    </row>
    <row r="813" spans="1:46" ht="15" x14ac:dyDescent="0.25">
      <c r="A813" s="16">
        <v>13010901</v>
      </c>
      <c r="B813" s="11" t="s">
        <v>464</v>
      </c>
      <c r="C813" s="11" t="s">
        <v>1643</v>
      </c>
      <c r="D813" s="4">
        <f>ROUND(E813*F813,0)</f>
        <v>60</v>
      </c>
      <c r="E813" s="10">
        <v>1</v>
      </c>
      <c r="F813" s="1">
        <v>60</v>
      </c>
      <c r="H813" s="1" t="s">
        <v>2953</v>
      </c>
    </row>
    <row r="814" spans="1:46" ht="15" x14ac:dyDescent="0.25">
      <c r="A814" s="3">
        <v>13010901</v>
      </c>
      <c r="B814" s="11" t="s">
        <v>468</v>
      </c>
      <c r="C814" s="11" t="s">
        <v>1646</v>
      </c>
      <c r="D814" s="4">
        <f>ROUND(E814*F814*1.25,0)</f>
        <v>105</v>
      </c>
      <c r="E814" s="10">
        <v>1</v>
      </c>
      <c r="F814" s="1">
        <v>84</v>
      </c>
      <c r="H814" s="1" t="s">
        <v>2953</v>
      </c>
      <c r="I814" s="1" t="s">
        <v>2999</v>
      </c>
    </row>
    <row r="815" spans="1:46" ht="15" x14ac:dyDescent="0.25">
      <c r="A815" s="16">
        <v>13010901</v>
      </c>
      <c r="B815" s="11" t="s">
        <v>462</v>
      </c>
      <c r="C815" s="11" t="s">
        <v>1639</v>
      </c>
      <c r="D815" s="4">
        <f>ROUND(E815*F815,0)</f>
        <v>15</v>
      </c>
      <c r="E815" s="10">
        <v>1</v>
      </c>
      <c r="F815" s="1">
        <v>15</v>
      </c>
      <c r="H815" s="1" t="s">
        <v>2953</v>
      </c>
    </row>
    <row r="816" spans="1:46" ht="15" x14ac:dyDescent="0.25">
      <c r="A816" s="16">
        <v>13010901</v>
      </c>
      <c r="B816" s="11" t="s">
        <v>462</v>
      </c>
      <c r="C816" s="11" t="s">
        <v>1640</v>
      </c>
      <c r="D816" s="4">
        <f>ROUND(E816*F816,0)</f>
        <v>30</v>
      </c>
      <c r="E816" s="10">
        <v>1</v>
      </c>
      <c r="F816" s="1">
        <v>30</v>
      </c>
      <c r="H816" s="1" t="s">
        <v>2953</v>
      </c>
    </row>
    <row r="817" spans="1:46" ht="15" x14ac:dyDescent="0.25">
      <c r="A817" s="16">
        <v>13010902</v>
      </c>
      <c r="B817" s="11" t="s">
        <v>472</v>
      </c>
      <c r="C817" s="11" t="s">
        <v>1649</v>
      </c>
      <c r="D817" s="4">
        <f>ROUND(E817*F817,0)</f>
        <v>15</v>
      </c>
      <c r="E817" s="10">
        <v>1</v>
      </c>
      <c r="F817" s="1">
        <v>15</v>
      </c>
      <c r="H817" s="1" t="s">
        <v>2953</v>
      </c>
    </row>
    <row r="818" spans="1:46" ht="15" x14ac:dyDescent="0.25">
      <c r="A818" s="16">
        <v>13010902</v>
      </c>
      <c r="B818" s="11" t="s">
        <v>463</v>
      </c>
      <c r="C818" s="11" t="s">
        <v>1641</v>
      </c>
      <c r="D818" s="4">
        <f>ROUND(E818*F818,0)</f>
        <v>15</v>
      </c>
      <c r="E818" s="10">
        <v>1</v>
      </c>
      <c r="F818" s="1">
        <v>15</v>
      </c>
      <c r="H818" s="1" t="s">
        <v>2953</v>
      </c>
    </row>
    <row r="819" spans="1:46" ht="15" x14ac:dyDescent="0.25">
      <c r="A819" s="16">
        <v>13010902</v>
      </c>
      <c r="B819" s="11" t="s">
        <v>466</v>
      </c>
      <c r="C819" s="11" t="s">
        <v>1645</v>
      </c>
      <c r="D819" s="4">
        <f>ROUND(E819*F819,0)</f>
        <v>60</v>
      </c>
      <c r="E819" s="10">
        <v>1</v>
      </c>
      <c r="F819" s="1">
        <v>60</v>
      </c>
      <c r="H819" s="1" t="s">
        <v>2953</v>
      </c>
    </row>
    <row r="820" spans="1:46" ht="15" x14ac:dyDescent="0.25">
      <c r="A820" s="16">
        <v>13010902</v>
      </c>
      <c r="B820" s="11" t="s">
        <v>469</v>
      </c>
      <c r="C820" s="11" t="s">
        <v>1646</v>
      </c>
      <c r="D820" s="4">
        <f>ROUND(E820*F820*1.25,0)</f>
        <v>105</v>
      </c>
      <c r="E820" s="10">
        <v>1</v>
      </c>
      <c r="F820" s="1">
        <v>84</v>
      </c>
      <c r="H820" s="1" t="s">
        <v>2953</v>
      </c>
      <c r="I820" s="1" t="s">
        <v>2999</v>
      </c>
    </row>
    <row r="821" spans="1:46" ht="15" x14ac:dyDescent="0.25">
      <c r="A821" s="16">
        <v>13010902</v>
      </c>
      <c r="B821" s="11" t="s">
        <v>463</v>
      </c>
      <c r="C821" s="11" t="s">
        <v>1642</v>
      </c>
      <c r="D821" s="4">
        <f>ROUND(E821*F821,0)</f>
        <v>30</v>
      </c>
      <c r="E821" s="10">
        <v>1</v>
      </c>
      <c r="F821" s="1">
        <v>30</v>
      </c>
      <c r="H821" s="1" t="s">
        <v>2953</v>
      </c>
    </row>
    <row r="822" spans="1:46" ht="15" x14ac:dyDescent="0.25">
      <c r="A822" s="16">
        <v>13010903</v>
      </c>
      <c r="B822" s="11" t="s">
        <v>465</v>
      </c>
      <c r="C822" s="11" t="s">
        <v>26</v>
      </c>
      <c r="D822" s="4">
        <f>ROUND(E822*F822,0)</f>
        <v>15</v>
      </c>
      <c r="E822" s="10">
        <v>1</v>
      </c>
      <c r="F822" s="1">
        <v>15</v>
      </c>
      <c r="H822" s="1" t="s">
        <v>2953</v>
      </c>
    </row>
    <row r="823" spans="1:46" ht="15" x14ac:dyDescent="0.25">
      <c r="A823" s="3">
        <v>13010903</v>
      </c>
      <c r="B823" s="11" t="s">
        <v>465</v>
      </c>
      <c r="C823" s="11" t="s">
        <v>27</v>
      </c>
      <c r="D823" s="4">
        <v>130</v>
      </c>
      <c r="E823" s="10">
        <v>1</v>
      </c>
      <c r="F823" s="1">
        <v>130</v>
      </c>
      <c r="H823" s="1" t="s">
        <v>2953</v>
      </c>
    </row>
    <row r="824" spans="1:46" ht="15" x14ac:dyDescent="0.25">
      <c r="A824" s="16">
        <v>13010903</v>
      </c>
      <c r="B824" s="11" t="s">
        <v>465</v>
      </c>
      <c r="C824" s="11" t="s">
        <v>12</v>
      </c>
      <c r="D824" s="4">
        <f>ROUND(E824*F824,0)</f>
        <v>30</v>
      </c>
      <c r="E824" s="10">
        <v>1</v>
      </c>
      <c r="F824" s="1">
        <v>30</v>
      </c>
      <c r="H824" s="1" t="s">
        <v>2953</v>
      </c>
    </row>
    <row r="825" spans="1:46" ht="15" x14ac:dyDescent="0.25">
      <c r="A825" s="16">
        <v>13010903</v>
      </c>
      <c r="B825" s="11" t="s">
        <v>471</v>
      </c>
      <c r="C825" s="11" t="s">
        <v>1648</v>
      </c>
      <c r="D825" s="4">
        <f>ROUND(E825*F825*1.25,0)</f>
        <v>105</v>
      </c>
      <c r="E825" s="10">
        <v>1</v>
      </c>
      <c r="F825" s="1">
        <v>84</v>
      </c>
      <c r="H825" s="1" t="s">
        <v>2953</v>
      </c>
      <c r="I825" s="1" t="s">
        <v>2999</v>
      </c>
    </row>
    <row r="826" spans="1:46" ht="15" x14ac:dyDescent="0.25">
      <c r="A826" s="16">
        <v>13010903</v>
      </c>
      <c r="B826" s="11" t="s">
        <v>465</v>
      </c>
      <c r="C826" s="11" t="s">
        <v>1644</v>
      </c>
      <c r="D826" s="4">
        <f>ROUND(E826*F826,0)</f>
        <v>15</v>
      </c>
      <c r="E826" s="10">
        <v>1</v>
      </c>
      <c r="F826" s="1">
        <v>15</v>
      </c>
      <c r="H826" s="1" t="s">
        <v>2953</v>
      </c>
    </row>
    <row r="827" spans="1:46" s="11" customFormat="1" ht="15" x14ac:dyDescent="0.25">
      <c r="A827" s="16">
        <v>13010903</v>
      </c>
      <c r="B827" s="11" t="s">
        <v>467</v>
      </c>
      <c r="C827" s="11" t="s">
        <v>1645</v>
      </c>
      <c r="D827" s="4">
        <f>ROUND(E827*F827,0)</f>
        <v>60</v>
      </c>
      <c r="E827" s="10">
        <v>1</v>
      </c>
      <c r="F827" s="1">
        <v>60</v>
      </c>
      <c r="G827" s="1"/>
      <c r="H827" s="1" t="s">
        <v>2953</v>
      </c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</row>
    <row r="828" spans="1:46" s="11" customFormat="1" ht="15" x14ac:dyDescent="0.25">
      <c r="A828" s="24">
        <v>13011001</v>
      </c>
      <c r="B828" s="25" t="s">
        <v>2618</v>
      </c>
      <c r="C828" s="25" t="s">
        <v>24</v>
      </c>
      <c r="D828" s="4">
        <v>105</v>
      </c>
      <c r="E828" s="1"/>
      <c r="F828" s="4"/>
      <c r="G828" s="1"/>
      <c r="H828" s="1" t="s">
        <v>2953</v>
      </c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</row>
    <row r="829" spans="1:46" s="11" customFormat="1" ht="15" x14ac:dyDescent="0.25">
      <c r="A829" s="16">
        <v>13011001</v>
      </c>
      <c r="B829" s="11" t="s">
        <v>2618</v>
      </c>
      <c r="C829" s="11" t="s">
        <v>13</v>
      </c>
      <c r="D829" s="4">
        <f>ROUND(E829*F829,0)</f>
        <v>60</v>
      </c>
      <c r="E829" s="10">
        <v>1</v>
      </c>
      <c r="F829" s="1">
        <v>60</v>
      </c>
      <c r="G829" s="1"/>
      <c r="H829" s="1" t="s">
        <v>2953</v>
      </c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</row>
    <row r="830" spans="1:46" s="11" customFormat="1" ht="15" x14ac:dyDescent="0.25">
      <c r="A830" s="16">
        <v>13011001</v>
      </c>
      <c r="B830" s="11" t="s">
        <v>2618</v>
      </c>
      <c r="C830" s="11" t="s">
        <v>11</v>
      </c>
      <c r="D830" s="4">
        <f>ROUND(E830*F830,0)</f>
        <v>15</v>
      </c>
      <c r="E830" s="10">
        <v>1</v>
      </c>
      <c r="F830" s="1">
        <v>15</v>
      </c>
      <c r="G830" s="1"/>
      <c r="H830" s="1" t="s">
        <v>2953</v>
      </c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</row>
    <row r="831" spans="1:46" s="11" customFormat="1" ht="15" x14ac:dyDescent="0.25">
      <c r="A831" s="16">
        <v>13011001</v>
      </c>
      <c r="B831" s="11" t="s">
        <v>2618</v>
      </c>
      <c r="C831" s="11" t="s">
        <v>12</v>
      </c>
      <c r="D831" s="4">
        <f>ROUND(E831*F831,0)</f>
        <v>30</v>
      </c>
      <c r="E831" s="10">
        <v>1</v>
      </c>
      <c r="F831" s="1">
        <v>30</v>
      </c>
      <c r="G831" s="1"/>
      <c r="H831" s="1" t="s">
        <v>2953</v>
      </c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</row>
    <row r="832" spans="1:46" s="11" customFormat="1" ht="15" x14ac:dyDescent="0.25">
      <c r="A832" s="24">
        <v>13011002</v>
      </c>
      <c r="B832" s="25" t="s">
        <v>2615</v>
      </c>
      <c r="C832" s="25" t="s">
        <v>24</v>
      </c>
      <c r="D832" s="21">
        <v>105</v>
      </c>
      <c r="F832" s="21"/>
    </row>
    <row r="833" spans="1:46" s="11" customFormat="1" ht="15" x14ac:dyDescent="0.25">
      <c r="A833" s="3">
        <v>13011002</v>
      </c>
      <c r="B833" s="11" t="s">
        <v>2615</v>
      </c>
      <c r="C833" s="11" t="s">
        <v>27</v>
      </c>
      <c r="D833" s="4">
        <v>130</v>
      </c>
      <c r="E833" s="10">
        <v>1</v>
      </c>
      <c r="F833" s="1">
        <v>130</v>
      </c>
      <c r="G833" s="1"/>
      <c r="H833" s="1" t="s">
        <v>2953</v>
      </c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</row>
    <row r="834" spans="1:46" s="11" customFormat="1" ht="15" x14ac:dyDescent="0.25">
      <c r="A834" s="16">
        <v>13011002</v>
      </c>
      <c r="B834" s="11" t="s">
        <v>2615</v>
      </c>
      <c r="C834" s="11" t="s">
        <v>11</v>
      </c>
      <c r="D834" s="4">
        <f>ROUND(E834*F834,0)</f>
        <v>15</v>
      </c>
      <c r="E834" s="10">
        <v>1</v>
      </c>
      <c r="F834" s="1">
        <v>15</v>
      </c>
      <c r="G834" s="1"/>
      <c r="H834" s="1" t="s">
        <v>2953</v>
      </c>
      <c r="I834" s="5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</row>
    <row r="835" spans="1:46" s="11" customFormat="1" ht="15" x14ac:dyDescent="0.25">
      <c r="A835" s="16">
        <v>13011002</v>
      </c>
      <c r="B835" s="11" t="s">
        <v>2615</v>
      </c>
      <c r="C835" s="11" t="s">
        <v>13</v>
      </c>
      <c r="D835" s="4">
        <f>ROUND(E835*F835,0)</f>
        <v>60</v>
      </c>
      <c r="E835" s="10">
        <v>1</v>
      </c>
      <c r="F835" s="1">
        <v>60</v>
      </c>
      <c r="G835" s="1"/>
      <c r="H835" s="1" t="s">
        <v>2953</v>
      </c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</row>
    <row r="836" spans="1:46" s="11" customFormat="1" ht="15" x14ac:dyDescent="0.25">
      <c r="A836" s="16">
        <v>13011002</v>
      </c>
      <c r="B836" s="11" t="s">
        <v>2615</v>
      </c>
      <c r="C836" s="11" t="s">
        <v>12</v>
      </c>
      <c r="D836" s="4">
        <f>ROUND(E836*F836,0)</f>
        <v>30</v>
      </c>
      <c r="E836" s="10">
        <v>1</v>
      </c>
      <c r="F836" s="1">
        <v>30</v>
      </c>
      <c r="G836" s="1"/>
      <c r="H836" s="1" t="s">
        <v>2953</v>
      </c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</row>
    <row r="837" spans="1:46" s="11" customFormat="1" ht="15" x14ac:dyDescent="0.25">
      <c r="A837" s="16">
        <v>13011101</v>
      </c>
      <c r="B837" s="11" t="s">
        <v>3033</v>
      </c>
      <c r="C837" s="11" t="s">
        <v>27</v>
      </c>
      <c r="D837" s="21">
        <v>130</v>
      </c>
      <c r="E837" s="22">
        <v>1</v>
      </c>
      <c r="F837" s="11">
        <v>130</v>
      </c>
      <c r="H837" s="11" t="s">
        <v>2953</v>
      </c>
      <c r="I837" s="11" t="s">
        <v>3132</v>
      </c>
      <c r="J837" s="11" t="s">
        <v>3132</v>
      </c>
    </row>
    <row r="838" spans="1:46" ht="15" x14ac:dyDescent="0.25">
      <c r="A838" s="16">
        <v>13011101</v>
      </c>
      <c r="B838" s="11" t="s">
        <v>3033</v>
      </c>
      <c r="C838" s="11" t="s">
        <v>13</v>
      </c>
      <c r="D838" s="21">
        <f>ROUND(E838*F838,0)</f>
        <v>60</v>
      </c>
      <c r="E838" s="22">
        <v>1</v>
      </c>
      <c r="F838" s="11">
        <v>60</v>
      </c>
      <c r="G838" s="11"/>
      <c r="H838" s="11" t="s">
        <v>2953</v>
      </c>
      <c r="I838" s="11" t="s">
        <v>3132</v>
      </c>
      <c r="J838" s="11" t="s">
        <v>3132</v>
      </c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</row>
    <row r="839" spans="1:46" ht="15" x14ac:dyDescent="0.25">
      <c r="A839" s="16">
        <v>13011101</v>
      </c>
      <c r="B839" s="11" t="s">
        <v>3033</v>
      </c>
      <c r="C839" s="11" t="s">
        <v>11</v>
      </c>
      <c r="D839" s="21">
        <f>ROUND(E839*F839,0)</f>
        <v>15</v>
      </c>
      <c r="E839" s="22">
        <v>1</v>
      </c>
      <c r="F839" s="11">
        <v>15</v>
      </c>
      <c r="G839" s="11"/>
      <c r="H839" s="11" t="s">
        <v>2953</v>
      </c>
      <c r="I839" s="11" t="s">
        <v>3132</v>
      </c>
      <c r="J839" s="11" t="s">
        <v>3132</v>
      </c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</row>
    <row r="840" spans="1:46" ht="15" x14ac:dyDescent="0.25">
      <c r="A840" s="16">
        <v>13011101</v>
      </c>
      <c r="B840" s="11" t="s">
        <v>3033</v>
      </c>
      <c r="C840" s="11" t="s">
        <v>12</v>
      </c>
      <c r="D840" s="21">
        <f>ROUND(E840*F840,0)</f>
        <v>30</v>
      </c>
      <c r="E840" s="22">
        <v>1</v>
      </c>
      <c r="F840" s="11">
        <v>30</v>
      </c>
      <c r="G840" s="11"/>
      <c r="H840" s="11" t="s">
        <v>2953</v>
      </c>
      <c r="I840" s="11" t="s">
        <v>3132</v>
      </c>
      <c r="J840" s="11" t="s">
        <v>3132</v>
      </c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</row>
    <row r="841" spans="1:46" ht="15" x14ac:dyDescent="0.25">
      <c r="A841" s="24">
        <v>13011102</v>
      </c>
      <c r="B841" s="25" t="s">
        <v>3034</v>
      </c>
      <c r="C841" s="25" t="s">
        <v>26</v>
      </c>
      <c r="D841" s="21">
        <v>15</v>
      </c>
      <c r="E841" s="11"/>
      <c r="F841" s="2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</row>
    <row r="842" spans="1:46" ht="15" x14ac:dyDescent="0.25">
      <c r="A842" s="16">
        <v>13011102</v>
      </c>
      <c r="B842" s="11" t="s">
        <v>3034</v>
      </c>
      <c r="C842" s="11" t="s">
        <v>27</v>
      </c>
      <c r="D842" s="21">
        <v>130</v>
      </c>
      <c r="E842" s="22">
        <v>1</v>
      </c>
      <c r="F842" s="11">
        <v>130</v>
      </c>
      <c r="G842" s="11"/>
      <c r="H842" s="11" t="s">
        <v>2953</v>
      </c>
      <c r="I842" s="11" t="s">
        <v>3132</v>
      </c>
      <c r="J842" s="11" t="s">
        <v>3132</v>
      </c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</row>
    <row r="843" spans="1:46" ht="15" x14ac:dyDescent="0.25">
      <c r="A843" s="24">
        <v>13011102</v>
      </c>
      <c r="B843" s="25" t="s">
        <v>3034</v>
      </c>
      <c r="C843" s="25" t="s">
        <v>24</v>
      </c>
      <c r="D843" s="21">
        <v>105</v>
      </c>
      <c r="E843" s="11"/>
      <c r="F843" s="2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</row>
    <row r="844" spans="1:46" ht="15" x14ac:dyDescent="0.25">
      <c r="A844" s="16">
        <v>13011102</v>
      </c>
      <c r="B844" s="11" t="s">
        <v>3034</v>
      </c>
      <c r="C844" s="11" t="s">
        <v>13</v>
      </c>
      <c r="D844" s="21">
        <f t="shared" ref="D844:D864" si="28">ROUND(E844*F844,0)</f>
        <v>60</v>
      </c>
      <c r="E844" s="22">
        <v>1</v>
      </c>
      <c r="F844" s="11">
        <v>60</v>
      </c>
      <c r="G844" s="11"/>
      <c r="H844" s="11" t="s">
        <v>2953</v>
      </c>
      <c r="I844" s="11" t="s">
        <v>3132</v>
      </c>
      <c r="J844" s="11" t="s">
        <v>3132</v>
      </c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</row>
    <row r="845" spans="1:46" ht="15" x14ac:dyDescent="0.25">
      <c r="A845" s="16">
        <v>13011102</v>
      </c>
      <c r="B845" s="11" t="s">
        <v>3034</v>
      </c>
      <c r="C845" s="11" t="s">
        <v>12</v>
      </c>
      <c r="D845" s="21">
        <f t="shared" si="28"/>
        <v>30</v>
      </c>
      <c r="E845" s="22">
        <v>1</v>
      </c>
      <c r="F845" s="11">
        <v>30</v>
      </c>
      <c r="G845" s="11"/>
      <c r="H845" s="11" t="s">
        <v>2953</v>
      </c>
      <c r="I845" s="11" t="s">
        <v>3132</v>
      </c>
      <c r="J845" s="11" t="s">
        <v>3132</v>
      </c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</row>
    <row r="846" spans="1:46" ht="15" x14ac:dyDescent="0.25">
      <c r="A846" s="16">
        <v>13011102</v>
      </c>
      <c r="B846" s="11" t="s">
        <v>3034</v>
      </c>
      <c r="C846" s="11" t="s">
        <v>11</v>
      </c>
      <c r="D846" s="21">
        <f t="shared" si="28"/>
        <v>15</v>
      </c>
      <c r="E846" s="22">
        <v>1</v>
      </c>
      <c r="F846" s="11">
        <v>15</v>
      </c>
      <c r="G846" s="11"/>
      <c r="H846" s="11" t="s">
        <v>2953</v>
      </c>
      <c r="I846" s="11" t="s">
        <v>3132</v>
      </c>
      <c r="J846" s="11" t="s">
        <v>3132</v>
      </c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</row>
    <row r="847" spans="1:46" ht="15" x14ac:dyDescent="0.25">
      <c r="A847" s="16">
        <v>13011103</v>
      </c>
      <c r="B847" s="11" t="s">
        <v>3035</v>
      </c>
      <c r="C847" s="11" t="s">
        <v>26</v>
      </c>
      <c r="D847" s="4">
        <f t="shared" si="28"/>
        <v>15</v>
      </c>
      <c r="E847" s="10">
        <v>1</v>
      </c>
      <c r="F847" s="1">
        <v>15</v>
      </c>
      <c r="H847" s="1" t="s">
        <v>2953</v>
      </c>
      <c r="I847" s="1" t="s">
        <v>3132</v>
      </c>
      <c r="J847" s="1" t="s">
        <v>3132</v>
      </c>
    </row>
    <row r="848" spans="1:46" ht="15" x14ac:dyDescent="0.25">
      <c r="A848" s="16">
        <v>13011103</v>
      </c>
      <c r="B848" s="11" t="s">
        <v>3035</v>
      </c>
      <c r="C848" s="11" t="s">
        <v>11</v>
      </c>
      <c r="D848" s="4">
        <f t="shared" si="28"/>
        <v>15</v>
      </c>
      <c r="E848" s="10">
        <v>1</v>
      </c>
      <c r="F848" s="1">
        <v>15</v>
      </c>
      <c r="H848" s="1" t="s">
        <v>2953</v>
      </c>
      <c r="I848" s="1" t="s">
        <v>3132</v>
      </c>
      <c r="J848" s="1" t="s">
        <v>3132</v>
      </c>
    </row>
    <row r="849" spans="1:46" ht="15" x14ac:dyDescent="0.25">
      <c r="A849" s="16">
        <v>13011103</v>
      </c>
      <c r="B849" s="11" t="s">
        <v>3035</v>
      </c>
      <c r="C849" s="11" t="s">
        <v>13</v>
      </c>
      <c r="D849" s="4">
        <f t="shared" si="28"/>
        <v>60</v>
      </c>
      <c r="E849" s="10">
        <v>1</v>
      </c>
      <c r="F849" s="1">
        <v>60</v>
      </c>
      <c r="H849" s="1" t="s">
        <v>2953</v>
      </c>
      <c r="I849" s="1" t="s">
        <v>3132</v>
      </c>
      <c r="J849" s="1" t="s">
        <v>3132</v>
      </c>
    </row>
    <row r="850" spans="1:46" ht="15" x14ac:dyDescent="0.25">
      <c r="A850" s="16">
        <v>13011103</v>
      </c>
      <c r="B850" s="11" t="s">
        <v>3035</v>
      </c>
      <c r="C850" s="11" t="s">
        <v>12</v>
      </c>
      <c r="D850" s="4">
        <f t="shared" si="28"/>
        <v>30</v>
      </c>
      <c r="E850" s="10">
        <v>1</v>
      </c>
      <c r="F850" s="1">
        <v>30</v>
      </c>
      <c r="H850" s="1" t="s">
        <v>2953</v>
      </c>
      <c r="I850" s="1" t="s">
        <v>3132</v>
      </c>
      <c r="J850" s="1" t="s">
        <v>3132</v>
      </c>
    </row>
    <row r="851" spans="1:46" ht="15" x14ac:dyDescent="0.25">
      <c r="A851" s="16">
        <v>13011104</v>
      </c>
      <c r="B851" s="11" t="s">
        <v>3036</v>
      </c>
      <c r="C851" s="11" t="s">
        <v>24</v>
      </c>
      <c r="D851" s="4">
        <f t="shared" si="28"/>
        <v>77</v>
      </c>
      <c r="E851" s="10">
        <v>0.92</v>
      </c>
      <c r="F851" s="1">
        <v>84</v>
      </c>
      <c r="H851" s="1" t="s">
        <v>2949</v>
      </c>
    </row>
    <row r="852" spans="1:46" ht="15" x14ac:dyDescent="0.25">
      <c r="A852" s="3">
        <v>13011104</v>
      </c>
      <c r="B852" s="11" t="s">
        <v>3036</v>
      </c>
      <c r="C852" s="11" t="s">
        <v>27</v>
      </c>
      <c r="D852" s="4">
        <f t="shared" si="28"/>
        <v>120</v>
      </c>
      <c r="E852" s="1">
        <v>0.92</v>
      </c>
      <c r="F852" s="1">
        <v>130</v>
      </c>
      <c r="H852" s="1" t="s">
        <v>2949</v>
      </c>
    </row>
    <row r="853" spans="1:46" ht="15" x14ac:dyDescent="0.25">
      <c r="A853" s="16">
        <v>13011104</v>
      </c>
      <c r="B853" s="11" t="s">
        <v>3036</v>
      </c>
      <c r="C853" s="11" t="s">
        <v>13</v>
      </c>
      <c r="D853" s="4">
        <f t="shared" si="28"/>
        <v>55</v>
      </c>
      <c r="E853" s="1">
        <v>0.92</v>
      </c>
      <c r="F853" s="1">
        <v>60</v>
      </c>
      <c r="H853" s="1" t="s">
        <v>2949</v>
      </c>
    </row>
    <row r="854" spans="1:46" ht="15" x14ac:dyDescent="0.25">
      <c r="A854" s="3">
        <v>13011104</v>
      </c>
      <c r="B854" s="11" t="s">
        <v>3036</v>
      </c>
      <c r="C854" s="11" t="s">
        <v>25</v>
      </c>
      <c r="D854" s="1">
        <f t="shared" si="28"/>
        <v>5</v>
      </c>
      <c r="E854" s="10">
        <v>0.92</v>
      </c>
      <c r="F854" s="1">
        <v>5</v>
      </c>
      <c r="G854" s="4"/>
      <c r="H854" s="1" t="s">
        <v>2949</v>
      </c>
    </row>
    <row r="855" spans="1:46" ht="15" x14ac:dyDescent="0.25">
      <c r="A855" s="16">
        <v>13011104</v>
      </c>
      <c r="B855" s="11" t="s">
        <v>3036</v>
      </c>
      <c r="C855" s="11" t="s">
        <v>12</v>
      </c>
      <c r="D855" s="4">
        <f t="shared" si="28"/>
        <v>28</v>
      </c>
      <c r="E855" s="1">
        <v>0.92</v>
      </c>
      <c r="F855" s="1">
        <v>30</v>
      </c>
      <c r="H855" s="1" t="s">
        <v>2949</v>
      </c>
    </row>
    <row r="856" spans="1:46" ht="15" x14ac:dyDescent="0.25">
      <c r="A856" s="16">
        <v>13011104</v>
      </c>
      <c r="B856" s="11" t="s">
        <v>3036</v>
      </c>
      <c r="C856" s="11" t="s">
        <v>11</v>
      </c>
      <c r="D856" s="4">
        <f t="shared" si="28"/>
        <v>14</v>
      </c>
      <c r="E856" s="10">
        <v>0.92</v>
      </c>
      <c r="F856" s="1">
        <v>15</v>
      </c>
      <c r="H856" s="1" t="s">
        <v>2949</v>
      </c>
    </row>
    <row r="857" spans="1:46" ht="15" x14ac:dyDescent="0.25">
      <c r="A857" s="16">
        <v>13011104</v>
      </c>
      <c r="B857" s="11" t="s">
        <v>3036</v>
      </c>
      <c r="C857" s="11" t="s">
        <v>26</v>
      </c>
      <c r="D857" s="4">
        <f t="shared" si="28"/>
        <v>14</v>
      </c>
      <c r="E857" s="10">
        <v>0.92</v>
      </c>
      <c r="F857" s="1">
        <v>15</v>
      </c>
      <c r="H857" s="1" t="s">
        <v>2949</v>
      </c>
    </row>
    <row r="858" spans="1:46" ht="15" x14ac:dyDescent="0.25">
      <c r="A858" s="16">
        <v>13011105</v>
      </c>
      <c r="B858" s="11" t="s">
        <v>3037</v>
      </c>
      <c r="C858" s="11" t="s">
        <v>26</v>
      </c>
      <c r="D858" s="4">
        <f t="shared" si="28"/>
        <v>15</v>
      </c>
      <c r="E858" s="10">
        <v>1</v>
      </c>
      <c r="F858" s="1">
        <v>15</v>
      </c>
      <c r="H858" s="1" t="s">
        <v>2953</v>
      </c>
      <c r="I858" s="1" t="s">
        <v>3132</v>
      </c>
      <c r="J858" s="1" t="s">
        <v>3132</v>
      </c>
    </row>
    <row r="859" spans="1:46" ht="15" x14ac:dyDescent="0.25">
      <c r="A859" s="16">
        <v>13011105</v>
      </c>
      <c r="B859" s="11" t="s">
        <v>3037</v>
      </c>
      <c r="C859" s="11" t="s">
        <v>12</v>
      </c>
      <c r="D859" s="4">
        <f t="shared" si="28"/>
        <v>30</v>
      </c>
      <c r="E859" s="10">
        <v>1</v>
      </c>
      <c r="F859" s="1">
        <v>30</v>
      </c>
      <c r="H859" s="1" t="s">
        <v>2953</v>
      </c>
      <c r="I859" s="1" t="s">
        <v>3132</v>
      </c>
      <c r="J859" s="1" t="s">
        <v>3132</v>
      </c>
    </row>
    <row r="860" spans="1:46" s="11" customFormat="1" ht="15" x14ac:dyDescent="0.25">
      <c r="A860" s="16">
        <v>13011105</v>
      </c>
      <c r="B860" s="11" t="s">
        <v>3037</v>
      </c>
      <c r="C860" s="11" t="s">
        <v>13</v>
      </c>
      <c r="D860" s="4">
        <f t="shared" si="28"/>
        <v>60</v>
      </c>
      <c r="E860" s="10">
        <v>1</v>
      </c>
      <c r="F860" s="1">
        <v>60</v>
      </c>
      <c r="G860" s="1"/>
      <c r="H860" s="1" t="s">
        <v>2953</v>
      </c>
      <c r="I860" s="1" t="s">
        <v>3132</v>
      </c>
      <c r="J860" s="1" t="s">
        <v>3132</v>
      </c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</row>
    <row r="861" spans="1:46" s="11" customFormat="1" ht="15" x14ac:dyDescent="0.25">
      <c r="A861" s="16">
        <v>13011106</v>
      </c>
      <c r="B861" s="11" t="s">
        <v>3038</v>
      </c>
      <c r="C861" s="11" t="s">
        <v>13</v>
      </c>
      <c r="D861" s="4">
        <f t="shared" si="28"/>
        <v>120</v>
      </c>
      <c r="E861" s="10">
        <v>1</v>
      </c>
      <c r="F861" s="1">
        <v>120</v>
      </c>
      <c r="G861" s="4"/>
      <c r="H861" s="1" t="s">
        <v>2953</v>
      </c>
      <c r="I861" s="1" t="s">
        <v>3132</v>
      </c>
      <c r="J861" s="1" t="s">
        <v>3132</v>
      </c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</row>
    <row r="862" spans="1:46" s="11" customFormat="1" ht="15" x14ac:dyDescent="0.25">
      <c r="A862" s="3">
        <v>13011106</v>
      </c>
      <c r="B862" s="11" t="s">
        <v>3038</v>
      </c>
      <c r="C862" s="11" t="s">
        <v>27</v>
      </c>
      <c r="D862" s="4">
        <f t="shared" si="28"/>
        <v>130</v>
      </c>
      <c r="E862" s="10">
        <v>1</v>
      </c>
      <c r="F862" s="1">
        <v>130</v>
      </c>
      <c r="G862" s="4"/>
      <c r="H862" s="1" t="s">
        <v>2953</v>
      </c>
      <c r="I862" s="1" t="s">
        <v>3132</v>
      </c>
      <c r="J862" s="1" t="s">
        <v>3132</v>
      </c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</row>
    <row r="863" spans="1:46" s="11" customFormat="1" ht="15" x14ac:dyDescent="0.25">
      <c r="A863" s="16">
        <v>13011106</v>
      </c>
      <c r="B863" s="11" t="s">
        <v>3038</v>
      </c>
      <c r="C863" s="11" t="s">
        <v>11</v>
      </c>
      <c r="D863" s="4">
        <f t="shared" si="28"/>
        <v>30</v>
      </c>
      <c r="E863" s="10">
        <v>1</v>
      </c>
      <c r="F863" s="1">
        <v>30</v>
      </c>
      <c r="G863" s="4"/>
      <c r="H863" s="1" t="s">
        <v>2953</v>
      </c>
      <c r="I863" s="1" t="s">
        <v>3132</v>
      </c>
      <c r="J863" s="1" t="s">
        <v>3132</v>
      </c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</row>
    <row r="864" spans="1:46" s="11" customFormat="1" ht="15" x14ac:dyDescent="0.25">
      <c r="A864" s="16">
        <v>13011106</v>
      </c>
      <c r="B864" s="11" t="s">
        <v>3038</v>
      </c>
      <c r="C864" s="11" t="s">
        <v>12</v>
      </c>
      <c r="D864" s="4">
        <f t="shared" si="28"/>
        <v>60</v>
      </c>
      <c r="E864" s="10">
        <v>1</v>
      </c>
      <c r="F864" s="1">
        <v>60</v>
      </c>
      <c r="G864" s="4"/>
      <c r="H864" s="1" t="s">
        <v>2953</v>
      </c>
      <c r="I864" s="1" t="s">
        <v>3132</v>
      </c>
      <c r="J864" s="1" t="s">
        <v>3132</v>
      </c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</row>
    <row r="865" spans="1:46" s="11" customFormat="1" ht="15" x14ac:dyDescent="0.25">
      <c r="A865" s="24">
        <v>13011107</v>
      </c>
      <c r="B865" s="25" t="s">
        <v>3039</v>
      </c>
      <c r="C865" s="25" t="s">
        <v>24</v>
      </c>
      <c r="D865" s="21">
        <v>105</v>
      </c>
      <c r="F865" s="21"/>
    </row>
    <row r="866" spans="1:46" ht="15" x14ac:dyDescent="0.25">
      <c r="A866" s="3">
        <v>13011107</v>
      </c>
      <c r="B866" s="11" t="s">
        <v>3039</v>
      </c>
      <c r="C866" s="11" t="s">
        <v>27</v>
      </c>
      <c r="D866" s="4">
        <v>130</v>
      </c>
      <c r="E866" s="10">
        <v>1</v>
      </c>
      <c r="F866" s="1">
        <v>130</v>
      </c>
      <c r="H866" s="1" t="s">
        <v>2953</v>
      </c>
      <c r="I866" s="1" t="s">
        <v>3132</v>
      </c>
      <c r="J866" s="1" t="s">
        <v>3132</v>
      </c>
    </row>
    <row r="867" spans="1:46" ht="15" x14ac:dyDescent="0.25">
      <c r="A867" s="16">
        <v>13011107</v>
      </c>
      <c r="B867" s="11" t="s">
        <v>3039</v>
      </c>
      <c r="C867" s="11" t="s">
        <v>13</v>
      </c>
      <c r="D867" s="4">
        <f>ROUND(E867*F867,0)</f>
        <v>60</v>
      </c>
      <c r="E867" s="10">
        <v>1</v>
      </c>
      <c r="F867" s="1">
        <v>60</v>
      </c>
      <c r="H867" s="1" t="s">
        <v>2953</v>
      </c>
      <c r="I867" s="1" t="s">
        <v>3132</v>
      </c>
      <c r="J867" s="1" t="s">
        <v>3132</v>
      </c>
    </row>
    <row r="868" spans="1:46" ht="15" x14ac:dyDescent="0.25">
      <c r="A868" s="16">
        <v>13011107</v>
      </c>
      <c r="B868" s="11" t="s">
        <v>3039</v>
      </c>
      <c r="C868" s="11" t="s">
        <v>11</v>
      </c>
      <c r="D868" s="4">
        <f>ROUND(E868*F868,0)</f>
        <v>15</v>
      </c>
      <c r="E868" s="10">
        <v>1</v>
      </c>
      <c r="F868" s="1">
        <v>15</v>
      </c>
      <c r="H868" s="1" t="s">
        <v>2953</v>
      </c>
      <c r="I868" s="1" t="s">
        <v>3132</v>
      </c>
      <c r="J868" s="1" t="s">
        <v>3132</v>
      </c>
    </row>
    <row r="869" spans="1:46" ht="15" x14ac:dyDescent="0.25">
      <c r="A869" s="16">
        <v>13011107</v>
      </c>
      <c r="B869" s="11" t="s">
        <v>3039</v>
      </c>
      <c r="C869" s="11" t="s">
        <v>12</v>
      </c>
      <c r="D869" s="4">
        <f>ROUND(E869*F869,0)</f>
        <v>30</v>
      </c>
      <c r="E869" s="10">
        <v>1</v>
      </c>
      <c r="F869" s="1">
        <v>30</v>
      </c>
      <c r="H869" s="1" t="s">
        <v>2953</v>
      </c>
      <c r="I869" s="1" t="s">
        <v>3132</v>
      </c>
      <c r="J869" s="1" t="s">
        <v>3132</v>
      </c>
    </row>
    <row r="870" spans="1:46" ht="15" x14ac:dyDescent="0.25">
      <c r="A870" s="16">
        <v>13011108</v>
      </c>
      <c r="B870" s="11" t="s">
        <v>3040</v>
      </c>
      <c r="C870" s="11" t="s">
        <v>13</v>
      </c>
      <c r="D870" s="21">
        <f>ROUND(E870*F870,0)</f>
        <v>60</v>
      </c>
      <c r="E870" s="22">
        <v>1</v>
      </c>
      <c r="F870" s="11">
        <v>60</v>
      </c>
      <c r="G870" s="11"/>
      <c r="H870" s="11" t="s">
        <v>2953</v>
      </c>
      <c r="I870" s="11" t="s">
        <v>3132</v>
      </c>
      <c r="J870" s="11" t="s">
        <v>3132</v>
      </c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</row>
    <row r="871" spans="1:46" ht="15" x14ac:dyDescent="0.25">
      <c r="A871" s="24">
        <v>13011108</v>
      </c>
      <c r="B871" s="25" t="s">
        <v>3040</v>
      </c>
      <c r="C871" s="25" t="s">
        <v>27</v>
      </c>
      <c r="D871" s="21">
        <v>130</v>
      </c>
      <c r="E871" s="11"/>
      <c r="F871" s="21"/>
      <c r="G871" s="11"/>
      <c r="H871" s="11" t="s">
        <v>2953</v>
      </c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</row>
    <row r="872" spans="1:46" ht="15" x14ac:dyDescent="0.25">
      <c r="A872" s="16">
        <v>13011108</v>
      </c>
      <c r="B872" s="11" t="s">
        <v>3040</v>
      </c>
      <c r="C872" s="11" t="s">
        <v>12</v>
      </c>
      <c r="D872" s="21">
        <f>ROUND(E872*F872,0)</f>
        <v>30</v>
      </c>
      <c r="E872" s="22">
        <v>1</v>
      </c>
      <c r="F872" s="11">
        <v>30</v>
      </c>
      <c r="G872" s="11"/>
      <c r="H872" s="11" t="s">
        <v>2953</v>
      </c>
      <c r="I872" s="11" t="s">
        <v>3132</v>
      </c>
      <c r="J872" s="11" t="s">
        <v>3132</v>
      </c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</row>
    <row r="873" spans="1:46" ht="15" x14ac:dyDescent="0.25">
      <c r="A873" s="24">
        <v>13011108</v>
      </c>
      <c r="B873" s="25" t="s">
        <v>3040</v>
      </c>
      <c r="C873" s="25" t="s">
        <v>24</v>
      </c>
      <c r="D873" s="21">
        <v>105</v>
      </c>
      <c r="E873" s="11"/>
      <c r="F873" s="2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</row>
    <row r="874" spans="1:46" ht="15" x14ac:dyDescent="0.25">
      <c r="A874" s="16">
        <v>13011108</v>
      </c>
      <c r="B874" s="11" t="s">
        <v>3040</v>
      </c>
      <c r="C874" s="11" t="s">
        <v>11</v>
      </c>
      <c r="D874" s="21">
        <f>ROUND(E874*F874,0)</f>
        <v>15</v>
      </c>
      <c r="E874" s="22">
        <v>1</v>
      </c>
      <c r="F874" s="11">
        <v>15</v>
      </c>
      <c r="G874" s="11"/>
      <c r="H874" s="11" t="s">
        <v>2953</v>
      </c>
      <c r="I874" s="11" t="s">
        <v>3132</v>
      </c>
      <c r="J874" s="11" t="s">
        <v>3132</v>
      </c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</row>
    <row r="875" spans="1:46" ht="15" x14ac:dyDescent="0.25">
      <c r="A875" s="16">
        <v>13011109</v>
      </c>
      <c r="B875" s="11" t="s">
        <v>3041</v>
      </c>
      <c r="C875" s="11" t="s">
        <v>26</v>
      </c>
      <c r="D875" s="1">
        <v>7</v>
      </c>
      <c r="E875" s="4"/>
      <c r="F875" s="1" t="s">
        <v>3132</v>
      </c>
      <c r="G875" s="4">
        <v>7</v>
      </c>
      <c r="H875" s="1" t="s">
        <v>2773</v>
      </c>
      <c r="I875" s="1" t="s">
        <v>3132</v>
      </c>
      <c r="J875" s="1" t="s">
        <v>3132</v>
      </c>
    </row>
    <row r="876" spans="1:46" ht="15" x14ac:dyDescent="0.25">
      <c r="A876" s="16">
        <v>13011109</v>
      </c>
      <c r="B876" s="11" t="s">
        <v>3041</v>
      </c>
      <c r="C876" s="11" t="s">
        <v>12</v>
      </c>
      <c r="D876" s="4">
        <v>17</v>
      </c>
      <c r="E876" s="4"/>
      <c r="F876" s="1" t="s">
        <v>3132</v>
      </c>
      <c r="G876" s="1">
        <v>17</v>
      </c>
      <c r="H876" s="1" t="s">
        <v>2777</v>
      </c>
      <c r="I876" s="1" t="s">
        <v>3145</v>
      </c>
    </row>
    <row r="877" spans="1:46" ht="15" x14ac:dyDescent="0.25">
      <c r="A877" s="16">
        <v>13011109</v>
      </c>
      <c r="B877" s="11" t="s">
        <v>3041</v>
      </c>
      <c r="C877" s="11" t="s">
        <v>24</v>
      </c>
      <c r="D877" s="4">
        <f>G877</f>
        <v>42</v>
      </c>
      <c r="E877" s="4"/>
      <c r="F877" s="1" t="s">
        <v>3132</v>
      </c>
      <c r="G877" s="1">
        <f>6*7</f>
        <v>42</v>
      </c>
      <c r="H877" s="1" t="s">
        <v>2773</v>
      </c>
      <c r="I877" s="1" t="s">
        <v>3030</v>
      </c>
    </row>
    <row r="878" spans="1:46" ht="15" x14ac:dyDescent="0.25">
      <c r="A878" s="16">
        <v>13011109</v>
      </c>
      <c r="B878" s="11" t="s">
        <v>3041</v>
      </c>
      <c r="C878" s="11" t="s">
        <v>11</v>
      </c>
      <c r="D878" s="4">
        <v>7</v>
      </c>
      <c r="E878" s="4"/>
      <c r="F878" s="1" t="s">
        <v>3132</v>
      </c>
      <c r="G878" s="1">
        <v>7</v>
      </c>
      <c r="H878" s="1" t="s">
        <v>2773</v>
      </c>
      <c r="I878" s="1" t="s">
        <v>3028</v>
      </c>
    </row>
    <row r="879" spans="1:46" ht="15" x14ac:dyDescent="0.25">
      <c r="A879" s="16">
        <v>13011110</v>
      </c>
      <c r="B879" s="11" t="s">
        <v>3042</v>
      </c>
      <c r="C879" s="11" t="s">
        <v>24</v>
      </c>
      <c r="D879" s="21">
        <v>105</v>
      </c>
      <c r="E879" s="10">
        <v>1</v>
      </c>
      <c r="F879" s="1">
        <v>84</v>
      </c>
      <c r="H879" s="1" t="s">
        <v>2953</v>
      </c>
      <c r="I879" s="1" t="s">
        <v>2999</v>
      </c>
    </row>
    <row r="880" spans="1:46" ht="15" x14ac:dyDescent="0.25">
      <c r="A880" s="3">
        <v>13011110</v>
      </c>
      <c r="B880" s="11" t="s">
        <v>3042</v>
      </c>
      <c r="C880" s="11" t="s">
        <v>25</v>
      </c>
      <c r="D880" s="4">
        <f>ROUND(E880*F880,0)</f>
        <v>5</v>
      </c>
      <c r="E880" s="10">
        <v>1</v>
      </c>
      <c r="F880" s="1">
        <v>5</v>
      </c>
      <c r="G880" s="4"/>
      <c r="H880" s="1" t="s">
        <v>2953</v>
      </c>
      <c r="I880" s="1" t="s">
        <v>3132</v>
      </c>
      <c r="J880" s="1" t="s">
        <v>3132</v>
      </c>
    </row>
    <row r="881" spans="1:10" ht="15" x14ac:dyDescent="0.25">
      <c r="A881" s="16">
        <v>13011110</v>
      </c>
      <c r="B881" s="11" t="s">
        <v>3042</v>
      </c>
      <c r="C881" s="11" t="s">
        <v>26</v>
      </c>
      <c r="D881" s="4">
        <f>ROUND(E881*F881,0)</f>
        <v>15</v>
      </c>
      <c r="E881" s="10">
        <v>1</v>
      </c>
      <c r="F881" s="1">
        <v>15</v>
      </c>
      <c r="H881" s="1" t="s">
        <v>2953</v>
      </c>
      <c r="I881" s="1" t="s">
        <v>3132</v>
      </c>
      <c r="J881" s="1" t="s">
        <v>3132</v>
      </c>
    </row>
    <row r="882" spans="1:10" ht="15" x14ac:dyDescent="0.25">
      <c r="A882" s="3">
        <v>13011110</v>
      </c>
      <c r="B882" s="11" t="s">
        <v>3042</v>
      </c>
      <c r="C882" s="11" t="s">
        <v>27</v>
      </c>
      <c r="D882" s="4">
        <v>130</v>
      </c>
      <c r="E882" s="10">
        <v>1</v>
      </c>
      <c r="F882" s="1">
        <v>130</v>
      </c>
      <c r="H882" s="1" t="s">
        <v>2953</v>
      </c>
      <c r="I882" s="1" t="s">
        <v>3030</v>
      </c>
      <c r="J882" s="1" t="s">
        <v>3132</v>
      </c>
    </row>
    <row r="883" spans="1:10" ht="15" x14ac:dyDescent="0.25">
      <c r="A883" s="16">
        <v>13011110</v>
      </c>
      <c r="B883" s="11" t="s">
        <v>3042</v>
      </c>
      <c r="C883" s="11" t="s">
        <v>11</v>
      </c>
      <c r="D883" s="4">
        <f t="shared" ref="D883:D890" si="29">ROUND(E883*F883,0)</f>
        <v>15</v>
      </c>
      <c r="E883" s="10">
        <v>1</v>
      </c>
      <c r="F883" s="1">
        <v>15</v>
      </c>
      <c r="H883" s="1" t="s">
        <v>2953</v>
      </c>
      <c r="I883" s="1" t="s">
        <v>3132</v>
      </c>
      <c r="J883" s="1" t="s">
        <v>3132</v>
      </c>
    </row>
    <row r="884" spans="1:10" ht="15" x14ac:dyDescent="0.25">
      <c r="A884" s="16">
        <v>13011110</v>
      </c>
      <c r="B884" s="11" t="s">
        <v>3042</v>
      </c>
      <c r="C884" s="11" t="s">
        <v>13</v>
      </c>
      <c r="D884" s="4">
        <f t="shared" si="29"/>
        <v>60</v>
      </c>
      <c r="E884" s="10">
        <v>1</v>
      </c>
      <c r="F884" s="1">
        <v>60</v>
      </c>
      <c r="H884" s="1" t="s">
        <v>2953</v>
      </c>
      <c r="I884" s="1" t="s">
        <v>3132</v>
      </c>
      <c r="J884" s="1" t="s">
        <v>3132</v>
      </c>
    </row>
    <row r="885" spans="1:10" ht="15" x14ac:dyDescent="0.25">
      <c r="A885" s="16">
        <v>13011110</v>
      </c>
      <c r="B885" s="11" t="s">
        <v>3042</v>
      </c>
      <c r="C885" s="11" t="s">
        <v>12</v>
      </c>
      <c r="D885" s="4">
        <f t="shared" si="29"/>
        <v>30</v>
      </c>
      <c r="E885" s="10">
        <v>1</v>
      </c>
      <c r="F885" s="1">
        <v>30</v>
      </c>
      <c r="H885" s="1" t="s">
        <v>2953</v>
      </c>
      <c r="I885" s="1" t="s">
        <v>3132</v>
      </c>
      <c r="J885" s="1" t="s">
        <v>3132</v>
      </c>
    </row>
    <row r="886" spans="1:10" ht="15" x14ac:dyDescent="0.25">
      <c r="A886" s="3">
        <v>13011111</v>
      </c>
      <c r="B886" s="11" t="s">
        <v>3043</v>
      </c>
      <c r="C886" s="11" t="s">
        <v>25</v>
      </c>
      <c r="D886" s="4">
        <f t="shared" si="29"/>
        <v>5</v>
      </c>
      <c r="E886" s="1">
        <v>0.92</v>
      </c>
      <c r="F886" s="1">
        <v>5</v>
      </c>
      <c r="G886" s="4"/>
      <c r="H886" s="1" t="s">
        <v>2949</v>
      </c>
    </row>
    <row r="887" spans="1:10" ht="15" x14ac:dyDescent="0.25">
      <c r="A887" s="16">
        <v>13011111</v>
      </c>
      <c r="B887" s="11" t="s">
        <v>3043</v>
      </c>
      <c r="C887" s="11" t="s">
        <v>13</v>
      </c>
      <c r="D887" s="4">
        <f t="shared" si="29"/>
        <v>55</v>
      </c>
      <c r="E887" s="1">
        <v>0.92</v>
      </c>
      <c r="F887" s="1">
        <v>60</v>
      </c>
      <c r="H887" s="1" t="s">
        <v>2949</v>
      </c>
    </row>
    <row r="888" spans="1:10" ht="15" x14ac:dyDescent="0.25">
      <c r="A888" s="16">
        <v>13011111</v>
      </c>
      <c r="B888" s="11" t="s">
        <v>3043</v>
      </c>
      <c r="C888" s="11" t="s">
        <v>26</v>
      </c>
      <c r="D888" s="4">
        <f t="shared" si="29"/>
        <v>14</v>
      </c>
      <c r="E888" s="10">
        <v>0.92</v>
      </c>
      <c r="F888" s="1">
        <v>15</v>
      </c>
      <c r="H888" s="1" t="s">
        <v>2949</v>
      </c>
    </row>
    <row r="889" spans="1:10" ht="15" x14ac:dyDescent="0.25">
      <c r="A889" s="16">
        <v>13011111</v>
      </c>
      <c r="B889" s="11" t="s">
        <v>3043</v>
      </c>
      <c r="C889" s="11" t="s">
        <v>11</v>
      </c>
      <c r="D889" s="4">
        <f t="shared" si="29"/>
        <v>14</v>
      </c>
      <c r="E889" s="10">
        <v>0.92</v>
      </c>
      <c r="F889" s="1">
        <v>15</v>
      </c>
      <c r="H889" s="1" t="s">
        <v>2949</v>
      </c>
    </row>
    <row r="890" spans="1:10" ht="15" x14ac:dyDescent="0.25">
      <c r="A890" s="16">
        <v>13011111</v>
      </c>
      <c r="B890" s="11" t="s">
        <v>3043</v>
      </c>
      <c r="C890" s="11" t="s">
        <v>12</v>
      </c>
      <c r="D890" s="4">
        <f t="shared" si="29"/>
        <v>28</v>
      </c>
      <c r="E890" s="1">
        <v>0.92</v>
      </c>
      <c r="F890" s="1">
        <v>30</v>
      </c>
      <c r="H890" s="1" t="s">
        <v>2949</v>
      </c>
    </row>
    <row r="891" spans="1:10" ht="15" x14ac:dyDescent="0.25">
      <c r="A891" s="16">
        <v>13011112</v>
      </c>
      <c r="B891" s="11" t="s">
        <v>3044</v>
      </c>
      <c r="C891" s="11" t="s">
        <v>26</v>
      </c>
      <c r="D891" s="1">
        <v>7</v>
      </c>
      <c r="E891" s="4"/>
      <c r="F891" s="1" t="s">
        <v>3132</v>
      </c>
      <c r="G891" s="4">
        <v>7</v>
      </c>
      <c r="H891" s="1" t="s">
        <v>2773</v>
      </c>
      <c r="I891" s="1" t="s">
        <v>3132</v>
      </c>
      <c r="J891" s="1" t="s">
        <v>3132</v>
      </c>
    </row>
    <row r="892" spans="1:10" ht="15" x14ac:dyDescent="0.25">
      <c r="A892" s="16">
        <v>13011112</v>
      </c>
      <c r="B892" s="11" t="s">
        <v>3044</v>
      </c>
      <c r="C892" s="11" t="s">
        <v>13</v>
      </c>
      <c r="D892" s="4">
        <f>G892*2</f>
        <v>52</v>
      </c>
      <c r="E892" s="4"/>
      <c r="F892" s="1" t="s">
        <v>3132</v>
      </c>
      <c r="G892" s="1">
        <v>26</v>
      </c>
      <c r="H892" s="1" t="s">
        <v>2777</v>
      </c>
      <c r="I892" s="1" t="s">
        <v>2741</v>
      </c>
      <c r="J892" s="1" t="s">
        <v>3132</v>
      </c>
    </row>
    <row r="893" spans="1:10" ht="15" x14ac:dyDescent="0.25">
      <c r="A893" s="16">
        <v>13011112</v>
      </c>
      <c r="B893" s="11" t="s">
        <v>3044</v>
      </c>
      <c r="C893" s="11" t="s">
        <v>11</v>
      </c>
      <c r="D893" s="4">
        <v>7</v>
      </c>
      <c r="E893" s="4"/>
      <c r="F893" s="1" t="s">
        <v>3132</v>
      </c>
      <c r="G893" s="1">
        <v>7</v>
      </c>
      <c r="H893" s="1" t="s">
        <v>2773</v>
      </c>
      <c r="I893" s="1" t="s">
        <v>3028</v>
      </c>
    </row>
    <row r="894" spans="1:10" ht="15" x14ac:dyDescent="0.25">
      <c r="A894" s="16">
        <v>13011112</v>
      </c>
      <c r="B894" s="11" t="s">
        <v>3044</v>
      </c>
      <c r="C894" s="11" t="s">
        <v>12</v>
      </c>
      <c r="D894" s="4">
        <v>17</v>
      </c>
      <c r="E894" s="4"/>
      <c r="F894" s="1" t="s">
        <v>3132</v>
      </c>
      <c r="G894" s="1">
        <v>17</v>
      </c>
      <c r="H894" s="1" t="s">
        <v>2777</v>
      </c>
      <c r="I894" s="1" t="s">
        <v>3145</v>
      </c>
    </row>
    <row r="895" spans="1:10" ht="15" x14ac:dyDescent="0.25">
      <c r="A895" s="16">
        <v>13011113</v>
      </c>
      <c r="B895" s="11" t="s">
        <v>3045</v>
      </c>
      <c r="C895" s="11" t="s">
        <v>13</v>
      </c>
      <c r="D895" s="4">
        <f>ROUND(E895*F895,0)</f>
        <v>58</v>
      </c>
      <c r="E895" s="10">
        <v>0.96</v>
      </c>
      <c r="F895" s="1">
        <v>60</v>
      </c>
      <c r="G895" s="4"/>
      <c r="H895" s="1" t="s">
        <v>2953</v>
      </c>
      <c r="I895" s="1" t="s">
        <v>3132</v>
      </c>
      <c r="J895" s="1" t="s">
        <v>3132</v>
      </c>
    </row>
    <row r="896" spans="1:10" ht="15" x14ac:dyDescent="0.25">
      <c r="A896" s="16">
        <v>13011113</v>
      </c>
      <c r="B896" s="11" t="s">
        <v>3045</v>
      </c>
      <c r="C896" s="11" t="s">
        <v>26</v>
      </c>
      <c r="D896" s="4">
        <f>ROUND(E896*F896,0)</f>
        <v>14</v>
      </c>
      <c r="E896" s="10">
        <v>0.96</v>
      </c>
      <c r="F896" s="1">
        <v>15</v>
      </c>
      <c r="G896" s="4"/>
      <c r="H896" s="1" t="s">
        <v>2953</v>
      </c>
      <c r="I896" s="1" t="s">
        <v>3132</v>
      </c>
      <c r="J896" s="1" t="s">
        <v>3132</v>
      </c>
    </row>
    <row r="897" spans="1:10" ht="15" x14ac:dyDescent="0.25">
      <c r="A897" s="3">
        <v>13011113</v>
      </c>
      <c r="B897" s="11" t="s">
        <v>3045</v>
      </c>
      <c r="C897" s="11" t="s">
        <v>27</v>
      </c>
      <c r="D897" s="4">
        <f>ROUND(E897*F897,0)</f>
        <v>125</v>
      </c>
      <c r="E897" s="10">
        <v>0.96</v>
      </c>
      <c r="F897" s="1">
        <v>130</v>
      </c>
      <c r="G897" s="4"/>
      <c r="H897" s="1" t="s">
        <v>2953</v>
      </c>
      <c r="I897" s="1" t="s">
        <v>3132</v>
      </c>
      <c r="J897" s="1" t="s">
        <v>3132</v>
      </c>
    </row>
    <row r="898" spans="1:10" ht="15" x14ac:dyDescent="0.25">
      <c r="A898" s="16">
        <v>13011113</v>
      </c>
      <c r="B898" s="11" t="s">
        <v>3045</v>
      </c>
      <c r="C898" s="11" t="s">
        <v>11</v>
      </c>
      <c r="D898" s="4">
        <f>ROUND(E898*F898,0)</f>
        <v>14</v>
      </c>
      <c r="E898" s="10">
        <v>0.96</v>
      </c>
      <c r="F898" s="1">
        <v>15</v>
      </c>
      <c r="G898" s="4"/>
      <c r="H898" s="1" t="s">
        <v>2953</v>
      </c>
      <c r="I898" s="1" t="s">
        <v>3132</v>
      </c>
      <c r="J898" s="1" t="s">
        <v>3132</v>
      </c>
    </row>
    <row r="899" spans="1:10" ht="15" x14ac:dyDescent="0.25">
      <c r="A899" s="16">
        <v>13011113</v>
      </c>
      <c r="B899" s="11" t="s">
        <v>3045</v>
      </c>
      <c r="C899" s="11" t="s">
        <v>12</v>
      </c>
      <c r="D899" s="4">
        <f>ROUND(E899*F899,0)</f>
        <v>29</v>
      </c>
      <c r="E899" s="10">
        <v>0.96</v>
      </c>
      <c r="F899" s="1">
        <v>30</v>
      </c>
      <c r="G899" s="4"/>
      <c r="H899" s="1" t="s">
        <v>2953</v>
      </c>
      <c r="I899" s="1" t="s">
        <v>3132</v>
      </c>
      <c r="J899" s="1" t="s">
        <v>3132</v>
      </c>
    </row>
    <row r="900" spans="1:10" ht="15" x14ac:dyDescent="0.25">
      <c r="A900" s="16">
        <v>13019901</v>
      </c>
      <c r="B900" s="11" t="s">
        <v>3046</v>
      </c>
      <c r="C900" s="11" t="s">
        <v>11</v>
      </c>
      <c r="D900" s="4">
        <v>7</v>
      </c>
      <c r="E900" s="4"/>
      <c r="F900" s="1" t="s">
        <v>3132</v>
      </c>
      <c r="G900" s="1">
        <v>7</v>
      </c>
      <c r="H900" s="1" t="s">
        <v>2773</v>
      </c>
      <c r="I900" s="1" t="s">
        <v>3028</v>
      </c>
    </row>
    <row r="901" spans="1:10" ht="15" x14ac:dyDescent="0.25">
      <c r="A901" s="16">
        <v>13019901</v>
      </c>
      <c r="B901" s="11" t="s">
        <v>3046</v>
      </c>
      <c r="C901" s="11" t="s">
        <v>12</v>
      </c>
      <c r="D901" s="4">
        <v>17</v>
      </c>
      <c r="E901" s="4"/>
      <c r="F901" s="1" t="s">
        <v>3132</v>
      </c>
      <c r="G901" s="1">
        <v>17</v>
      </c>
      <c r="H901" s="1" t="s">
        <v>2777</v>
      </c>
      <c r="I901" s="1" t="s">
        <v>3145</v>
      </c>
    </row>
    <row r="902" spans="1:10" ht="15" x14ac:dyDescent="0.25">
      <c r="A902" s="16">
        <v>13019901</v>
      </c>
      <c r="B902" s="11" t="s">
        <v>3046</v>
      </c>
      <c r="C902" s="11" t="s">
        <v>26</v>
      </c>
      <c r="D902" s="1">
        <v>7</v>
      </c>
      <c r="E902" s="4"/>
      <c r="F902" s="1" t="s">
        <v>3132</v>
      </c>
      <c r="G902" s="4">
        <v>7</v>
      </c>
      <c r="H902" s="1" t="s">
        <v>2773</v>
      </c>
      <c r="I902" s="1" t="s">
        <v>3132</v>
      </c>
      <c r="J902" s="1" t="s">
        <v>3132</v>
      </c>
    </row>
    <row r="903" spans="1:10" ht="15" x14ac:dyDescent="0.25">
      <c r="A903" s="16">
        <v>13019902</v>
      </c>
      <c r="B903" s="11" t="s">
        <v>3047</v>
      </c>
      <c r="C903" s="11" t="s">
        <v>13</v>
      </c>
      <c r="D903" s="4">
        <f>ROUND(E903*F903,0)</f>
        <v>60</v>
      </c>
      <c r="E903" s="10">
        <v>1</v>
      </c>
      <c r="F903" s="1">
        <v>60</v>
      </c>
      <c r="H903" s="1" t="s">
        <v>2953</v>
      </c>
      <c r="I903" s="1" t="s">
        <v>3132</v>
      </c>
      <c r="J903" s="1" t="s">
        <v>3132</v>
      </c>
    </row>
    <row r="904" spans="1:10" ht="15" x14ac:dyDescent="0.25">
      <c r="A904" s="16">
        <v>13019902</v>
      </c>
      <c r="B904" s="11" t="s">
        <v>3047</v>
      </c>
      <c r="C904" s="11" t="s">
        <v>24</v>
      </c>
      <c r="D904" s="21">
        <v>105</v>
      </c>
      <c r="E904" s="10">
        <v>1</v>
      </c>
      <c r="F904" s="1">
        <v>84</v>
      </c>
      <c r="H904" s="1" t="s">
        <v>2953</v>
      </c>
      <c r="I904" s="1" t="s">
        <v>2999</v>
      </c>
    </row>
    <row r="905" spans="1:10" ht="15" x14ac:dyDescent="0.25">
      <c r="A905" s="3">
        <v>13019902</v>
      </c>
      <c r="B905" s="11" t="s">
        <v>3047</v>
      </c>
      <c r="C905" s="11" t="s">
        <v>27</v>
      </c>
      <c r="D905" s="4">
        <v>130</v>
      </c>
      <c r="E905" s="10">
        <v>1</v>
      </c>
      <c r="F905" s="1">
        <v>130</v>
      </c>
      <c r="H905" s="1" t="s">
        <v>2953</v>
      </c>
      <c r="I905" s="1" t="s">
        <v>3132</v>
      </c>
      <c r="J905" s="1" t="s">
        <v>3132</v>
      </c>
    </row>
    <row r="906" spans="1:10" ht="15" x14ac:dyDescent="0.25">
      <c r="A906" s="24">
        <v>13019902</v>
      </c>
      <c r="B906" s="25" t="s">
        <v>3047</v>
      </c>
      <c r="C906" s="25" t="s">
        <v>12</v>
      </c>
      <c r="D906" s="4">
        <v>30</v>
      </c>
      <c r="H906" s="1" t="s">
        <v>2953</v>
      </c>
    </row>
    <row r="907" spans="1:10" ht="15" x14ac:dyDescent="0.25">
      <c r="A907" s="16">
        <v>13019902</v>
      </c>
      <c r="B907" s="11" t="s">
        <v>3047</v>
      </c>
      <c r="C907" s="11" t="s">
        <v>11</v>
      </c>
      <c r="D907" s="4">
        <f>ROUND(E907*F907,0)</f>
        <v>15</v>
      </c>
      <c r="E907" s="10">
        <v>1</v>
      </c>
      <c r="F907" s="1">
        <v>15</v>
      </c>
      <c r="H907" s="1" t="s">
        <v>2953</v>
      </c>
      <c r="I907" s="1" t="s">
        <v>3132</v>
      </c>
      <c r="J907" s="1" t="s">
        <v>3132</v>
      </c>
    </row>
    <row r="908" spans="1:10" ht="15" x14ac:dyDescent="0.25">
      <c r="A908" s="16">
        <v>13019902</v>
      </c>
      <c r="B908" s="11" t="s">
        <v>3047</v>
      </c>
      <c r="C908" s="11" t="s">
        <v>26</v>
      </c>
      <c r="D908" s="4">
        <f>ROUND(E908*F908,0)</f>
        <v>15</v>
      </c>
      <c r="E908" s="10">
        <v>1</v>
      </c>
      <c r="F908" s="1">
        <v>15</v>
      </c>
      <c r="H908" s="1" t="s">
        <v>2953</v>
      </c>
      <c r="I908" s="1" t="s">
        <v>3132</v>
      </c>
      <c r="J908" s="1" t="s">
        <v>3132</v>
      </c>
    </row>
    <row r="909" spans="1:10" ht="15" x14ac:dyDescent="0.25">
      <c r="A909" s="16">
        <v>13019903</v>
      </c>
      <c r="B909" s="11" t="s">
        <v>3048</v>
      </c>
      <c r="C909" s="11" t="s">
        <v>26</v>
      </c>
      <c r="D909" s="4">
        <f>ROUND(E909*F909,0)</f>
        <v>7</v>
      </c>
      <c r="E909" s="1">
        <v>0.92</v>
      </c>
      <c r="F909" s="1">
        <v>8</v>
      </c>
      <c r="G909" s="4"/>
      <c r="H909" s="1" t="s">
        <v>2953</v>
      </c>
      <c r="I909" s="1" t="s">
        <v>3132</v>
      </c>
      <c r="J909" s="1" t="s">
        <v>3132</v>
      </c>
    </row>
    <row r="910" spans="1:10" ht="15" x14ac:dyDescent="0.25">
      <c r="A910" s="16">
        <v>13019903</v>
      </c>
      <c r="B910" s="11" t="s">
        <v>3048</v>
      </c>
      <c r="C910" s="11" t="s">
        <v>13</v>
      </c>
      <c r="D910" s="4">
        <v>110</v>
      </c>
    </row>
    <row r="911" spans="1:10" ht="15" x14ac:dyDescent="0.25">
      <c r="A911" s="16">
        <v>13019903</v>
      </c>
      <c r="B911" s="11" t="s">
        <v>3048</v>
      </c>
      <c r="C911" s="11" t="s">
        <v>27</v>
      </c>
      <c r="D911" s="4">
        <f>ROUND(E911*F911,0)</f>
        <v>120</v>
      </c>
      <c r="E911" s="1">
        <v>0.92</v>
      </c>
      <c r="F911" s="1">
        <v>130</v>
      </c>
      <c r="G911" s="4"/>
      <c r="H911" s="1" t="s">
        <v>2953</v>
      </c>
      <c r="I911" s="1" t="s">
        <v>3132</v>
      </c>
      <c r="J911" s="1" t="s">
        <v>3132</v>
      </c>
    </row>
    <row r="912" spans="1:10" ht="15" x14ac:dyDescent="0.25">
      <c r="A912" s="16">
        <v>13019903</v>
      </c>
      <c r="B912" s="11" t="s">
        <v>3048</v>
      </c>
      <c r="C912" s="11" t="s">
        <v>11</v>
      </c>
      <c r="D912" s="4">
        <f>ROUND(E912*F912,0)</f>
        <v>28</v>
      </c>
      <c r="E912" s="1">
        <v>0.92</v>
      </c>
      <c r="F912" s="1">
        <v>30</v>
      </c>
      <c r="G912" s="4"/>
      <c r="H912" s="1" t="s">
        <v>2953</v>
      </c>
      <c r="I912" s="1" t="s">
        <v>3132</v>
      </c>
      <c r="J912" s="1" t="s">
        <v>3132</v>
      </c>
    </row>
    <row r="913" spans="1:10" ht="15" x14ac:dyDescent="0.25">
      <c r="A913" s="16">
        <v>13019903</v>
      </c>
      <c r="B913" s="11" t="s">
        <v>3048</v>
      </c>
      <c r="C913" s="11" t="s">
        <v>12</v>
      </c>
      <c r="D913" s="4">
        <f>ROUND(E913*F913,0)</f>
        <v>55</v>
      </c>
      <c r="E913" s="1">
        <v>0.92</v>
      </c>
      <c r="F913" s="1">
        <v>60</v>
      </c>
      <c r="G913" s="4"/>
      <c r="H913" s="1" t="s">
        <v>2953</v>
      </c>
      <c r="I913" s="1" t="s">
        <v>3132</v>
      </c>
      <c r="J913" s="1" t="s">
        <v>3132</v>
      </c>
    </row>
    <row r="914" spans="1:10" ht="15" x14ac:dyDescent="0.25">
      <c r="A914" s="16">
        <v>13019903</v>
      </c>
      <c r="B914" s="11" t="s">
        <v>3048</v>
      </c>
      <c r="C914" s="11" t="s">
        <v>25</v>
      </c>
      <c r="D914" s="4">
        <v>4</v>
      </c>
    </row>
    <row r="915" spans="1:10" ht="15" x14ac:dyDescent="0.25">
      <c r="A915" s="16">
        <v>13019903</v>
      </c>
      <c r="B915" s="11" t="s">
        <v>3048</v>
      </c>
      <c r="C915" s="11" t="s">
        <v>17</v>
      </c>
      <c r="D915" s="4">
        <v>28</v>
      </c>
    </row>
    <row r="916" spans="1:10" ht="15" x14ac:dyDescent="0.25">
      <c r="A916" s="16">
        <v>13019903</v>
      </c>
      <c r="B916" s="11" t="s">
        <v>3048</v>
      </c>
      <c r="C916" s="11" t="s">
        <v>24</v>
      </c>
      <c r="D916" s="4">
        <v>97</v>
      </c>
    </row>
    <row r="917" spans="1:10" ht="15" x14ac:dyDescent="0.25">
      <c r="A917" s="16">
        <v>13019904</v>
      </c>
      <c r="B917" s="11" t="s">
        <v>3049</v>
      </c>
      <c r="C917" s="11" t="s">
        <v>13</v>
      </c>
      <c r="D917" s="4">
        <f>ROUND(E917*F917,0)</f>
        <v>120</v>
      </c>
      <c r="E917" s="10">
        <v>1</v>
      </c>
      <c r="F917" s="1">
        <v>120</v>
      </c>
      <c r="G917" s="4"/>
      <c r="H917" s="1" t="s">
        <v>2953</v>
      </c>
      <c r="I917" s="1" t="s">
        <v>3132</v>
      </c>
      <c r="J917" s="1" t="s">
        <v>3132</v>
      </c>
    </row>
    <row r="918" spans="1:10" ht="15" x14ac:dyDescent="0.25">
      <c r="A918" s="16">
        <v>13019904</v>
      </c>
      <c r="B918" s="11" t="s">
        <v>3049</v>
      </c>
      <c r="C918" s="11" t="s">
        <v>12</v>
      </c>
      <c r="D918" s="4">
        <f>ROUND(E918*F918,0)</f>
        <v>60</v>
      </c>
      <c r="E918" s="10">
        <v>1</v>
      </c>
      <c r="F918" s="1">
        <v>60</v>
      </c>
      <c r="G918" s="4"/>
      <c r="H918" s="1" t="s">
        <v>2953</v>
      </c>
      <c r="I918" s="1" t="s">
        <v>3132</v>
      </c>
      <c r="J918" s="1" t="s">
        <v>3132</v>
      </c>
    </row>
    <row r="919" spans="1:10" ht="15" x14ac:dyDescent="0.25">
      <c r="A919" s="16">
        <v>13019904</v>
      </c>
      <c r="B919" s="11" t="s">
        <v>3049</v>
      </c>
      <c r="C919" s="11" t="s">
        <v>11</v>
      </c>
      <c r="D919" s="4">
        <f>ROUND(E919*F919,0)</f>
        <v>30</v>
      </c>
      <c r="E919" s="10">
        <v>1</v>
      </c>
      <c r="F919" s="1">
        <v>30</v>
      </c>
      <c r="G919" s="4"/>
      <c r="H919" s="1" t="s">
        <v>2953</v>
      </c>
      <c r="I919" s="1" t="s">
        <v>3132</v>
      </c>
      <c r="J919" s="1" t="s">
        <v>3132</v>
      </c>
    </row>
    <row r="920" spans="1:10" ht="15" x14ac:dyDescent="0.25">
      <c r="A920" s="16">
        <v>13019905</v>
      </c>
      <c r="B920" s="11" t="s">
        <v>3050</v>
      </c>
      <c r="C920" s="11" t="s">
        <v>26</v>
      </c>
      <c r="D920" s="1">
        <v>7</v>
      </c>
      <c r="E920" s="4"/>
      <c r="F920" s="1" t="s">
        <v>3132</v>
      </c>
      <c r="G920" s="4">
        <v>7</v>
      </c>
      <c r="H920" s="1" t="s">
        <v>2773</v>
      </c>
      <c r="I920" s="1" t="s">
        <v>3132</v>
      </c>
      <c r="J920" s="1" t="s">
        <v>3132</v>
      </c>
    </row>
    <row r="921" spans="1:10" ht="15" x14ac:dyDescent="0.25">
      <c r="A921" s="3">
        <v>13019905</v>
      </c>
      <c r="B921" s="11" t="s">
        <v>3050</v>
      </c>
      <c r="C921" s="11" t="s">
        <v>27</v>
      </c>
      <c r="D921" s="4">
        <f>G921</f>
        <v>56</v>
      </c>
      <c r="E921" s="4"/>
      <c r="F921" s="1" t="s">
        <v>3132</v>
      </c>
      <c r="G921" s="4">
        <f>7*8</f>
        <v>56</v>
      </c>
      <c r="H921" s="1" t="s">
        <v>2773</v>
      </c>
      <c r="I921" s="1" t="s">
        <v>3025</v>
      </c>
    </row>
    <row r="922" spans="1:10" ht="15" x14ac:dyDescent="0.25">
      <c r="A922" s="16">
        <v>13019905</v>
      </c>
      <c r="B922" s="11" t="s">
        <v>3050</v>
      </c>
      <c r="C922" s="11" t="s">
        <v>13</v>
      </c>
      <c r="D922" s="4">
        <f>G922*2</f>
        <v>52</v>
      </c>
      <c r="E922" s="4"/>
      <c r="F922" s="1" t="s">
        <v>3132</v>
      </c>
      <c r="G922" s="1">
        <v>26</v>
      </c>
      <c r="H922" s="1" t="s">
        <v>2777</v>
      </c>
      <c r="I922" s="1" t="s">
        <v>2741</v>
      </c>
      <c r="J922" s="1" t="s">
        <v>3132</v>
      </c>
    </row>
    <row r="923" spans="1:10" ht="15" x14ac:dyDescent="0.25">
      <c r="A923" s="16">
        <v>13019905</v>
      </c>
      <c r="B923" s="11" t="s">
        <v>3050</v>
      </c>
      <c r="C923" s="11" t="s">
        <v>11</v>
      </c>
      <c r="D923" s="4">
        <v>7</v>
      </c>
      <c r="E923" s="4"/>
      <c r="F923" s="1" t="s">
        <v>3132</v>
      </c>
      <c r="G923" s="1">
        <v>7</v>
      </c>
      <c r="H923" s="1" t="s">
        <v>2773</v>
      </c>
      <c r="I923" s="1" t="s">
        <v>3028</v>
      </c>
    </row>
    <row r="924" spans="1:10" ht="15" x14ac:dyDescent="0.25">
      <c r="A924" s="16">
        <v>13019905</v>
      </c>
      <c r="B924" s="11" t="s">
        <v>3050</v>
      </c>
      <c r="C924" s="11" t="s">
        <v>12</v>
      </c>
      <c r="D924" s="4">
        <v>17</v>
      </c>
      <c r="E924" s="4"/>
      <c r="F924" s="1" t="s">
        <v>3132</v>
      </c>
      <c r="G924" s="1">
        <v>17</v>
      </c>
      <c r="H924" s="1" t="s">
        <v>2777</v>
      </c>
      <c r="I924" s="1" t="s">
        <v>3145</v>
      </c>
    </row>
    <row r="925" spans="1:10" ht="14.1" customHeight="1" x14ac:dyDescent="0.25">
      <c r="A925" s="24">
        <v>13019906</v>
      </c>
      <c r="B925" s="25" t="s">
        <v>3051</v>
      </c>
      <c r="C925" s="25" t="s">
        <v>24</v>
      </c>
      <c r="D925" s="4">
        <v>77</v>
      </c>
      <c r="H925" s="1" t="s">
        <v>2949</v>
      </c>
    </row>
    <row r="926" spans="1:10" ht="15" x14ac:dyDescent="0.25">
      <c r="A926" s="3">
        <v>13019906</v>
      </c>
      <c r="B926" s="11" t="s">
        <v>3051</v>
      </c>
      <c r="C926" s="11" t="s">
        <v>27</v>
      </c>
      <c r="D926" s="4">
        <f>ROUND(E926*F926,0)</f>
        <v>120</v>
      </c>
      <c r="E926" s="1">
        <v>0.92</v>
      </c>
      <c r="F926" s="1">
        <v>130</v>
      </c>
      <c r="H926" s="1" t="s">
        <v>2949</v>
      </c>
    </row>
    <row r="927" spans="1:10" ht="15" x14ac:dyDescent="0.25">
      <c r="A927" s="16">
        <v>13019906</v>
      </c>
      <c r="B927" s="11" t="s">
        <v>3051</v>
      </c>
      <c r="C927" s="11" t="s">
        <v>26</v>
      </c>
      <c r="D927" s="4">
        <f>ROUND(E927*F927,0)</f>
        <v>14</v>
      </c>
      <c r="E927" s="10">
        <v>0.92</v>
      </c>
      <c r="F927" s="1">
        <v>15</v>
      </c>
      <c r="H927" s="1" t="s">
        <v>2949</v>
      </c>
    </row>
    <row r="928" spans="1:10" ht="15" x14ac:dyDescent="0.25">
      <c r="A928" s="16">
        <v>13019906</v>
      </c>
      <c r="B928" s="11" t="s">
        <v>3051</v>
      </c>
      <c r="C928" s="11" t="s">
        <v>13</v>
      </c>
      <c r="D928" s="4">
        <f>ROUND(E928*F928,0)</f>
        <v>55</v>
      </c>
      <c r="E928" s="1">
        <v>0.92</v>
      </c>
      <c r="F928" s="1">
        <v>60</v>
      </c>
      <c r="H928" s="1" t="s">
        <v>2949</v>
      </c>
    </row>
    <row r="929" spans="1:10" ht="15" x14ac:dyDescent="0.25">
      <c r="A929" s="16">
        <v>13019906</v>
      </c>
      <c r="B929" s="11" t="s">
        <v>3051</v>
      </c>
      <c r="C929" s="11" t="s">
        <v>12</v>
      </c>
      <c r="D929" s="4">
        <f>ROUND(E929*F929,0)</f>
        <v>28</v>
      </c>
      <c r="E929" s="1">
        <v>0.92</v>
      </c>
      <c r="F929" s="1">
        <v>30</v>
      </c>
      <c r="H929" s="1" t="s">
        <v>2949</v>
      </c>
    </row>
    <row r="930" spans="1:10" ht="15" x14ac:dyDescent="0.25">
      <c r="A930" s="16">
        <v>13019906</v>
      </c>
      <c r="B930" s="11" t="s">
        <v>3051</v>
      </c>
      <c r="C930" s="11" t="s">
        <v>11</v>
      </c>
      <c r="D930" s="4">
        <f>ROUND(E930*F930,0)</f>
        <v>14</v>
      </c>
      <c r="E930" s="10">
        <v>0.92</v>
      </c>
      <c r="F930" s="1">
        <v>15</v>
      </c>
      <c r="H930" s="1" t="s">
        <v>2949</v>
      </c>
    </row>
    <row r="931" spans="1:10" ht="15" x14ac:dyDescent="0.25">
      <c r="A931" s="16">
        <v>13019907</v>
      </c>
      <c r="B931" s="11" t="s">
        <v>3052</v>
      </c>
      <c r="C931" s="11" t="s">
        <v>24</v>
      </c>
      <c r="D931" s="21">
        <v>105</v>
      </c>
      <c r="E931" s="10">
        <v>1</v>
      </c>
      <c r="F931" s="1">
        <v>84</v>
      </c>
      <c r="H931" s="1" t="s">
        <v>2953</v>
      </c>
      <c r="I931" s="1" t="s">
        <v>2999</v>
      </c>
    </row>
    <row r="932" spans="1:10" ht="15" x14ac:dyDescent="0.25">
      <c r="A932" s="16">
        <v>13019907</v>
      </c>
      <c r="B932" s="11" t="s">
        <v>3052</v>
      </c>
      <c r="C932" s="11" t="s">
        <v>26</v>
      </c>
      <c r="D932" s="4">
        <f>ROUND(E932*F932,0)</f>
        <v>15</v>
      </c>
      <c r="E932" s="10">
        <v>1</v>
      </c>
      <c r="F932" s="1">
        <v>15</v>
      </c>
      <c r="H932" s="1" t="s">
        <v>2953</v>
      </c>
      <c r="I932" s="1" t="s">
        <v>3132</v>
      </c>
      <c r="J932" s="1" t="s">
        <v>3132</v>
      </c>
    </row>
    <row r="933" spans="1:10" ht="15" x14ac:dyDescent="0.25">
      <c r="A933" s="16">
        <v>13019907</v>
      </c>
      <c r="B933" s="11" t="s">
        <v>3052</v>
      </c>
      <c r="C933" s="11" t="s">
        <v>13</v>
      </c>
      <c r="D933" s="4">
        <f>ROUND(E933*F933,0)</f>
        <v>60</v>
      </c>
      <c r="E933" s="10">
        <v>1</v>
      </c>
      <c r="F933" s="1">
        <v>60</v>
      </c>
      <c r="H933" s="1" t="s">
        <v>2953</v>
      </c>
      <c r="I933" s="1" t="s">
        <v>3132</v>
      </c>
      <c r="J933" s="1" t="s">
        <v>3132</v>
      </c>
    </row>
    <row r="934" spans="1:10" ht="15" x14ac:dyDescent="0.25">
      <c r="A934" s="3">
        <v>13019907</v>
      </c>
      <c r="B934" s="11" t="s">
        <v>3052</v>
      </c>
      <c r="C934" s="11" t="s">
        <v>27</v>
      </c>
      <c r="D934" s="4">
        <v>130</v>
      </c>
      <c r="E934" s="10">
        <v>1</v>
      </c>
      <c r="F934" s="1">
        <v>130</v>
      </c>
      <c r="H934" s="1" t="s">
        <v>2953</v>
      </c>
      <c r="I934" s="1" t="s">
        <v>3132</v>
      </c>
      <c r="J934" s="1" t="s">
        <v>3132</v>
      </c>
    </row>
    <row r="935" spans="1:10" ht="15" x14ac:dyDescent="0.25">
      <c r="A935" s="16">
        <v>13019907</v>
      </c>
      <c r="B935" s="11" t="s">
        <v>3052</v>
      </c>
      <c r="C935" s="11" t="s">
        <v>12</v>
      </c>
      <c r="D935" s="4">
        <f>ROUND(E935*F935,0)</f>
        <v>30</v>
      </c>
      <c r="E935" s="10">
        <v>1</v>
      </c>
      <c r="F935" s="1">
        <v>30</v>
      </c>
      <c r="H935" s="1" t="s">
        <v>2953</v>
      </c>
      <c r="I935" s="1" t="s">
        <v>3132</v>
      </c>
      <c r="J935" s="1" t="s">
        <v>3132</v>
      </c>
    </row>
    <row r="936" spans="1:10" ht="15" x14ac:dyDescent="0.25">
      <c r="A936" s="16">
        <v>13019907</v>
      </c>
      <c r="B936" s="11" t="s">
        <v>3052</v>
      </c>
      <c r="C936" s="11" t="s">
        <v>11</v>
      </c>
      <c r="D936" s="4">
        <f>ROUND(E936*F936,0)</f>
        <v>15</v>
      </c>
      <c r="E936" s="10">
        <v>1</v>
      </c>
      <c r="F936" s="1">
        <v>15</v>
      </c>
      <c r="H936" s="1" t="s">
        <v>2953</v>
      </c>
      <c r="I936" s="1" t="s">
        <v>3132</v>
      </c>
      <c r="J936" s="1" t="s">
        <v>3132</v>
      </c>
    </row>
    <row r="937" spans="1:10" ht="15" x14ac:dyDescent="0.25">
      <c r="A937" s="24">
        <v>13019908</v>
      </c>
      <c r="B937" s="25" t="s">
        <v>3053</v>
      </c>
      <c r="C937" s="25" t="s">
        <v>26</v>
      </c>
      <c r="D937" s="4">
        <v>15</v>
      </c>
      <c r="H937" s="1" t="s">
        <v>2953</v>
      </c>
    </row>
    <row r="938" spans="1:10" ht="15" x14ac:dyDescent="0.25">
      <c r="A938" s="16">
        <v>13019908</v>
      </c>
      <c r="B938" s="11" t="s">
        <v>3053</v>
      </c>
      <c r="C938" s="11" t="s">
        <v>24</v>
      </c>
      <c r="D938" s="21">
        <v>105</v>
      </c>
      <c r="E938" s="10">
        <v>1</v>
      </c>
      <c r="F938" s="1">
        <v>84</v>
      </c>
      <c r="H938" s="1" t="s">
        <v>2953</v>
      </c>
      <c r="I938" s="1" t="s">
        <v>2999</v>
      </c>
    </row>
    <row r="939" spans="1:10" ht="15" x14ac:dyDescent="0.25">
      <c r="A939" s="16">
        <v>13019908</v>
      </c>
      <c r="B939" s="11" t="s">
        <v>3053</v>
      </c>
      <c r="C939" s="11" t="s">
        <v>13</v>
      </c>
      <c r="D939" s="4">
        <f t="shared" ref="D939:D951" si="30">ROUND(E939*F939,0)</f>
        <v>60</v>
      </c>
      <c r="E939" s="10">
        <v>1</v>
      </c>
      <c r="F939" s="1">
        <v>60</v>
      </c>
      <c r="H939" s="1" t="s">
        <v>2953</v>
      </c>
      <c r="I939" s="1" t="s">
        <v>3132</v>
      </c>
      <c r="J939" s="1" t="s">
        <v>3132</v>
      </c>
    </row>
    <row r="940" spans="1:10" ht="15" x14ac:dyDescent="0.25">
      <c r="A940" s="16">
        <v>13019908</v>
      </c>
      <c r="B940" s="11" t="s">
        <v>3053</v>
      </c>
      <c r="C940" s="11" t="s">
        <v>11</v>
      </c>
      <c r="D940" s="4">
        <f t="shared" si="30"/>
        <v>15</v>
      </c>
      <c r="E940" s="10">
        <v>1</v>
      </c>
      <c r="F940" s="1">
        <v>15</v>
      </c>
      <c r="H940" s="1" t="s">
        <v>2953</v>
      </c>
      <c r="I940" s="1" t="s">
        <v>3132</v>
      </c>
      <c r="J940" s="1" t="s">
        <v>3132</v>
      </c>
    </row>
    <row r="941" spans="1:10" ht="15" x14ac:dyDescent="0.25">
      <c r="A941" s="16">
        <v>13019908</v>
      </c>
      <c r="B941" s="11" t="s">
        <v>3053</v>
      </c>
      <c r="C941" s="11" t="s">
        <v>12</v>
      </c>
      <c r="D941" s="4">
        <f t="shared" si="30"/>
        <v>30</v>
      </c>
      <c r="E941" s="10">
        <v>1</v>
      </c>
      <c r="F941" s="1">
        <v>30</v>
      </c>
      <c r="H941" s="1" t="s">
        <v>2953</v>
      </c>
      <c r="I941" s="1" t="s">
        <v>3132</v>
      </c>
      <c r="J941" s="1" t="s">
        <v>3132</v>
      </c>
    </row>
    <row r="942" spans="1:10" ht="15" x14ac:dyDescent="0.25">
      <c r="A942" s="16">
        <v>13019909</v>
      </c>
      <c r="B942" s="11" t="s">
        <v>3054</v>
      </c>
      <c r="C942" s="11" t="s">
        <v>26</v>
      </c>
      <c r="D942" s="4">
        <f t="shared" si="30"/>
        <v>14</v>
      </c>
      <c r="E942" s="10">
        <v>0.96</v>
      </c>
      <c r="F942" s="1">
        <v>15</v>
      </c>
      <c r="G942" s="4"/>
      <c r="H942" s="1" t="s">
        <v>2953</v>
      </c>
      <c r="I942" s="1" t="s">
        <v>3132</v>
      </c>
      <c r="J942" s="1" t="s">
        <v>3132</v>
      </c>
    </row>
    <row r="943" spans="1:10" ht="15" x14ac:dyDescent="0.25">
      <c r="A943" s="16">
        <v>13019909</v>
      </c>
      <c r="B943" s="11" t="s">
        <v>3054</v>
      </c>
      <c r="C943" s="11" t="s">
        <v>13</v>
      </c>
      <c r="D943" s="4">
        <f t="shared" si="30"/>
        <v>58</v>
      </c>
      <c r="E943" s="10">
        <v>0.96</v>
      </c>
      <c r="F943" s="1">
        <v>60</v>
      </c>
      <c r="G943" s="4"/>
      <c r="H943" s="1" t="s">
        <v>2953</v>
      </c>
      <c r="I943" s="1" t="s">
        <v>3132</v>
      </c>
      <c r="J943" s="1" t="s">
        <v>3132</v>
      </c>
    </row>
    <row r="944" spans="1:10" ht="15" x14ac:dyDescent="0.25">
      <c r="A944" s="16">
        <v>13019909</v>
      </c>
      <c r="B944" s="11" t="s">
        <v>3054</v>
      </c>
      <c r="C944" s="11" t="s">
        <v>11</v>
      </c>
      <c r="D944" s="4">
        <f t="shared" si="30"/>
        <v>14</v>
      </c>
      <c r="E944" s="10">
        <v>0.96</v>
      </c>
      <c r="F944" s="1">
        <v>15</v>
      </c>
      <c r="G944" s="4"/>
      <c r="H944" s="1" t="s">
        <v>2953</v>
      </c>
      <c r="I944" s="1" t="s">
        <v>3132</v>
      </c>
      <c r="J944" s="1" t="s">
        <v>3132</v>
      </c>
    </row>
    <row r="945" spans="1:46" ht="15" x14ac:dyDescent="0.25">
      <c r="A945" s="16">
        <v>13019909</v>
      </c>
      <c r="B945" s="11" t="s">
        <v>3054</v>
      </c>
      <c r="C945" s="11" t="s">
        <v>12</v>
      </c>
      <c r="D945" s="4">
        <f t="shared" si="30"/>
        <v>29</v>
      </c>
      <c r="E945" s="10">
        <v>0.96</v>
      </c>
      <c r="F945" s="1">
        <v>30</v>
      </c>
      <c r="G945" s="4"/>
      <c r="H945" s="1" t="s">
        <v>2953</v>
      </c>
      <c r="I945" s="1" t="s">
        <v>3132</v>
      </c>
      <c r="J945" s="1" t="s">
        <v>3132</v>
      </c>
    </row>
    <row r="946" spans="1:46" ht="15" x14ac:dyDescent="0.25">
      <c r="A946" s="16">
        <v>13019910</v>
      </c>
      <c r="B946" s="11" t="s">
        <v>3055</v>
      </c>
      <c r="C946" s="11" t="s">
        <v>11</v>
      </c>
      <c r="D946" s="4">
        <f t="shared" si="30"/>
        <v>30</v>
      </c>
      <c r="E946" s="10">
        <v>1</v>
      </c>
      <c r="F946" s="1">
        <v>30</v>
      </c>
      <c r="G946" s="4"/>
      <c r="H946" s="1" t="s">
        <v>2953</v>
      </c>
      <c r="I946" s="1" t="s">
        <v>3132</v>
      </c>
      <c r="J946" s="1" t="s">
        <v>3132</v>
      </c>
    </row>
    <row r="947" spans="1:46" ht="15" x14ac:dyDescent="0.25">
      <c r="A947" s="16">
        <v>13019910</v>
      </c>
      <c r="B947" s="11" t="s">
        <v>3055</v>
      </c>
      <c r="C947" s="11" t="s">
        <v>24</v>
      </c>
      <c r="D947" s="4">
        <f t="shared" si="30"/>
        <v>84</v>
      </c>
      <c r="E947" s="10">
        <v>1</v>
      </c>
      <c r="F947" s="1">
        <v>84</v>
      </c>
      <c r="G947" s="4"/>
      <c r="H947" s="1" t="s">
        <v>2953</v>
      </c>
      <c r="I947" s="1" t="s">
        <v>3132</v>
      </c>
      <c r="J947" s="1" t="s">
        <v>3132</v>
      </c>
    </row>
    <row r="948" spans="1:46" ht="15" x14ac:dyDescent="0.25">
      <c r="A948" s="3">
        <v>13019910</v>
      </c>
      <c r="B948" s="11" t="s">
        <v>3055</v>
      </c>
      <c r="C948" s="11" t="s">
        <v>27</v>
      </c>
      <c r="D948" s="4">
        <f t="shared" si="30"/>
        <v>130</v>
      </c>
      <c r="E948" s="10">
        <v>1</v>
      </c>
      <c r="F948" s="1">
        <v>130</v>
      </c>
      <c r="G948" s="4"/>
      <c r="H948" s="1" t="s">
        <v>2953</v>
      </c>
      <c r="I948" s="1" t="s">
        <v>3132</v>
      </c>
      <c r="J948" s="1" t="s">
        <v>3132</v>
      </c>
    </row>
    <row r="949" spans="1:46" s="11" customFormat="1" ht="15" x14ac:dyDescent="0.25">
      <c r="A949" s="16">
        <v>13019910</v>
      </c>
      <c r="B949" s="11" t="s">
        <v>3055</v>
      </c>
      <c r="C949" s="11" t="s">
        <v>26</v>
      </c>
      <c r="D949" s="4">
        <f t="shared" si="30"/>
        <v>15</v>
      </c>
      <c r="E949" s="10">
        <v>1</v>
      </c>
      <c r="F949" s="1">
        <v>15</v>
      </c>
      <c r="G949" s="4"/>
      <c r="H949" s="1" t="s">
        <v>2953</v>
      </c>
      <c r="I949" s="1" t="s">
        <v>3132</v>
      </c>
      <c r="J949" s="1" t="s">
        <v>3132</v>
      </c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</row>
    <row r="950" spans="1:46" s="11" customFormat="1" ht="15" x14ac:dyDescent="0.25">
      <c r="A950" s="16">
        <v>13019910</v>
      </c>
      <c r="B950" s="11" t="s">
        <v>3055</v>
      </c>
      <c r="C950" s="11" t="s">
        <v>13</v>
      </c>
      <c r="D950" s="4">
        <f t="shared" si="30"/>
        <v>120</v>
      </c>
      <c r="E950" s="10">
        <v>1</v>
      </c>
      <c r="F950" s="1">
        <v>120</v>
      </c>
      <c r="G950" s="4"/>
      <c r="H950" s="1" t="s">
        <v>2953</v>
      </c>
      <c r="I950" s="1" t="s">
        <v>3132</v>
      </c>
      <c r="J950" s="1" t="s">
        <v>3132</v>
      </c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</row>
    <row r="951" spans="1:46" s="11" customFormat="1" ht="15" x14ac:dyDescent="0.25">
      <c r="A951" s="16">
        <v>13019910</v>
      </c>
      <c r="B951" s="11" t="s">
        <v>3055</v>
      </c>
      <c r="C951" s="11" t="s">
        <v>12</v>
      </c>
      <c r="D951" s="4">
        <f t="shared" si="30"/>
        <v>60</v>
      </c>
      <c r="E951" s="10">
        <v>1</v>
      </c>
      <c r="F951" s="1">
        <v>60</v>
      </c>
      <c r="G951" s="4"/>
      <c r="H951" s="1" t="s">
        <v>2953</v>
      </c>
      <c r="I951" s="1" t="s">
        <v>3132</v>
      </c>
      <c r="J951" s="1" t="s">
        <v>3132</v>
      </c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</row>
    <row r="952" spans="1:46" s="11" customFormat="1" ht="15" x14ac:dyDescent="0.25">
      <c r="A952" s="16">
        <v>13019911</v>
      </c>
      <c r="B952" s="11" t="s">
        <v>3056</v>
      </c>
      <c r="C952" s="11" t="s">
        <v>26</v>
      </c>
      <c r="D952" s="1">
        <v>7</v>
      </c>
      <c r="E952" s="4"/>
      <c r="F952" s="1" t="s">
        <v>3132</v>
      </c>
      <c r="G952" s="4">
        <v>7</v>
      </c>
      <c r="H952" s="1" t="s">
        <v>2773</v>
      </c>
      <c r="I952" s="1" t="s">
        <v>3132</v>
      </c>
      <c r="J952" s="1" t="s">
        <v>3132</v>
      </c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</row>
    <row r="953" spans="1:46" s="11" customFormat="1" ht="15" x14ac:dyDescent="0.25">
      <c r="A953" s="16">
        <v>13019911</v>
      </c>
      <c r="B953" s="11" t="s">
        <v>3056</v>
      </c>
      <c r="C953" s="11" t="s">
        <v>13</v>
      </c>
      <c r="D953" s="4">
        <f>G953*2</f>
        <v>52</v>
      </c>
      <c r="E953" s="4"/>
      <c r="F953" s="1" t="s">
        <v>3132</v>
      </c>
      <c r="G953" s="1">
        <v>26</v>
      </c>
      <c r="H953" s="1" t="s">
        <v>2777</v>
      </c>
      <c r="I953" s="1" t="s">
        <v>2741</v>
      </c>
      <c r="J953" s="1" t="s">
        <v>3132</v>
      </c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</row>
    <row r="954" spans="1:46" s="11" customFormat="1" ht="15" x14ac:dyDescent="0.25">
      <c r="A954" s="16">
        <v>13019911</v>
      </c>
      <c r="B954" s="11" t="s">
        <v>3056</v>
      </c>
      <c r="C954" s="11" t="s">
        <v>11</v>
      </c>
      <c r="D954" s="4">
        <v>7</v>
      </c>
      <c r="E954" s="4"/>
      <c r="F954" s="1" t="s">
        <v>3132</v>
      </c>
      <c r="G954" s="1">
        <v>7</v>
      </c>
      <c r="H954" s="1" t="s">
        <v>2773</v>
      </c>
      <c r="I954" s="1" t="s">
        <v>3028</v>
      </c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</row>
    <row r="955" spans="1:46" s="11" customFormat="1" ht="15" x14ac:dyDescent="0.25">
      <c r="A955" s="16">
        <v>13019911</v>
      </c>
      <c r="B955" s="11" t="s">
        <v>3056</v>
      </c>
      <c r="C955" s="11" t="s">
        <v>12</v>
      </c>
      <c r="D955" s="4">
        <v>17</v>
      </c>
      <c r="E955" s="4"/>
      <c r="F955" s="1" t="s">
        <v>3132</v>
      </c>
      <c r="G955" s="1">
        <v>17</v>
      </c>
      <c r="H955" s="1" t="s">
        <v>2777</v>
      </c>
      <c r="I955" s="1" t="s">
        <v>3145</v>
      </c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</row>
    <row r="956" spans="1:46" s="11" customFormat="1" ht="15" x14ac:dyDescent="0.25">
      <c r="A956" s="16">
        <v>13019912</v>
      </c>
      <c r="B956" s="11" t="s">
        <v>3057</v>
      </c>
      <c r="C956" s="11" t="s">
        <v>11</v>
      </c>
      <c r="D956" s="4">
        <v>7</v>
      </c>
      <c r="E956" s="1"/>
      <c r="F956" s="4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</row>
    <row r="957" spans="1:46" s="11" customFormat="1" ht="15" x14ac:dyDescent="0.25">
      <c r="A957" s="16">
        <v>13019912</v>
      </c>
      <c r="B957" s="11" t="s">
        <v>3057</v>
      </c>
      <c r="C957" s="11" t="s">
        <v>24</v>
      </c>
      <c r="D957" s="4">
        <f>ROUND(E957*F957,0)</f>
        <v>77</v>
      </c>
      <c r="E957" s="10">
        <v>0.92</v>
      </c>
      <c r="F957" s="1">
        <v>84</v>
      </c>
      <c r="G957" s="1"/>
      <c r="H957" s="1" t="s">
        <v>2949</v>
      </c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</row>
    <row r="958" spans="1:46" s="11" customFormat="1" ht="15" x14ac:dyDescent="0.25">
      <c r="A958" s="16">
        <v>13019912</v>
      </c>
      <c r="B958" s="11" t="s">
        <v>3057</v>
      </c>
      <c r="C958" s="11" t="s">
        <v>12</v>
      </c>
      <c r="D958" s="4">
        <v>14</v>
      </c>
      <c r="E958" s="1"/>
      <c r="F958" s="4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</row>
    <row r="959" spans="1:46" s="11" customFormat="1" ht="15" x14ac:dyDescent="0.25">
      <c r="A959" s="16">
        <v>13019912</v>
      </c>
      <c r="B959" s="11" t="s">
        <v>3057</v>
      </c>
      <c r="C959" s="11" t="s">
        <v>26</v>
      </c>
      <c r="D959" s="4">
        <f>ROUND(E959*F959,0)</f>
        <v>14</v>
      </c>
      <c r="E959" s="10">
        <v>0.92</v>
      </c>
      <c r="F959" s="1">
        <v>15</v>
      </c>
      <c r="G959" s="1"/>
      <c r="H959" s="1" t="s">
        <v>2949</v>
      </c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</row>
    <row r="960" spans="1:46" s="11" customFormat="1" ht="15" x14ac:dyDescent="0.25">
      <c r="A960" s="16">
        <v>13019913</v>
      </c>
      <c r="B960" s="11" t="s">
        <v>3058</v>
      </c>
      <c r="C960" s="11" t="s">
        <v>26</v>
      </c>
      <c r="D960" s="21">
        <f>ROUND(E960*F960,0)</f>
        <v>15</v>
      </c>
      <c r="E960" s="22">
        <v>1</v>
      </c>
      <c r="F960" s="11">
        <v>15</v>
      </c>
      <c r="H960" s="11" t="s">
        <v>2953</v>
      </c>
      <c r="I960" s="11" t="s">
        <v>3132</v>
      </c>
      <c r="J960" s="11" t="s">
        <v>3132</v>
      </c>
    </row>
    <row r="961" spans="1:46" s="11" customFormat="1" ht="15" x14ac:dyDescent="0.25">
      <c r="A961" s="24">
        <v>13019913</v>
      </c>
      <c r="B961" s="25" t="s">
        <v>3058</v>
      </c>
      <c r="C961" s="25" t="s">
        <v>24</v>
      </c>
      <c r="D961" s="21">
        <v>105</v>
      </c>
      <c r="F961" s="21"/>
    </row>
    <row r="962" spans="1:46" s="11" customFormat="1" ht="15" x14ac:dyDescent="0.25">
      <c r="A962" s="3">
        <v>13019913</v>
      </c>
      <c r="B962" s="11" t="s">
        <v>3058</v>
      </c>
      <c r="C962" s="11" t="s">
        <v>27</v>
      </c>
      <c r="D962" s="4">
        <v>130</v>
      </c>
      <c r="E962" s="10">
        <v>1</v>
      </c>
      <c r="F962" s="1">
        <v>130</v>
      </c>
      <c r="G962" s="1"/>
      <c r="H962" s="1" t="s">
        <v>2953</v>
      </c>
      <c r="I962" s="1" t="s">
        <v>3132</v>
      </c>
      <c r="J962" s="1" t="s">
        <v>3132</v>
      </c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</row>
    <row r="963" spans="1:46" s="11" customFormat="1" ht="15" x14ac:dyDescent="0.25">
      <c r="A963" s="16">
        <v>13019913</v>
      </c>
      <c r="B963" s="11" t="s">
        <v>3058</v>
      </c>
      <c r="C963" s="11" t="s">
        <v>11</v>
      </c>
      <c r="D963" s="4">
        <f>ROUND(E963*F963,0)</f>
        <v>15</v>
      </c>
      <c r="E963" s="10">
        <v>1</v>
      </c>
      <c r="F963" s="1">
        <v>15</v>
      </c>
      <c r="G963" s="1"/>
      <c r="H963" s="1" t="s">
        <v>2953</v>
      </c>
      <c r="I963" s="1" t="s">
        <v>3132</v>
      </c>
      <c r="J963" s="1" t="s">
        <v>3132</v>
      </c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</row>
    <row r="964" spans="1:46" s="11" customFormat="1" ht="15" x14ac:dyDescent="0.25">
      <c r="A964" s="24">
        <v>13019913</v>
      </c>
      <c r="B964" s="25" t="s">
        <v>3058</v>
      </c>
      <c r="C964" s="25" t="s">
        <v>13</v>
      </c>
      <c r="D964" s="4">
        <v>60</v>
      </c>
      <c r="E964" s="1"/>
      <c r="F964" s="4"/>
      <c r="G964" s="1"/>
      <c r="H964" s="1" t="s">
        <v>2953</v>
      </c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</row>
    <row r="965" spans="1:46" s="11" customFormat="1" ht="15" x14ac:dyDescent="0.25">
      <c r="A965" s="16">
        <v>13019913</v>
      </c>
      <c r="B965" s="11" t="s">
        <v>3058</v>
      </c>
      <c r="C965" s="11" t="s">
        <v>12</v>
      </c>
      <c r="D965" s="4">
        <f>ROUND(E965*F965,0)</f>
        <v>30</v>
      </c>
      <c r="E965" s="10">
        <v>1</v>
      </c>
      <c r="F965" s="1">
        <v>30</v>
      </c>
      <c r="G965" s="1"/>
      <c r="H965" s="1" t="s">
        <v>2953</v>
      </c>
      <c r="I965" s="1" t="s">
        <v>3132</v>
      </c>
      <c r="J965" s="1" t="s">
        <v>3132</v>
      </c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</row>
    <row r="966" spans="1:46" ht="15" x14ac:dyDescent="0.25">
      <c r="A966" s="16">
        <v>13019914</v>
      </c>
      <c r="B966" s="11" t="s">
        <v>3059</v>
      </c>
      <c r="C966" s="11" t="s">
        <v>11</v>
      </c>
      <c r="D966" s="11">
        <f>ROUND(E966*F966,0)</f>
        <v>14</v>
      </c>
      <c r="E966" s="22">
        <v>0.96</v>
      </c>
      <c r="F966" s="11">
        <v>15</v>
      </c>
      <c r="G966" s="21"/>
      <c r="H966" s="11" t="s">
        <v>2953</v>
      </c>
      <c r="I966" s="11" t="s">
        <v>3132</v>
      </c>
      <c r="J966" s="11" t="s">
        <v>3132</v>
      </c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</row>
    <row r="967" spans="1:46" ht="15" x14ac:dyDescent="0.25">
      <c r="A967" s="16">
        <v>13019914</v>
      </c>
      <c r="B967" s="11" t="s">
        <v>3059</v>
      </c>
      <c r="C967" s="11" t="s">
        <v>12</v>
      </c>
      <c r="D967" s="11">
        <f>ROUND(E967*F967,0)</f>
        <v>29</v>
      </c>
      <c r="E967" s="22">
        <v>0.96</v>
      </c>
      <c r="F967" s="11">
        <v>30</v>
      </c>
      <c r="G967" s="21"/>
      <c r="H967" s="11" t="s">
        <v>2953</v>
      </c>
      <c r="I967" s="11" t="s">
        <v>3132</v>
      </c>
      <c r="J967" s="11" t="s">
        <v>3132</v>
      </c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</row>
    <row r="968" spans="1:46" ht="15" x14ac:dyDescent="0.25">
      <c r="A968" s="16">
        <v>13020101</v>
      </c>
      <c r="B968" s="11" t="s">
        <v>477</v>
      </c>
      <c r="C968" s="11" t="s">
        <v>1653</v>
      </c>
      <c r="D968" s="21">
        <v>84</v>
      </c>
      <c r="E968" s="22">
        <v>1</v>
      </c>
      <c r="F968" s="11">
        <v>84</v>
      </c>
      <c r="G968" s="11"/>
      <c r="H968" s="11" t="s">
        <v>2953</v>
      </c>
      <c r="I968" s="11" t="s">
        <v>2700</v>
      </c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</row>
    <row r="969" spans="1:46" ht="15" x14ac:dyDescent="0.25">
      <c r="A969" s="16">
        <v>13020101</v>
      </c>
      <c r="B969" s="11" t="s">
        <v>479</v>
      </c>
      <c r="C969" s="11" t="s">
        <v>1656</v>
      </c>
      <c r="D969" s="21">
        <v>105</v>
      </c>
      <c r="E969" s="22">
        <v>1</v>
      </c>
      <c r="F969" s="11">
        <v>84</v>
      </c>
      <c r="G969" s="11"/>
      <c r="H969" s="11" t="s">
        <v>2953</v>
      </c>
      <c r="I969" s="11" t="s">
        <v>2999</v>
      </c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</row>
    <row r="970" spans="1:46" ht="15" x14ac:dyDescent="0.25">
      <c r="A970" s="16">
        <v>13020101</v>
      </c>
      <c r="B970" s="11" t="s">
        <v>479</v>
      </c>
      <c r="C970" s="11" t="s">
        <v>1657</v>
      </c>
      <c r="D970" s="21">
        <f>ROUND(E970*F970,0)</f>
        <v>15</v>
      </c>
      <c r="E970" s="22">
        <v>1</v>
      </c>
      <c r="F970" s="11">
        <v>15</v>
      </c>
      <c r="G970" s="11"/>
      <c r="H970" s="11" t="s">
        <v>2953</v>
      </c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</row>
    <row r="971" spans="1:46" ht="15" x14ac:dyDescent="0.25">
      <c r="A971" s="16">
        <v>13020102</v>
      </c>
      <c r="B971" s="11" t="s">
        <v>473</v>
      </c>
      <c r="C971" s="11" t="s">
        <v>1650</v>
      </c>
      <c r="D971" s="21">
        <v>60</v>
      </c>
      <c r="E971" s="11"/>
      <c r="F971" s="11"/>
      <c r="G971" s="11">
        <v>24</v>
      </c>
      <c r="H971" s="11" t="s">
        <v>2404</v>
      </c>
      <c r="I971" s="11" t="s">
        <v>2952</v>
      </c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</row>
    <row r="972" spans="1:46" ht="15" x14ac:dyDescent="0.25">
      <c r="A972" s="16">
        <v>13020102</v>
      </c>
      <c r="B972" s="11" t="s">
        <v>473</v>
      </c>
      <c r="C972" s="11" t="s">
        <v>24</v>
      </c>
      <c r="D972" s="4">
        <v>84</v>
      </c>
    </row>
    <row r="973" spans="1:46" ht="15" x14ac:dyDescent="0.25">
      <c r="A973" s="16">
        <v>13020102</v>
      </c>
      <c r="B973" s="11" t="s">
        <v>475</v>
      </c>
      <c r="C973" s="11" t="s">
        <v>1652</v>
      </c>
      <c r="D973" s="21">
        <v>120</v>
      </c>
      <c r="E973" s="11"/>
      <c r="F973" s="11"/>
      <c r="G973" s="11">
        <v>48</v>
      </c>
      <c r="H973" s="11" t="s">
        <v>2404</v>
      </c>
      <c r="I973" s="11" t="s">
        <v>2951</v>
      </c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</row>
    <row r="974" spans="1:46" ht="15" x14ac:dyDescent="0.25">
      <c r="A974" s="24">
        <v>13020103</v>
      </c>
      <c r="B974" s="25" t="s">
        <v>476</v>
      </c>
      <c r="C974" s="25" t="s">
        <v>12</v>
      </c>
      <c r="D974" s="21">
        <v>28</v>
      </c>
      <c r="E974" s="11"/>
      <c r="F974" s="21"/>
      <c r="G974" s="11"/>
      <c r="H974" s="11" t="s">
        <v>2949</v>
      </c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</row>
    <row r="975" spans="1:46" ht="15" x14ac:dyDescent="0.25">
      <c r="A975" s="16">
        <v>13020103</v>
      </c>
      <c r="B975" s="11" t="s">
        <v>476</v>
      </c>
      <c r="C975" s="11" t="s">
        <v>29</v>
      </c>
      <c r="D975" s="21">
        <f>ROUND(E975*F975,0)</f>
        <v>28</v>
      </c>
      <c r="E975" s="11">
        <v>0.92</v>
      </c>
      <c r="F975" s="11">
        <v>30</v>
      </c>
      <c r="G975" s="11"/>
      <c r="H975" s="11" t="s">
        <v>2949</v>
      </c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</row>
    <row r="976" spans="1:46" ht="15" x14ac:dyDescent="0.25">
      <c r="A976" s="16">
        <v>13020103</v>
      </c>
      <c r="B976" s="11" t="s">
        <v>476</v>
      </c>
      <c r="C976" s="11" t="s">
        <v>1652</v>
      </c>
      <c r="D976" s="21">
        <f>ROUND(E976*F976,0)</f>
        <v>55</v>
      </c>
      <c r="E976" s="11">
        <v>0.92</v>
      </c>
      <c r="F976" s="11">
        <v>60</v>
      </c>
      <c r="G976" s="11"/>
      <c r="H976" s="11" t="s">
        <v>2949</v>
      </c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</row>
    <row r="977" spans="1:46" ht="15" x14ac:dyDescent="0.25">
      <c r="A977" s="16">
        <v>13020104</v>
      </c>
      <c r="B977" s="11" t="s">
        <v>480</v>
      </c>
      <c r="C977" s="11" t="s">
        <v>1657</v>
      </c>
      <c r="D977" s="21">
        <f>ROUND(E977*F977,0)</f>
        <v>15</v>
      </c>
      <c r="E977" s="22">
        <v>1</v>
      </c>
      <c r="F977" s="11">
        <v>15</v>
      </c>
      <c r="G977" s="11"/>
      <c r="H977" s="11" t="s">
        <v>2953</v>
      </c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</row>
    <row r="978" spans="1:46" ht="15" x14ac:dyDescent="0.25">
      <c r="A978" s="16">
        <v>13020104</v>
      </c>
      <c r="B978" s="11" t="s">
        <v>478</v>
      </c>
      <c r="C978" s="11" t="s">
        <v>1655</v>
      </c>
      <c r="D978" s="21">
        <f>ROUND(E978*F978,0)</f>
        <v>60</v>
      </c>
      <c r="E978" s="22">
        <v>1</v>
      </c>
      <c r="F978" s="11">
        <v>60</v>
      </c>
      <c r="G978" s="11"/>
      <c r="H978" s="11" t="s">
        <v>2953</v>
      </c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</row>
    <row r="979" spans="1:46" ht="15" x14ac:dyDescent="0.25">
      <c r="A979" s="24">
        <v>13020104</v>
      </c>
      <c r="B979" s="25" t="s">
        <v>474</v>
      </c>
      <c r="C979" s="25" t="s">
        <v>24</v>
      </c>
      <c r="D979" s="21">
        <v>105</v>
      </c>
      <c r="E979" s="11"/>
      <c r="F979" s="2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</row>
    <row r="980" spans="1:46" ht="15" x14ac:dyDescent="0.25">
      <c r="A980" s="16">
        <v>13020104</v>
      </c>
      <c r="B980" s="11" t="s">
        <v>474</v>
      </c>
      <c r="C980" s="11" t="s">
        <v>1651</v>
      </c>
      <c r="D980" s="21">
        <f>ROUND(E980*F980,0)</f>
        <v>15</v>
      </c>
      <c r="E980" s="22">
        <v>1</v>
      </c>
      <c r="F980" s="11">
        <v>15</v>
      </c>
      <c r="G980" s="11"/>
      <c r="H980" s="11" t="s">
        <v>2953</v>
      </c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</row>
    <row r="981" spans="1:46" ht="15" x14ac:dyDescent="0.25">
      <c r="A981" s="16">
        <v>13020104</v>
      </c>
      <c r="B981" s="11" t="s">
        <v>478</v>
      </c>
      <c r="C981" s="11" t="s">
        <v>1654</v>
      </c>
      <c r="D981" s="21">
        <f>ROUND(E981*F981,0)</f>
        <v>30</v>
      </c>
      <c r="E981" s="22">
        <v>1</v>
      </c>
      <c r="F981" s="11">
        <v>30</v>
      </c>
      <c r="G981" s="11"/>
      <c r="H981" s="11" t="s">
        <v>2953</v>
      </c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</row>
    <row r="982" spans="1:46" ht="15" x14ac:dyDescent="0.25">
      <c r="A982" s="16">
        <v>13020201</v>
      </c>
      <c r="B982" s="11" t="s">
        <v>481</v>
      </c>
      <c r="C982" s="11" t="s">
        <v>1658</v>
      </c>
      <c r="D982" s="4">
        <f>ROUND(E982*F982,0)</f>
        <v>15</v>
      </c>
      <c r="E982" s="10">
        <v>1</v>
      </c>
      <c r="F982" s="1">
        <v>15</v>
      </c>
      <c r="H982" s="1" t="s">
        <v>2953</v>
      </c>
    </row>
    <row r="983" spans="1:46" ht="15" x14ac:dyDescent="0.25">
      <c r="A983" s="16">
        <v>13020201</v>
      </c>
      <c r="B983" s="11" t="s">
        <v>483</v>
      </c>
      <c r="C983" s="11" t="s">
        <v>1660</v>
      </c>
      <c r="D983" s="4">
        <f>ROUND(E983*F983,0)</f>
        <v>15</v>
      </c>
      <c r="E983" s="10">
        <v>1</v>
      </c>
      <c r="F983" s="1">
        <v>15</v>
      </c>
      <c r="H983" s="1" t="s">
        <v>2953</v>
      </c>
    </row>
    <row r="984" spans="1:46" ht="15" x14ac:dyDescent="0.25">
      <c r="A984" s="16">
        <v>13020201</v>
      </c>
      <c r="B984" s="11" t="s">
        <v>481</v>
      </c>
      <c r="C984" s="11" t="s">
        <v>1659</v>
      </c>
      <c r="D984" s="21">
        <v>105</v>
      </c>
      <c r="E984" s="10">
        <v>1</v>
      </c>
      <c r="F984" s="1">
        <v>84</v>
      </c>
      <c r="H984" s="1" t="s">
        <v>2953</v>
      </c>
      <c r="I984" s="1" t="s">
        <v>2999</v>
      </c>
    </row>
    <row r="985" spans="1:46" ht="15" x14ac:dyDescent="0.25">
      <c r="A985" s="16">
        <v>13020202</v>
      </c>
      <c r="B985" s="11" t="s">
        <v>482</v>
      </c>
      <c r="C985" s="11" t="s">
        <v>26</v>
      </c>
      <c r="D985" s="4">
        <f>ROUND(E985*F985,0)</f>
        <v>14</v>
      </c>
      <c r="E985" s="10">
        <v>0.92</v>
      </c>
      <c r="F985" s="1">
        <v>15</v>
      </c>
      <c r="H985" s="1" t="s">
        <v>2949</v>
      </c>
    </row>
    <row r="986" spans="1:46" ht="15" x14ac:dyDescent="0.25">
      <c r="A986" s="16">
        <v>13020202</v>
      </c>
      <c r="B986" s="11" t="s">
        <v>482</v>
      </c>
      <c r="C986" s="11" t="s">
        <v>1659</v>
      </c>
      <c r="D986" s="4">
        <f>ROUND(E986*F986,0)</f>
        <v>77</v>
      </c>
      <c r="E986" s="10">
        <v>0.92</v>
      </c>
      <c r="F986" s="1">
        <v>84</v>
      </c>
      <c r="H986" s="1" t="s">
        <v>2949</v>
      </c>
    </row>
    <row r="987" spans="1:46" ht="15" x14ac:dyDescent="0.25">
      <c r="A987" s="16">
        <v>13020204</v>
      </c>
      <c r="B987" s="11" t="s">
        <v>3060</v>
      </c>
      <c r="C987" s="11" t="s">
        <v>13</v>
      </c>
      <c r="D987" s="4">
        <f>ROUND(E987*F987,0)</f>
        <v>60</v>
      </c>
      <c r="E987" s="10">
        <v>1</v>
      </c>
      <c r="F987" s="1">
        <v>60</v>
      </c>
      <c r="H987" s="1" t="s">
        <v>2953</v>
      </c>
      <c r="I987" s="1" t="s">
        <v>3132</v>
      </c>
      <c r="J987" s="1" t="s">
        <v>3132</v>
      </c>
    </row>
    <row r="988" spans="1:46" ht="15" x14ac:dyDescent="0.25">
      <c r="A988" s="3">
        <v>13020204</v>
      </c>
      <c r="B988" s="11" t="s">
        <v>3060</v>
      </c>
      <c r="C988" s="11" t="s">
        <v>27</v>
      </c>
      <c r="D988" s="4">
        <v>130</v>
      </c>
      <c r="E988" s="10">
        <v>1</v>
      </c>
      <c r="F988" s="1">
        <v>130</v>
      </c>
      <c r="H988" s="1" t="s">
        <v>2953</v>
      </c>
      <c r="I988" s="1" t="s">
        <v>3132</v>
      </c>
      <c r="J988" s="1" t="s">
        <v>3132</v>
      </c>
    </row>
    <row r="989" spans="1:46" ht="15" x14ac:dyDescent="0.25">
      <c r="A989" s="16">
        <v>13020204</v>
      </c>
      <c r="B989" s="11" t="s">
        <v>3060</v>
      </c>
      <c r="C989" s="11" t="s">
        <v>26</v>
      </c>
      <c r="D989" s="4">
        <f>ROUND(E989*F989,0)</f>
        <v>15</v>
      </c>
      <c r="E989" s="10">
        <v>1</v>
      </c>
      <c r="F989" s="1">
        <v>15</v>
      </c>
      <c r="H989" s="1" t="s">
        <v>2953</v>
      </c>
      <c r="I989" s="1" t="s">
        <v>3132</v>
      </c>
      <c r="J989" s="1" t="s">
        <v>3132</v>
      </c>
    </row>
    <row r="990" spans="1:46" ht="15" x14ac:dyDescent="0.25">
      <c r="A990" s="16">
        <v>13020205</v>
      </c>
      <c r="B990" s="11" t="s">
        <v>3061</v>
      </c>
      <c r="C990" s="11" t="s">
        <v>11</v>
      </c>
      <c r="D990" s="4">
        <f>ROUND(E990*F990,0)</f>
        <v>15</v>
      </c>
      <c r="E990" s="10">
        <v>1</v>
      </c>
      <c r="F990" s="1">
        <v>15</v>
      </c>
      <c r="H990" s="1" t="s">
        <v>2953</v>
      </c>
      <c r="I990" s="1" t="s">
        <v>3132</v>
      </c>
      <c r="J990" s="1" t="s">
        <v>3132</v>
      </c>
    </row>
    <row r="991" spans="1:46" ht="15" x14ac:dyDescent="0.25">
      <c r="A991" s="16">
        <v>13020205</v>
      </c>
      <c r="B991" s="11" t="s">
        <v>3061</v>
      </c>
      <c r="C991" s="11" t="s">
        <v>26</v>
      </c>
      <c r="D991" s="4">
        <f>ROUND(E991*F991,0)</f>
        <v>15</v>
      </c>
      <c r="E991" s="10">
        <v>1</v>
      </c>
      <c r="F991" s="1">
        <v>15</v>
      </c>
      <c r="H991" s="1" t="s">
        <v>2953</v>
      </c>
      <c r="I991" s="1" t="s">
        <v>3132</v>
      </c>
      <c r="J991" s="1" t="s">
        <v>3132</v>
      </c>
    </row>
    <row r="992" spans="1:46" ht="15" x14ac:dyDescent="0.25">
      <c r="A992" s="16">
        <v>13020301</v>
      </c>
      <c r="B992" s="11" t="s">
        <v>491</v>
      </c>
      <c r="C992" s="11" t="s">
        <v>1667</v>
      </c>
      <c r="D992" s="4">
        <f>ROUND(E992*F992,0)</f>
        <v>14</v>
      </c>
      <c r="E992" s="10">
        <v>0.92</v>
      </c>
      <c r="F992" s="1">
        <v>15</v>
      </c>
      <c r="H992" s="1" t="s">
        <v>2949</v>
      </c>
    </row>
    <row r="993" spans="1:46" ht="15" x14ac:dyDescent="0.25">
      <c r="A993" s="16">
        <v>13020302</v>
      </c>
      <c r="B993" s="11" t="s">
        <v>492</v>
      </c>
      <c r="C993" s="11" t="s">
        <v>1667</v>
      </c>
      <c r="D993" s="4">
        <f>ROUND(E993*F993,0)</f>
        <v>15</v>
      </c>
      <c r="E993" s="10">
        <v>1</v>
      </c>
      <c r="F993" s="1">
        <v>15</v>
      </c>
      <c r="H993" s="1" t="s">
        <v>2953</v>
      </c>
    </row>
    <row r="994" spans="1:46" ht="15" x14ac:dyDescent="0.25">
      <c r="A994" s="16">
        <v>13020302</v>
      </c>
      <c r="B994" s="11" t="s">
        <v>490</v>
      </c>
      <c r="C994" s="11" t="s">
        <v>1666</v>
      </c>
      <c r="D994" s="21">
        <v>105</v>
      </c>
      <c r="E994" s="10">
        <v>1</v>
      </c>
      <c r="F994" s="1">
        <v>84</v>
      </c>
      <c r="H994" s="1" t="s">
        <v>2953</v>
      </c>
      <c r="I994" s="1" t="s">
        <v>2999</v>
      </c>
    </row>
    <row r="995" spans="1:46" ht="15" x14ac:dyDescent="0.25">
      <c r="A995" s="16">
        <v>13020304</v>
      </c>
      <c r="B995" s="11" t="s">
        <v>495</v>
      </c>
      <c r="C995" s="11" t="s">
        <v>1669</v>
      </c>
      <c r="D995" s="4">
        <f>ROUND(E995*F995,0)</f>
        <v>14</v>
      </c>
      <c r="E995" s="10">
        <v>0.92</v>
      </c>
      <c r="F995" s="1">
        <v>15</v>
      </c>
      <c r="H995" s="1" t="s">
        <v>2949</v>
      </c>
    </row>
    <row r="996" spans="1:46" ht="15" x14ac:dyDescent="0.25">
      <c r="A996" s="24">
        <v>13020305</v>
      </c>
      <c r="B996" s="25" t="s">
        <v>486</v>
      </c>
      <c r="C996" s="25" t="s">
        <v>25</v>
      </c>
      <c r="D996" s="4">
        <v>8</v>
      </c>
      <c r="H996" s="1" t="s">
        <v>2949</v>
      </c>
    </row>
    <row r="997" spans="1:46" ht="15" x14ac:dyDescent="0.25">
      <c r="A997" s="16">
        <v>13020305</v>
      </c>
      <c r="B997" s="11" t="s">
        <v>486</v>
      </c>
      <c r="C997" s="11" t="s">
        <v>11</v>
      </c>
      <c r="D997" s="4">
        <f>ROUND(E997*F997,0)</f>
        <v>14</v>
      </c>
      <c r="E997" s="10">
        <v>0.92</v>
      </c>
      <c r="F997" s="1">
        <v>15</v>
      </c>
      <c r="H997" s="1" t="s">
        <v>2949</v>
      </c>
    </row>
    <row r="998" spans="1:46" ht="15" x14ac:dyDescent="0.25">
      <c r="A998" s="3">
        <v>13020305</v>
      </c>
      <c r="B998" s="11" t="s">
        <v>486</v>
      </c>
      <c r="C998" s="11" t="s">
        <v>1662</v>
      </c>
      <c r="D998" s="4">
        <f>ROUND(E998*F998,0)</f>
        <v>77</v>
      </c>
      <c r="E998" s="10">
        <v>0.92</v>
      </c>
      <c r="F998" s="1">
        <v>84</v>
      </c>
      <c r="H998" s="1" t="s">
        <v>2949</v>
      </c>
    </row>
    <row r="999" spans="1:46" ht="15" x14ac:dyDescent="0.25">
      <c r="A999" s="5">
        <v>13020305</v>
      </c>
      <c r="B999" s="11" t="s">
        <v>486</v>
      </c>
      <c r="C999" s="11" t="s">
        <v>16</v>
      </c>
      <c r="D999" s="4">
        <f>ROUND(E999*F999,0)</f>
        <v>120</v>
      </c>
      <c r="E999" s="1">
        <v>0.92</v>
      </c>
      <c r="F999" s="1">
        <v>130</v>
      </c>
      <c r="H999" s="1" t="s">
        <v>2949</v>
      </c>
    </row>
    <row r="1000" spans="1:46" ht="15" x14ac:dyDescent="0.25">
      <c r="A1000" s="16">
        <v>13020305</v>
      </c>
      <c r="B1000" s="11" t="s">
        <v>493</v>
      </c>
      <c r="C1000" s="11" t="s">
        <v>1668</v>
      </c>
      <c r="D1000" s="4">
        <f>ROUND(E1000*F1000,0)</f>
        <v>77</v>
      </c>
      <c r="E1000" s="10">
        <v>0.92</v>
      </c>
      <c r="F1000" s="1">
        <v>84</v>
      </c>
      <c r="H1000" s="1" t="s">
        <v>2949</v>
      </c>
    </row>
    <row r="1001" spans="1:46" s="11" customFormat="1" ht="15" x14ac:dyDescent="0.25">
      <c r="A1001" s="16">
        <v>13020305</v>
      </c>
      <c r="B1001" s="11" t="s">
        <v>497</v>
      </c>
      <c r="C1001" s="11" t="s">
        <v>26</v>
      </c>
      <c r="D1001" s="4">
        <f>ROUND(E1001*F1001,0)</f>
        <v>14</v>
      </c>
      <c r="E1001" s="10">
        <v>0.92</v>
      </c>
      <c r="F1001" s="1">
        <v>15</v>
      </c>
      <c r="G1001" s="1"/>
      <c r="H1001" s="1" t="s">
        <v>2949</v>
      </c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</row>
    <row r="1002" spans="1:46" ht="15" x14ac:dyDescent="0.25">
      <c r="A1002" s="16">
        <v>13020306</v>
      </c>
      <c r="B1002" s="11" t="s">
        <v>484</v>
      </c>
      <c r="C1002" s="11" t="s">
        <v>12</v>
      </c>
      <c r="D1002" s="4">
        <v>30</v>
      </c>
    </row>
    <row r="1003" spans="1:46" ht="15" x14ac:dyDescent="0.25">
      <c r="A1003" s="3">
        <v>13020306</v>
      </c>
      <c r="B1003" s="11" t="s">
        <v>488</v>
      </c>
      <c r="C1003" s="11" t="s">
        <v>1665</v>
      </c>
      <c r="D1003" s="1">
        <v>130</v>
      </c>
      <c r="E1003" s="10">
        <v>1</v>
      </c>
      <c r="F1003" s="1">
        <v>130</v>
      </c>
      <c r="H1003" s="1" t="s">
        <v>2953</v>
      </c>
    </row>
    <row r="1004" spans="1:46" ht="15" x14ac:dyDescent="0.25">
      <c r="A1004" s="3">
        <v>13020306</v>
      </c>
      <c r="B1004" s="11" t="s">
        <v>500</v>
      </c>
      <c r="C1004" s="11" t="s">
        <v>1672</v>
      </c>
      <c r="D1004" s="4">
        <v>130</v>
      </c>
      <c r="E1004" s="10">
        <v>1</v>
      </c>
      <c r="F1004" s="1">
        <v>130</v>
      </c>
      <c r="H1004" s="1" t="s">
        <v>2953</v>
      </c>
    </row>
    <row r="1005" spans="1:46" ht="15" x14ac:dyDescent="0.25">
      <c r="A1005" s="3">
        <v>13020306</v>
      </c>
      <c r="B1005" s="11" t="s">
        <v>484</v>
      </c>
      <c r="C1005" s="11" t="s">
        <v>14</v>
      </c>
      <c r="D1005" s="4">
        <f>ROUND(E1005*F1005,0)</f>
        <v>15</v>
      </c>
      <c r="E1005" s="10">
        <v>1</v>
      </c>
      <c r="F1005" s="1">
        <v>15</v>
      </c>
      <c r="H1005" s="1" t="s">
        <v>2953</v>
      </c>
    </row>
    <row r="1006" spans="1:46" ht="15" x14ac:dyDescent="0.25">
      <c r="A1006" s="3">
        <v>13020306</v>
      </c>
      <c r="B1006" s="11" t="s">
        <v>488</v>
      </c>
      <c r="C1006" s="11" t="s">
        <v>1664</v>
      </c>
      <c r="D1006" s="4">
        <v>84</v>
      </c>
      <c r="E1006" s="10">
        <v>1</v>
      </c>
      <c r="F1006" s="1">
        <v>84</v>
      </c>
      <c r="H1006" s="1" t="s">
        <v>2953</v>
      </c>
      <c r="I1006" s="1" t="s">
        <v>2956</v>
      </c>
    </row>
    <row r="1007" spans="1:46" ht="15" x14ac:dyDescent="0.25">
      <c r="A1007" s="16">
        <v>13020306</v>
      </c>
      <c r="B1007" s="11" t="s">
        <v>484</v>
      </c>
      <c r="C1007" s="11" t="s">
        <v>1661</v>
      </c>
      <c r="D1007" s="4">
        <f>ROUND(E1007*F1007,0)</f>
        <v>15</v>
      </c>
      <c r="E1007" s="10">
        <v>1</v>
      </c>
      <c r="F1007" s="1">
        <v>15</v>
      </c>
      <c r="H1007" s="1" t="s">
        <v>2953</v>
      </c>
    </row>
    <row r="1008" spans="1:46" ht="15" x14ac:dyDescent="0.25">
      <c r="A1008" s="16">
        <v>13020306</v>
      </c>
      <c r="B1008" s="11" t="s">
        <v>498</v>
      </c>
      <c r="C1008" s="11" t="s">
        <v>1671</v>
      </c>
      <c r="D1008" s="4">
        <f>ROUND(E1008*F1008,0)</f>
        <v>15</v>
      </c>
      <c r="E1008" s="10">
        <v>1</v>
      </c>
      <c r="F1008" s="1">
        <v>15</v>
      </c>
      <c r="H1008" s="1" t="s">
        <v>2953</v>
      </c>
      <c r="I1008" s="1" t="s">
        <v>2722</v>
      </c>
    </row>
    <row r="1009" spans="1:46" ht="15" x14ac:dyDescent="0.25">
      <c r="A1009" s="16">
        <v>13020306</v>
      </c>
      <c r="B1009" s="11" t="s">
        <v>494</v>
      </c>
      <c r="C1009" s="11" t="s">
        <v>1668</v>
      </c>
      <c r="D1009" s="21">
        <v>105</v>
      </c>
      <c r="E1009" s="10">
        <v>1</v>
      </c>
      <c r="F1009" s="1">
        <v>84</v>
      </c>
      <c r="H1009" s="1" t="s">
        <v>2953</v>
      </c>
      <c r="I1009" s="1" t="s">
        <v>2999</v>
      </c>
    </row>
    <row r="1010" spans="1:46" ht="15" x14ac:dyDescent="0.25">
      <c r="A1010" s="3">
        <v>13020307</v>
      </c>
      <c r="B1010" s="11" t="s">
        <v>487</v>
      </c>
      <c r="C1010" s="11" t="s">
        <v>1663</v>
      </c>
      <c r="D1010" s="4">
        <f>ROUND(E1010*F1010,0)</f>
        <v>15</v>
      </c>
      <c r="E1010" s="10">
        <v>1</v>
      </c>
      <c r="F1010" s="1">
        <v>15</v>
      </c>
      <c r="H1010" s="1" t="s">
        <v>2953</v>
      </c>
    </row>
    <row r="1011" spans="1:46" ht="15" x14ac:dyDescent="0.25">
      <c r="A1011" s="3">
        <v>13020307</v>
      </c>
      <c r="B1011" s="11" t="s">
        <v>485</v>
      </c>
      <c r="C1011" s="11" t="s">
        <v>15</v>
      </c>
      <c r="D1011" s="4">
        <v>84</v>
      </c>
      <c r="E1011" s="10">
        <v>1</v>
      </c>
      <c r="F1011" s="1">
        <v>84</v>
      </c>
      <c r="H1011" s="1" t="s">
        <v>2953</v>
      </c>
      <c r="I1011" s="1" t="s">
        <v>2956</v>
      </c>
    </row>
    <row r="1012" spans="1:46" ht="15" x14ac:dyDescent="0.25">
      <c r="A1012" s="16">
        <v>13020307</v>
      </c>
      <c r="B1012" s="11" t="s">
        <v>485</v>
      </c>
      <c r="C1012" s="11" t="s">
        <v>1661</v>
      </c>
      <c r="D1012" s="4">
        <f>ROUND(E1012*F1012,0)</f>
        <v>15</v>
      </c>
      <c r="E1012" s="10">
        <v>1</v>
      </c>
      <c r="F1012" s="1">
        <v>15</v>
      </c>
      <c r="H1012" s="1" t="s">
        <v>2953</v>
      </c>
      <c r="I1012" s="1" t="s">
        <v>2958</v>
      </c>
    </row>
    <row r="1013" spans="1:46" ht="15" x14ac:dyDescent="0.25">
      <c r="A1013" s="16">
        <v>13020307</v>
      </c>
      <c r="B1013" s="11" t="s">
        <v>485</v>
      </c>
      <c r="C1013" s="11" t="s">
        <v>13</v>
      </c>
      <c r="D1013" s="4">
        <f>ROUND(E1013*F1013,0)</f>
        <v>60</v>
      </c>
      <c r="E1013" s="10">
        <v>1</v>
      </c>
      <c r="F1013" s="1">
        <v>60</v>
      </c>
      <c r="H1013" s="1" t="s">
        <v>2953</v>
      </c>
      <c r="I1013" s="1" t="s">
        <v>2957</v>
      </c>
    </row>
    <row r="1014" spans="1:46" ht="15" x14ac:dyDescent="0.25">
      <c r="A1014" s="16">
        <v>13020307</v>
      </c>
      <c r="B1014" s="11" t="s">
        <v>485</v>
      </c>
      <c r="C1014" s="11" t="s">
        <v>12</v>
      </c>
      <c r="D1014" s="4">
        <v>30</v>
      </c>
    </row>
    <row r="1015" spans="1:46" ht="15" x14ac:dyDescent="0.25">
      <c r="A1015" s="3">
        <v>13020307</v>
      </c>
      <c r="B1015" s="11" t="s">
        <v>489</v>
      </c>
      <c r="C1015" s="11" t="s">
        <v>1665</v>
      </c>
      <c r="D1015" s="1">
        <v>130</v>
      </c>
      <c r="E1015" s="10">
        <v>1</v>
      </c>
      <c r="F1015" s="1">
        <v>130</v>
      </c>
      <c r="H1015" s="1" t="s">
        <v>2953</v>
      </c>
    </row>
    <row r="1016" spans="1:46" ht="15" x14ac:dyDescent="0.25">
      <c r="A1016" s="16">
        <v>13020307</v>
      </c>
      <c r="B1016" s="11" t="s">
        <v>499</v>
      </c>
      <c r="C1016" s="11" t="s">
        <v>1671</v>
      </c>
      <c r="D1016" s="4">
        <f>ROUND(E1016*F1016,0)</f>
        <v>15</v>
      </c>
      <c r="E1016" s="10">
        <v>1</v>
      </c>
      <c r="F1016" s="1">
        <v>15</v>
      </c>
      <c r="H1016" s="1" t="s">
        <v>2953</v>
      </c>
      <c r="I1016" s="1" t="s">
        <v>2722</v>
      </c>
    </row>
    <row r="1017" spans="1:46" ht="15" x14ac:dyDescent="0.25">
      <c r="A1017" s="16">
        <v>13020307</v>
      </c>
      <c r="B1017" s="11" t="s">
        <v>496</v>
      </c>
      <c r="C1017" s="11" t="s">
        <v>1670</v>
      </c>
      <c r="D1017" s="21">
        <v>105</v>
      </c>
      <c r="E1017" s="10">
        <v>1</v>
      </c>
      <c r="F1017" s="1">
        <v>84</v>
      </c>
      <c r="H1017" s="1" t="s">
        <v>2953</v>
      </c>
      <c r="I1017" s="1" t="s">
        <v>2999</v>
      </c>
    </row>
    <row r="1018" spans="1:46" ht="15" x14ac:dyDescent="0.25">
      <c r="A1018" s="24">
        <v>13020308</v>
      </c>
      <c r="B1018" s="25" t="s">
        <v>3218</v>
      </c>
      <c r="C1018" s="25" t="s">
        <v>26</v>
      </c>
      <c r="D1018" s="4">
        <v>15</v>
      </c>
      <c r="H1018" s="1" t="s">
        <v>2953</v>
      </c>
    </row>
    <row r="1019" spans="1:46" ht="15" x14ac:dyDescent="0.25">
      <c r="A1019" s="24">
        <v>13020308</v>
      </c>
      <c r="B1019" s="25" t="s">
        <v>3218</v>
      </c>
      <c r="C1019" s="25" t="s">
        <v>11</v>
      </c>
      <c r="D1019" s="4">
        <v>15</v>
      </c>
      <c r="H1019" s="1" t="s">
        <v>2953</v>
      </c>
    </row>
    <row r="1020" spans="1:46" ht="15" x14ac:dyDescent="0.25">
      <c r="A1020" s="24">
        <v>13020308</v>
      </c>
      <c r="B1020" s="25" t="s">
        <v>3218</v>
      </c>
      <c r="C1020" s="25" t="s">
        <v>13</v>
      </c>
      <c r="D1020" s="21">
        <v>60</v>
      </c>
      <c r="E1020" s="11"/>
      <c r="F1020" s="2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  <c r="AC1020" s="11"/>
      <c r="AD1020" s="11"/>
      <c r="AE1020" s="11"/>
      <c r="AF1020" s="11"/>
      <c r="AG1020" s="11"/>
      <c r="AH1020" s="11"/>
      <c r="AI1020" s="11"/>
      <c r="AJ1020" s="11"/>
      <c r="AK1020" s="11"/>
      <c r="AL1020" s="11"/>
      <c r="AM1020" s="11"/>
      <c r="AN1020" s="11"/>
      <c r="AO1020" s="11"/>
      <c r="AP1020" s="11"/>
      <c r="AQ1020" s="11"/>
      <c r="AR1020" s="11"/>
      <c r="AS1020" s="11"/>
      <c r="AT1020" s="11"/>
    </row>
    <row r="1021" spans="1:46" ht="15" x14ac:dyDescent="0.25">
      <c r="A1021" s="24">
        <v>13020308</v>
      </c>
      <c r="B1021" s="25" t="s">
        <v>3218</v>
      </c>
      <c r="C1021" s="25" t="s">
        <v>24</v>
      </c>
      <c r="D1021" s="21">
        <v>105</v>
      </c>
      <c r="H1021" s="1" t="s">
        <v>2953</v>
      </c>
    </row>
    <row r="1022" spans="1:46" ht="15" x14ac:dyDescent="0.25">
      <c r="A1022" s="24">
        <v>14010001</v>
      </c>
      <c r="B1022" s="25" t="s">
        <v>503</v>
      </c>
      <c r="C1022" s="25" t="s">
        <v>0</v>
      </c>
      <c r="D1022" s="4">
        <v>15</v>
      </c>
      <c r="H1022" s="1" t="s">
        <v>2478</v>
      </c>
    </row>
    <row r="1023" spans="1:46" ht="15" x14ac:dyDescent="0.25">
      <c r="A1023" s="16">
        <v>14010001</v>
      </c>
      <c r="B1023" s="11" t="s">
        <v>503</v>
      </c>
      <c r="C1023" s="11" t="s">
        <v>1677</v>
      </c>
      <c r="D1023" s="1">
        <f>G1023</f>
        <v>101</v>
      </c>
      <c r="F1023" s="1"/>
      <c r="G1023" s="1">
        <v>101</v>
      </c>
      <c r="H1023" s="1" t="s">
        <v>2478</v>
      </c>
    </row>
    <row r="1024" spans="1:46" ht="15" x14ac:dyDescent="0.25">
      <c r="A1024" s="3">
        <v>14010001</v>
      </c>
      <c r="B1024" s="11" t="s">
        <v>506</v>
      </c>
      <c r="C1024" s="11" t="s">
        <v>1682</v>
      </c>
      <c r="D1024" s="1">
        <f>G1024</f>
        <v>136</v>
      </c>
      <c r="F1024" s="1"/>
      <c r="G1024" s="1">
        <v>136</v>
      </c>
      <c r="H1024" s="1" t="s">
        <v>2478</v>
      </c>
    </row>
    <row r="1025" spans="1:9" ht="15" x14ac:dyDescent="0.25">
      <c r="A1025" s="16">
        <v>14010001</v>
      </c>
      <c r="B1025" s="11" t="s">
        <v>503</v>
      </c>
      <c r="C1025" s="11" t="s">
        <v>1678</v>
      </c>
      <c r="D1025" s="4">
        <f>G1025</f>
        <v>118</v>
      </c>
      <c r="F1025" s="1"/>
      <c r="G1025" s="1">
        <v>118</v>
      </c>
      <c r="H1025" s="1" t="s">
        <v>2478</v>
      </c>
    </row>
    <row r="1026" spans="1:9" ht="15" x14ac:dyDescent="0.25">
      <c r="A1026" s="16">
        <v>14010002</v>
      </c>
      <c r="B1026" s="11" t="s">
        <v>501</v>
      </c>
      <c r="C1026" s="11" t="s">
        <v>1673</v>
      </c>
      <c r="D1026" s="1">
        <v>15</v>
      </c>
      <c r="F1026" s="1"/>
      <c r="G1026" s="1">
        <v>15</v>
      </c>
      <c r="H1026" s="1" t="s">
        <v>2916</v>
      </c>
    </row>
    <row r="1027" spans="1:9" ht="15" x14ac:dyDescent="0.25">
      <c r="A1027" s="16">
        <v>14010002</v>
      </c>
      <c r="B1027" s="11" t="s">
        <v>501</v>
      </c>
      <c r="C1027" s="11" t="s">
        <v>1674</v>
      </c>
      <c r="D1027" s="4">
        <f>G1027</f>
        <v>67</v>
      </c>
      <c r="F1027" s="1"/>
      <c r="G1027" s="1">
        <v>67</v>
      </c>
      <c r="H1027" s="1" t="s">
        <v>2779</v>
      </c>
    </row>
    <row r="1028" spans="1:9" ht="15" x14ac:dyDescent="0.25">
      <c r="A1028" s="16">
        <v>14010002</v>
      </c>
      <c r="B1028" s="11" t="s">
        <v>2543</v>
      </c>
      <c r="C1028" s="11" t="s">
        <v>1679</v>
      </c>
      <c r="D1028" s="4">
        <v>45</v>
      </c>
      <c r="F1028" s="1"/>
      <c r="G1028" s="1">
        <v>45</v>
      </c>
      <c r="H1028" s="1" t="s">
        <v>2779</v>
      </c>
      <c r="I1028" s="1" t="s">
        <v>2917</v>
      </c>
    </row>
    <row r="1029" spans="1:9" ht="15" x14ac:dyDescent="0.25">
      <c r="A1029" s="16">
        <v>14010002</v>
      </c>
      <c r="B1029" s="11" t="s">
        <v>509</v>
      </c>
      <c r="C1029" s="11" t="s">
        <v>1685</v>
      </c>
      <c r="D1029" s="1">
        <v>81</v>
      </c>
      <c r="F1029" s="1"/>
      <c r="G1029" s="1">
        <v>81</v>
      </c>
      <c r="H1029" s="1" t="s">
        <v>2916</v>
      </c>
    </row>
    <row r="1030" spans="1:9" ht="15" x14ac:dyDescent="0.25">
      <c r="A1030" s="16">
        <v>14010002</v>
      </c>
      <c r="B1030" s="11" t="s">
        <v>504</v>
      </c>
      <c r="C1030" s="11" t="s">
        <v>1680</v>
      </c>
      <c r="D1030" s="4">
        <f>G1030</f>
        <v>67</v>
      </c>
      <c r="F1030" s="1"/>
      <c r="G1030" s="1">
        <v>67</v>
      </c>
      <c r="H1030" s="1" t="s">
        <v>2779</v>
      </c>
    </row>
    <row r="1031" spans="1:9" ht="15" x14ac:dyDescent="0.25">
      <c r="A1031" s="16">
        <v>14010003</v>
      </c>
      <c r="B1031" s="11" t="s">
        <v>505</v>
      </c>
      <c r="C1031" s="11" t="s">
        <v>1681</v>
      </c>
      <c r="D1031" s="4">
        <v>27</v>
      </c>
      <c r="F1031" s="1"/>
      <c r="G1031" s="1">
        <v>27</v>
      </c>
      <c r="H1031" s="1" t="s">
        <v>2780</v>
      </c>
      <c r="I1031" s="1" t="s">
        <v>2917</v>
      </c>
    </row>
    <row r="1032" spans="1:9" ht="15" x14ac:dyDescent="0.25">
      <c r="A1032" s="16">
        <v>14010003</v>
      </c>
      <c r="B1032" s="11" t="s">
        <v>512</v>
      </c>
      <c r="C1032" s="11" t="s">
        <v>1688</v>
      </c>
      <c r="D1032" s="1">
        <v>81</v>
      </c>
      <c r="F1032" s="1"/>
      <c r="G1032" s="1">
        <v>81</v>
      </c>
      <c r="H1032" s="1" t="s">
        <v>2916</v>
      </c>
    </row>
    <row r="1033" spans="1:9" ht="15" x14ac:dyDescent="0.25">
      <c r="A1033" s="16">
        <v>14010003</v>
      </c>
      <c r="B1033" s="11" t="s">
        <v>508</v>
      </c>
      <c r="C1033" s="11" t="s">
        <v>1684</v>
      </c>
      <c r="D1033" s="4">
        <f>G1033</f>
        <v>41</v>
      </c>
      <c r="F1033" s="1"/>
      <c r="G1033" s="1">
        <v>41</v>
      </c>
      <c r="H1033" s="1" t="s">
        <v>2780</v>
      </c>
    </row>
    <row r="1034" spans="1:9" ht="15" x14ac:dyDescent="0.25">
      <c r="A1034" s="16">
        <v>14010004</v>
      </c>
      <c r="B1034" s="11" t="s">
        <v>513</v>
      </c>
      <c r="C1034" s="11" t="s">
        <v>1689</v>
      </c>
      <c r="D1034" s="4">
        <f>G1034</f>
        <v>67</v>
      </c>
      <c r="F1034" s="1"/>
      <c r="G1034" s="1">
        <v>67</v>
      </c>
      <c r="H1034" s="1" t="s">
        <v>2779</v>
      </c>
    </row>
    <row r="1035" spans="1:9" ht="15" x14ac:dyDescent="0.25">
      <c r="A1035" s="16">
        <v>14010004</v>
      </c>
      <c r="B1035" s="11" t="s">
        <v>515</v>
      </c>
      <c r="C1035" s="11" t="s">
        <v>1692</v>
      </c>
      <c r="D1035" s="1">
        <v>81</v>
      </c>
      <c r="F1035" s="1"/>
      <c r="G1035" s="1">
        <v>81</v>
      </c>
      <c r="H1035" s="1" t="s">
        <v>2916</v>
      </c>
    </row>
    <row r="1036" spans="1:9" ht="15" x14ac:dyDescent="0.25">
      <c r="A1036" s="16">
        <v>14010005</v>
      </c>
      <c r="B1036" s="11" t="s">
        <v>507</v>
      </c>
      <c r="C1036" s="11" t="s">
        <v>1683</v>
      </c>
      <c r="D1036" s="4">
        <f>G1036</f>
        <v>41</v>
      </c>
      <c r="F1036" s="1"/>
      <c r="G1036" s="1">
        <v>41</v>
      </c>
      <c r="H1036" s="1" t="s">
        <v>2780</v>
      </c>
      <c r="I1036" s="1" t="s">
        <v>2915</v>
      </c>
    </row>
    <row r="1037" spans="1:9" ht="15" x14ac:dyDescent="0.25">
      <c r="A1037" s="24">
        <v>14010005</v>
      </c>
      <c r="B1037" s="25" t="s">
        <v>507</v>
      </c>
      <c r="C1037" s="25" t="s">
        <v>8</v>
      </c>
      <c r="D1037" s="4">
        <v>67</v>
      </c>
      <c r="H1037" s="1" t="s">
        <v>2780</v>
      </c>
    </row>
    <row r="1038" spans="1:9" ht="15" x14ac:dyDescent="0.25">
      <c r="A1038" s="16">
        <v>14010005</v>
      </c>
      <c r="B1038" s="11" t="s">
        <v>516</v>
      </c>
      <c r="C1038" s="11" t="s">
        <v>1692</v>
      </c>
      <c r="D1038" s="4">
        <v>81</v>
      </c>
      <c r="F1038" s="1"/>
      <c r="G1038" s="1">
        <v>81</v>
      </c>
      <c r="H1038" s="1" t="s">
        <v>2916</v>
      </c>
    </row>
    <row r="1039" spans="1:9" ht="15" x14ac:dyDescent="0.25">
      <c r="A1039" s="3">
        <v>14010005</v>
      </c>
      <c r="B1039" s="11" t="s">
        <v>511</v>
      </c>
      <c r="C1039" s="11" t="s">
        <v>1687</v>
      </c>
      <c r="D1039" s="4">
        <v>27</v>
      </c>
      <c r="F1039" s="1"/>
      <c r="G1039" s="1">
        <v>27</v>
      </c>
      <c r="H1039" s="1" t="s">
        <v>2780</v>
      </c>
      <c r="I1039" s="1" t="s">
        <v>2917</v>
      </c>
    </row>
    <row r="1040" spans="1:9" ht="15" x14ac:dyDescent="0.25">
      <c r="A1040" s="16">
        <v>14010005</v>
      </c>
      <c r="B1040" s="11" t="s">
        <v>2454</v>
      </c>
      <c r="C1040" s="11" t="s">
        <v>1691</v>
      </c>
      <c r="D1040" s="4">
        <f>G1040</f>
        <v>41</v>
      </c>
      <c r="F1040" s="1"/>
      <c r="G1040" s="1">
        <v>41</v>
      </c>
      <c r="H1040" s="1" t="s">
        <v>2780</v>
      </c>
    </row>
    <row r="1041" spans="1:10" ht="15" x14ac:dyDescent="0.25">
      <c r="A1041" s="3">
        <v>14010006</v>
      </c>
      <c r="B1041" s="11" t="s">
        <v>502</v>
      </c>
      <c r="C1041" s="11" t="s">
        <v>1675</v>
      </c>
      <c r="D1041" s="4">
        <v>15</v>
      </c>
      <c r="F1041" s="1"/>
      <c r="G1041" s="1">
        <v>15</v>
      </c>
      <c r="H1041" s="1" t="s">
        <v>2916</v>
      </c>
    </row>
    <row r="1042" spans="1:10" ht="15" x14ac:dyDescent="0.25">
      <c r="A1042" s="3">
        <v>14010006</v>
      </c>
      <c r="B1042" s="11" t="s">
        <v>502</v>
      </c>
      <c r="C1042" s="11" t="s">
        <v>1676</v>
      </c>
      <c r="D1042" s="4">
        <v>48</v>
      </c>
      <c r="F1042" s="1"/>
      <c r="G1042" s="1">
        <v>48</v>
      </c>
      <c r="H1042" s="1" t="s">
        <v>2918</v>
      </c>
    </row>
    <row r="1043" spans="1:10" ht="15" x14ac:dyDescent="0.25">
      <c r="A1043" s="16">
        <v>14010006</v>
      </c>
      <c r="B1043" s="11" t="s">
        <v>510</v>
      </c>
      <c r="C1043" s="11" t="s">
        <v>1686</v>
      </c>
      <c r="D1043" s="4">
        <v>48</v>
      </c>
      <c r="F1043" s="1"/>
      <c r="G1043" s="1">
        <v>48</v>
      </c>
      <c r="H1043" s="1" t="s">
        <v>2918</v>
      </c>
    </row>
    <row r="1044" spans="1:10" ht="15" x14ac:dyDescent="0.25">
      <c r="A1044" s="3">
        <v>14010006</v>
      </c>
      <c r="B1044" s="11" t="s">
        <v>517</v>
      </c>
      <c r="C1044" s="11" t="s">
        <v>1694</v>
      </c>
      <c r="D1044" s="4">
        <v>81</v>
      </c>
      <c r="F1044" s="1"/>
      <c r="G1044" s="1">
        <v>81</v>
      </c>
      <c r="H1044" s="1" t="s">
        <v>2916</v>
      </c>
    </row>
    <row r="1045" spans="1:10" ht="15" x14ac:dyDescent="0.25">
      <c r="A1045" s="3">
        <v>14010006</v>
      </c>
      <c r="B1045" s="11" t="s">
        <v>514</v>
      </c>
      <c r="C1045" s="11" t="s">
        <v>1690</v>
      </c>
      <c r="D1045" s="4">
        <v>32</v>
      </c>
      <c r="F1045" s="1"/>
      <c r="G1045" s="1">
        <v>32</v>
      </c>
      <c r="H1045" s="1" t="s">
        <v>2918</v>
      </c>
      <c r="I1045" s="1" t="s">
        <v>2917</v>
      </c>
    </row>
    <row r="1046" spans="1:10" ht="15" x14ac:dyDescent="0.25">
      <c r="A1046" s="3">
        <v>14010006</v>
      </c>
      <c r="B1046" s="11" t="s">
        <v>517</v>
      </c>
      <c r="C1046" s="11" t="s">
        <v>1693</v>
      </c>
      <c r="D1046" s="4">
        <v>48</v>
      </c>
      <c r="F1046" s="1"/>
      <c r="G1046" s="1">
        <v>48</v>
      </c>
      <c r="H1046" s="1" t="s">
        <v>2918</v>
      </c>
    </row>
    <row r="1047" spans="1:10" ht="15" x14ac:dyDescent="0.25">
      <c r="A1047" s="16">
        <v>14020001</v>
      </c>
      <c r="B1047" s="11" t="s">
        <v>518</v>
      </c>
      <c r="C1047" s="11" t="s">
        <v>1695</v>
      </c>
      <c r="D1047" s="4">
        <f>G1047</f>
        <v>118</v>
      </c>
      <c r="F1047" s="1"/>
      <c r="G1047" s="1">
        <v>118</v>
      </c>
      <c r="H1047" s="1" t="s">
        <v>2580</v>
      </c>
    </row>
    <row r="1048" spans="1:10" ht="15" x14ac:dyDescent="0.25">
      <c r="A1048" s="24">
        <v>14020003</v>
      </c>
      <c r="B1048" s="25" t="s">
        <v>3219</v>
      </c>
      <c r="C1048" s="25" t="s">
        <v>14</v>
      </c>
      <c r="D1048" s="4">
        <v>112</v>
      </c>
      <c r="H1048" s="1" t="s">
        <v>2781</v>
      </c>
    </row>
    <row r="1049" spans="1:10" ht="15" x14ac:dyDescent="0.25">
      <c r="A1049" s="16">
        <v>14020004</v>
      </c>
      <c r="B1049" s="11" t="s">
        <v>519</v>
      </c>
      <c r="C1049" s="11" t="s">
        <v>1696</v>
      </c>
      <c r="D1049" s="4">
        <f>G1049</f>
        <v>14</v>
      </c>
      <c r="F1049" s="1"/>
      <c r="G1049" s="1">
        <v>14</v>
      </c>
      <c r="H1049" s="1" t="s">
        <v>2781</v>
      </c>
      <c r="I1049" s="1" t="s">
        <v>2739</v>
      </c>
    </row>
    <row r="1050" spans="1:10" ht="15" x14ac:dyDescent="0.25">
      <c r="A1050" s="24">
        <v>14020004</v>
      </c>
      <c r="B1050" s="25" t="s">
        <v>519</v>
      </c>
      <c r="C1050" s="25" t="s">
        <v>16</v>
      </c>
      <c r="D1050" s="4">
        <v>168</v>
      </c>
      <c r="H1050" s="1" t="s">
        <v>2781</v>
      </c>
    </row>
    <row r="1051" spans="1:10" ht="15" x14ac:dyDescent="0.25">
      <c r="A1051" s="3">
        <v>14020004</v>
      </c>
      <c r="B1051" s="11" t="s">
        <v>519</v>
      </c>
      <c r="C1051" s="11" t="s">
        <v>1697</v>
      </c>
      <c r="D1051" s="4">
        <f>G1051</f>
        <v>112</v>
      </c>
      <c r="F1051" s="1"/>
      <c r="G1051" s="1">
        <v>112</v>
      </c>
      <c r="H1051" s="1" t="s">
        <v>2781</v>
      </c>
      <c r="I1051" s="1" t="s">
        <v>2581</v>
      </c>
    </row>
    <row r="1052" spans="1:10" ht="15" x14ac:dyDescent="0.25">
      <c r="A1052" s="16">
        <v>14020004</v>
      </c>
      <c r="B1052" s="11" t="s">
        <v>519</v>
      </c>
      <c r="C1052" s="11" t="s">
        <v>1698</v>
      </c>
      <c r="D1052" s="4">
        <v>140</v>
      </c>
      <c r="E1052" s="4"/>
      <c r="F1052" s="1"/>
      <c r="G1052" s="1">
        <v>112</v>
      </c>
      <c r="H1052" s="1" t="s">
        <v>2781</v>
      </c>
    </row>
    <row r="1053" spans="1:10" ht="15" x14ac:dyDescent="0.25">
      <c r="A1053" s="3">
        <v>14020005</v>
      </c>
      <c r="B1053" s="11" t="s">
        <v>520</v>
      </c>
      <c r="C1053" s="11" t="s">
        <v>1699</v>
      </c>
      <c r="D1053" s="4">
        <f>G1053</f>
        <v>609</v>
      </c>
      <c r="F1053" s="1"/>
      <c r="G1053" s="1">
        <v>609</v>
      </c>
      <c r="H1053" s="1" t="s">
        <v>2582</v>
      </c>
    </row>
    <row r="1054" spans="1:10" ht="15" x14ac:dyDescent="0.25">
      <c r="A1054" s="3">
        <v>14020006</v>
      </c>
      <c r="B1054" s="11" t="s">
        <v>521</v>
      </c>
      <c r="C1054" s="11" t="s">
        <v>1699</v>
      </c>
      <c r="D1054" s="1">
        <f>G1054</f>
        <v>58</v>
      </c>
      <c r="F1054" s="1"/>
      <c r="G1054" s="1">
        <v>58</v>
      </c>
      <c r="H1054" s="1" t="s">
        <v>2583</v>
      </c>
    </row>
    <row r="1055" spans="1:10" ht="15" x14ac:dyDescent="0.25">
      <c r="A1055" s="3">
        <v>14020006</v>
      </c>
      <c r="B1055" s="11" t="s">
        <v>521</v>
      </c>
      <c r="C1055" s="11" t="s">
        <v>1700</v>
      </c>
      <c r="D1055" s="4">
        <f>G1055</f>
        <v>84</v>
      </c>
      <c r="F1055" s="1"/>
      <c r="G1055" s="1">
        <v>84</v>
      </c>
      <c r="H1055" s="1" t="s">
        <v>2583</v>
      </c>
    </row>
    <row r="1056" spans="1:10" ht="15" x14ac:dyDescent="0.25">
      <c r="A1056" s="16">
        <v>14030001</v>
      </c>
      <c r="B1056" s="11" t="s">
        <v>523</v>
      </c>
      <c r="C1056" s="11" t="s">
        <v>11</v>
      </c>
      <c r="D1056" s="4">
        <f t="shared" ref="D1056:D1061" si="31">ROUND(E1056*F1056,0)</f>
        <v>9</v>
      </c>
      <c r="E1056" s="1">
        <f t="shared" ref="E1056:E1061" si="32">ROUND(150/237,2)</f>
        <v>0.63</v>
      </c>
      <c r="F1056" s="1">
        <v>15</v>
      </c>
      <c r="G1056" s="4"/>
      <c r="H1056" s="1" t="s">
        <v>2925</v>
      </c>
      <c r="I1056" s="1" t="s">
        <v>3132</v>
      </c>
      <c r="J1056" s="1" t="s">
        <v>3132</v>
      </c>
    </row>
    <row r="1057" spans="1:10" ht="15" x14ac:dyDescent="0.25">
      <c r="A1057" s="3">
        <v>14030001</v>
      </c>
      <c r="B1057" s="11" t="s">
        <v>523</v>
      </c>
      <c r="C1057" s="11" t="s">
        <v>27</v>
      </c>
      <c r="D1057" s="4">
        <f t="shared" si="31"/>
        <v>82</v>
      </c>
      <c r="E1057" s="1">
        <f t="shared" si="32"/>
        <v>0.63</v>
      </c>
      <c r="F1057" s="1">
        <v>130</v>
      </c>
      <c r="H1057" s="1" t="s">
        <v>2925</v>
      </c>
    </row>
    <row r="1058" spans="1:10" ht="15" x14ac:dyDescent="0.25">
      <c r="A1058" s="16">
        <v>14030001</v>
      </c>
      <c r="B1058" s="11" t="s">
        <v>523</v>
      </c>
      <c r="C1058" s="11" t="s">
        <v>1702</v>
      </c>
      <c r="D1058" s="4">
        <f t="shared" si="31"/>
        <v>17</v>
      </c>
      <c r="E1058" s="1">
        <f t="shared" si="32"/>
        <v>0.63</v>
      </c>
      <c r="F1058" s="1">
        <v>27</v>
      </c>
      <c r="H1058" s="1" t="s">
        <v>2925</v>
      </c>
    </row>
    <row r="1059" spans="1:10" ht="15" x14ac:dyDescent="0.25">
      <c r="A1059" s="16">
        <v>14030001</v>
      </c>
      <c r="B1059" s="11" t="s">
        <v>523</v>
      </c>
      <c r="C1059" s="11" t="s">
        <v>13</v>
      </c>
      <c r="D1059" s="4">
        <f t="shared" si="31"/>
        <v>38</v>
      </c>
      <c r="E1059" s="1">
        <f t="shared" si="32"/>
        <v>0.63</v>
      </c>
      <c r="F1059" s="1">
        <v>60</v>
      </c>
      <c r="G1059" s="4"/>
      <c r="H1059" s="1" t="s">
        <v>2925</v>
      </c>
      <c r="I1059" s="1" t="s">
        <v>3132</v>
      </c>
      <c r="J1059" s="1" t="s">
        <v>3132</v>
      </c>
    </row>
    <row r="1060" spans="1:10" ht="15" x14ac:dyDescent="0.25">
      <c r="A1060" s="16">
        <v>14030002</v>
      </c>
      <c r="B1060" s="11" t="s">
        <v>524</v>
      </c>
      <c r="C1060" s="11" t="s">
        <v>1702</v>
      </c>
      <c r="D1060" s="4">
        <f t="shared" si="31"/>
        <v>17</v>
      </c>
      <c r="E1060" s="1">
        <f t="shared" si="32"/>
        <v>0.63</v>
      </c>
      <c r="F1060" s="1">
        <v>27</v>
      </c>
      <c r="H1060" s="1" t="s">
        <v>2925</v>
      </c>
    </row>
    <row r="1061" spans="1:10" ht="15" x14ac:dyDescent="0.25">
      <c r="A1061" s="16">
        <v>14030002</v>
      </c>
      <c r="B1061" s="11" t="s">
        <v>522</v>
      </c>
      <c r="C1061" s="11" t="s">
        <v>1701</v>
      </c>
      <c r="D1061" s="4">
        <f t="shared" si="31"/>
        <v>53</v>
      </c>
      <c r="E1061" s="1">
        <f t="shared" si="32"/>
        <v>0.63</v>
      </c>
      <c r="F1061" s="1">
        <v>84</v>
      </c>
      <c r="H1061" s="1" t="s">
        <v>2925</v>
      </c>
    </row>
    <row r="1062" spans="1:10" ht="15" x14ac:dyDescent="0.25">
      <c r="A1062" s="16">
        <v>14040001</v>
      </c>
      <c r="B1062" s="11" t="s">
        <v>526</v>
      </c>
      <c r="C1062" s="11" t="s">
        <v>1704</v>
      </c>
      <c r="D1062" s="4">
        <f>G1062</f>
        <v>32</v>
      </c>
      <c r="F1062" s="1">
        <f>10*2*1</f>
        <v>20</v>
      </c>
      <c r="G1062" s="1">
        <v>32</v>
      </c>
      <c r="H1062" s="1" t="s">
        <v>2782</v>
      </c>
      <c r="I1062" s="1" t="s">
        <v>2744</v>
      </c>
    </row>
    <row r="1063" spans="1:10" ht="15" x14ac:dyDescent="0.25">
      <c r="A1063" s="24">
        <v>14040001</v>
      </c>
      <c r="B1063" s="25" t="s">
        <v>526</v>
      </c>
      <c r="C1063" s="25" t="s">
        <v>12</v>
      </c>
      <c r="D1063" s="4">
        <v>64</v>
      </c>
      <c r="H1063" s="1" t="s">
        <v>2782</v>
      </c>
    </row>
    <row r="1064" spans="1:10" ht="15" x14ac:dyDescent="0.25">
      <c r="A1064" s="24">
        <v>14040001</v>
      </c>
      <c r="B1064" s="25" t="s">
        <v>526</v>
      </c>
      <c r="C1064" s="25" t="s">
        <v>16</v>
      </c>
      <c r="D1064" s="4">
        <v>235</v>
      </c>
      <c r="H1064" s="1" t="s">
        <v>2782</v>
      </c>
    </row>
    <row r="1065" spans="1:10" ht="15" x14ac:dyDescent="0.25">
      <c r="A1065" s="3">
        <v>14040001</v>
      </c>
      <c r="B1065" s="11" t="s">
        <v>526</v>
      </c>
      <c r="C1065" s="11" t="s">
        <v>1705</v>
      </c>
      <c r="D1065" s="4">
        <f>G1065</f>
        <v>137</v>
      </c>
      <c r="F1065" s="1"/>
      <c r="G1065" s="1">
        <v>137</v>
      </c>
      <c r="H1065" s="1" t="s">
        <v>2782</v>
      </c>
    </row>
    <row r="1066" spans="1:10" ht="15" x14ac:dyDescent="0.25">
      <c r="A1066" s="3">
        <v>14040001</v>
      </c>
      <c r="B1066" s="11" t="s">
        <v>2584</v>
      </c>
      <c r="C1066" s="11" t="s">
        <v>1706</v>
      </c>
      <c r="D1066" s="4">
        <v>186</v>
      </c>
      <c r="E1066" s="4"/>
      <c r="F1066" s="1"/>
      <c r="G1066" s="1">
        <v>186</v>
      </c>
      <c r="H1066" s="1" t="s">
        <v>2782</v>
      </c>
      <c r="I1066" s="1" t="s">
        <v>2919</v>
      </c>
    </row>
    <row r="1067" spans="1:10" ht="15" x14ac:dyDescent="0.25">
      <c r="A1067" s="3">
        <v>14040002</v>
      </c>
      <c r="B1067" s="11" t="s">
        <v>525</v>
      </c>
      <c r="C1067" s="11" t="s">
        <v>1703</v>
      </c>
      <c r="D1067" s="1">
        <v>32</v>
      </c>
      <c r="F1067" s="1">
        <v>20</v>
      </c>
      <c r="G1067" s="1">
        <v>32</v>
      </c>
      <c r="H1067" s="1" t="s">
        <v>2782</v>
      </c>
      <c r="I1067" s="1" t="s">
        <v>3027</v>
      </c>
    </row>
    <row r="1068" spans="1:10" ht="15" x14ac:dyDescent="0.25">
      <c r="A1068" s="3">
        <v>14040002</v>
      </c>
      <c r="B1068" s="11" t="s">
        <v>527</v>
      </c>
      <c r="C1068" s="11" t="s">
        <v>1709</v>
      </c>
      <c r="D1068" s="4">
        <f>G1068</f>
        <v>235</v>
      </c>
      <c r="F1068" s="1"/>
      <c r="G1068" s="1">
        <v>235</v>
      </c>
      <c r="H1068" s="1" t="s">
        <v>2782</v>
      </c>
    </row>
    <row r="1069" spans="1:10" ht="15" x14ac:dyDescent="0.25">
      <c r="A1069" s="3">
        <v>14040002</v>
      </c>
      <c r="B1069" s="11" t="s">
        <v>527</v>
      </c>
      <c r="C1069" s="11" t="s">
        <v>1707</v>
      </c>
      <c r="D1069" s="4">
        <f>G1069</f>
        <v>137</v>
      </c>
      <c r="F1069" s="1"/>
      <c r="G1069" s="1">
        <v>137</v>
      </c>
      <c r="H1069" s="1" t="s">
        <v>2782</v>
      </c>
    </row>
    <row r="1070" spans="1:10" ht="15" x14ac:dyDescent="0.25">
      <c r="A1070" s="3">
        <v>14040002</v>
      </c>
      <c r="B1070" s="11" t="s">
        <v>527</v>
      </c>
      <c r="C1070" s="11" t="s">
        <v>1708</v>
      </c>
      <c r="D1070" s="4">
        <v>186</v>
      </c>
      <c r="E1070" s="4"/>
      <c r="F1070" s="1"/>
      <c r="G1070" s="1">
        <v>186</v>
      </c>
      <c r="H1070" s="1" t="s">
        <v>2782</v>
      </c>
      <c r="I1070" s="1" t="s">
        <v>2919</v>
      </c>
    </row>
    <row r="1071" spans="1:10" ht="15" x14ac:dyDescent="0.25">
      <c r="A1071" s="5">
        <v>14050102</v>
      </c>
      <c r="B1071" s="11" t="s">
        <v>528</v>
      </c>
      <c r="C1071" s="11" t="s">
        <v>32</v>
      </c>
      <c r="D1071" s="4">
        <f>G1071</f>
        <v>1</v>
      </c>
      <c r="F1071" s="1"/>
      <c r="G1071" s="4">
        <v>1</v>
      </c>
      <c r="H1071" s="1" t="s">
        <v>2783</v>
      </c>
    </row>
    <row r="1072" spans="1:10" ht="15" x14ac:dyDescent="0.25">
      <c r="A1072" s="3">
        <v>14050102</v>
      </c>
      <c r="B1072" s="11" t="s">
        <v>531</v>
      </c>
      <c r="C1072" s="11" t="s">
        <v>1717</v>
      </c>
      <c r="D1072" s="4">
        <f>E1072*F1072</f>
        <v>82.827004219409275</v>
      </c>
      <c r="E1072" s="10">
        <f>151/237</f>
        <v>0.6371308016877637</v>
      </c>
      <c r="F1072" s="1">
        <v>130</v>
      </c>
      <c r="H1072" s="1" t="s">
        <v>2901</v>
      </c>
    </row>
    <row r="1073" spans="1:9" ht="15" x14ac:dyDescent="0.25">
      <c r="A1073" s="16">
        <v>14050102</v>
      </c>
      <c r="B1073" s="11" t="s">
        <v>530</v>
      </c>
      <c r="C1073" s="11" t="s">
        <v>1714</v>
      </c>
      <c r="D1073" s="4">
        <v>68</v>
      </c>
      <c r="F1073" s="1"/>
      <c r="G1073" s="1">
        <v>68</v>
      </c>
      <c r="H1073" s="1" t="s">
        <v>2783</v>
      </c>
      <c r="I1073" s="1" t="s">
        <v>2904</v>
      </c>
    </row>
    <row r="1074" spans="1:9" ht="15" x14ac:dyDescent="0.25">
      <c r="A1074" s="16">
        <v>14050102</v>
      </c>
      <c r="B1074" s="11" t="s">
        <v>528</v>
      </c>
      <c r="C1074" s="11" t="s">
        <v>1711</v>
      </c>
      <c r="D1074" s="4">
        <v>34</v>
      </c>
      <c r="F1074" s="1"/>
      <c r="G1074" s="1">
        <v>34</v>
      </c>
      <c r="H1074" s="1" t="s">
        <v>2783</v>
      </c>
      <c r="I1074" s="1" t="s">
        <v>2903</v>
      </c>
    </row>
    <row r="1075" spans="1:9" ht="15" x14ac:dyDescent="0.25">
      <c r="A1075" s="16">
        <v>14050102</v>
      </c>
      <c r="B1075" s="11" t="s">
        <v>528</v>
      </c>
      <c r="C1075" s="11" t="s">
        <v>1710</v>
      </c>
      <c r="D1075" s="4">
        <v>20</v>
      </c>
      <c r="F1075" s="1"/>
      <c r="G1075" s="1">
        <v>20</v>
      </c>
      <c r="H1075" s="1" t="s">
        <v>2783</v>
      </c>
      <c r="I1075" s="1" t="s">
        <v>2744</v>
      </c>
    </row>
    <row r="1076" spans="1:9" ht="15" x14ac:dyDescent="0.25">
      <c r="A1076" s="3">
        <v>14050102</v>
      </c>
      <c r="B1076" s="11" t="s">
        <v>531</v>
      </c>
      <c r="C1076" s="11" t="s">
        <v>1718</v>
      </c>
      <c r="D1076" s="4">
        <v>27</v>
      </c>
      <c r="F1076" s="1"/>
      <c r="G1076" s="1">
        <v>27</v>
      </c>
      <c r="H1076" s="1" t="s">
        <v>2783</v>
      </c>
      <c r="I1076" s="1" t="s">
        <v>2739</v>
      </c>
    </row>
    <row r="1077" spans="1:9" ht="15" x14ac:dyDescent="0.25">
      <c r="A1077" s="16">
        <v>14050102</v>
      </c>
      <c r="B1077" s="11" t="s">
        <v>531</v>
      </c>
      <c r="C1077" s="11" t="s">
        <v>1715</v>
      </c>
      <c r="D1077" s="4">
        <f>E1077*F1077</f>
        <v>53.518987341772153</v>
      </c>
      <c r="E1077" s="10">
        <f>151/237</f>
        <v>0.6371308016877637</v>
      </c>
      <c r="F1077" s="1">
        <v>84</v>
      </c>
      <c r="H1077" s="1" t="s">
        <v>2901</v>
      </c>
    </row>
    <row r="1078" spans="1:9" ht="15" x14ac:dyDescent="0.25">
      <c r="A1078" s="16">
        <v>14050102</v>
      </c>
      <c r="B1078" s="11" t="s">
        <v>531</v>
      </c>
      <c r="C1078" s="11" t="s">
        <v>1716</v>
      </c>
      <c r="D1078" s="4">
        <v>20</v>
      </c>
      <c r="F1078" s="1">
        <v>32.5</v>
      </c>
      <c r="G1078" s="1">
        <v>20</v>
      </c>
      <c r="H1078" s="1" t="s">
        <v>2783</v>
      </c>
      <c r="I1078" s="1" t="s">
        <v>2744</v>
      </c>
    </row>
    <row r="1079" spans="1:9" ht="15" x14ac:dyDescent="0.25">
      <c r="A1079" s="16">
        <v>14050103</v>
      </c>
      <c r="B1079" s="11" t="s">
        <v>529</v>
      </c>
      <c r="C1079" s="11" t="s">
        <v>1712</v>
      </c>
      <c r="D1079" s="4">
        <v>18</v>
      </c>
      <c r="F1079" s="1"/>
      <c r="G1079" s="1">
        <v>18</v>
      </c>
      <c r="H1079" s="1" t="s">
        <v>2784</v>
      </c>
      <c r="I1079" s="1" t="s">
        <v>2740</v>
      </c>
    </row>
    <row r="1080" spans="1:9" ht="15" x14ac:dyDescent="0.25">
      <c r="A1080" s="16">
        <v>14050103</v>
      </c>
      <c r="B1080" s="11" t="s">
        <v>529</v>
      </c>
      <c r="C1080" s="11" t="s">
        <v>1713</v>
      </c>
      <c r="D1080" s="4">
        <v>36</v>
      </c>
      <c r="F1080" s="1"/>
      <c r="G1080" s="1">
        <v>36</v>
      </c>
      <c r="H1080" s="1" t="s">
        <v>2784</v>
      </c>
      <c r="I1080" s="1" t="s">
        <v>2899</v>
      </c>
    </row>
    <row r="1081" spans="1:9" ht="15" x14ac:dyDescent="0.25">
      <c r="A1081" s="20">
        <v>14050103</v>
      </c>
      <c r="B1081" s="11" t="s">
        <v>2585</v>
      </c>
      <c r="C1081" s="11" t="s">
        <v>13</v>
      </c>
      <c r="D1081" s="4">
        <v>72</v>
      </c>
      <c r="F1081" s="1"/>
      <c r="G1081" s="1">
        <v>72</v>
      </c>
      <c r="H1081" s="1" t="s">
        <v>2784</v>
      </c>
      <c r="I1081" s="1" t="s">
        <v>2586</v>
      </c>
    </row>
    <row r="1082" spans="1:9" ht="15" x14ac:dyDescent="0.25">
      <c r="A1082" s="3">
        <v>14050202</v>
      </c>
      <c r="B1082" s="11" t="s">
        <v>2587</v>
      </c>
      <c r="C1082" s="11" t="s">
        <v>1723</v>
      </c>
      <c r="D1082" s="4">
        <f>ROUND(E1082*F1082,0)</f>
        <v>132</v>
      </c>
      <c r="E1082" s="1">
        <f>ROUND(156/237,2)</f>
        <v>0.66</v>
      </c>
      <c r="F1082" s="1">
        <v>200</v>
      </c>
      <c r="H1082" s="1" t="s">
        <v>2588</v>
      </c>
      <c r="I1082" s="1" t="s">
        <v>2695</v>
      </c>
    </row>
    <row r="1083" spans="1:9" ht="15" x14ac:dyDescent="0.25">
      <c r="A1083" s="5">
        <v>14050203</v>
      </c>
      <c r="B1083" s="11" t="s">
        <v>533</v>
      </c>
      <c r="C1083" s="11" t="s">
        <v>32</v>
      </c>
      <c r="D1083" s="4">
        <f>G1083</f>
        <v>1</v>
      </c>
      <c r="F1083" s="1"/>
      <c r="G1083" s="4">
        <v>1</v>
      </c>
      <c r="H1083" s="1" t="s">
        <v>2588</v>
      </c>
    </row>
    <row r="1084" spans="1:9" ht="15" x14ac:dyDescent="0.25">
      <c r="A1084" s="16">
        <v>14050203</v>
      </c>
      <c r="B1084" s="11" t="s">
        <v>533</v>
      </c>
      <c r="C1084" s="11" t="s">
        <v>1720</v>
      </c>
      <c r="D1084" s="4">
        <f>ROUND(E1084*F1084,0)</f>
        <v>132</v>
      </c>
      <c r="E1084" s="1">
        <f>ROUND(156/237,2)</f>
        <v>0.66</v>
      </c>
      <c r="F1084" s="1">
        <v>200</v>
      </c>
      <c r="H1084" s="1" t="s">
        <v>2588</v>
      </c>
    </row>
    <row r="1085" spans="1:9" ht="15" x14ac:dyDescent="0.25">
      <c r="A1085" s="5">
        <v>14050204</v>
      </c>
      <c r="B1085" s="11" t="s">
        <v>532</v>
      </c>
      <c r="C1085" s="11" t="s">
        <v>32</v>
      </c>
      <c r="D1085" s="4">
        <f>G1085</f>
        <v>1</v>
      </c>
      <c r="F1085" s="1"/>
      <c r="G1085" s="4">
        <v>1</v>
      </c>
      <c r="H1085" s="1" t="s">
        <v>2589</v>
      </c>
    </row>
    <row r="1086" spans="1:9" ht="15" x14ac:dyDescent="0.25">
      <c r="A1086" s="16">
        <v>14050204</v>
      </c>
      <c r="B1086" s="11" t="s">
        <v>532</v>
      </c>
      <c r="C1086" s="11" t="s">
        <v>1719</v>
      </c>
      <c r="D1086" s="4">
        <v>33</v>
      </c>
      <c r="E1086" s="1">
        <v>0.65</v>
      </c>
      <c r="F1086" s="1">
        <v>50</v>
      </c>
      <c r="H1086" s="1" t="s">
        <v>2589</v>
      </c>
    </row>
    <row r="1087" spans="1:9" ht="15" x14ac:dyDescent="0.25">
      <c r="A1087" s="24">
        <v>14050204</v>
      </c>
      <c r="B1087" s="25" t="s">
        <v>532</v>
      </c>
      <c r="C1087" s="25" t="s">
        <v>8</v>
      </c>
      <c r="D1087" s="4">
        <v>130</v>
      </c>
      <c r="H1087" s="1" t="s">
        <v>2589</v>
      </c>
    </row>
    <row r="1088" spans="1:9" ht="15" x14ac:dyDescent="0.25">
      <c r="A1088" s="24">
        <v>14050204</v>
      </c>
      <c r="B1088" s="25" t="s">
        <v>532</v>
      </c>
      <c r="C1088" s="25" t="s">
        <v>15</v>
      </c>
      <c r="D1088" s="4">
        <v>336</v>
      </c>
      <c r="H1088" s="1" t="s">
        <v>2589</v>
      </c>
    </row>
    <row r="1089" spans="1:10" ht="15" x14ac:dyDescent="0.25">
      <c r="A1089" s="16">
        <v>14050204</v>
      </c>
      <c r="B1089" s="11" t="s">
        <v>534</v>
      </c>
      <c r="C1089" s="11" t="s">
        <v>1721</v>
      </c>
      <c r="D1089" s="4">
        <v>65</v>
      </c>
      <c r="E1089" s="1">
        <v>0.65</v>
      </c>
      <c r="F1089" s="1">
        <v>100</v>
      </c>
      <c r="H1089" s="1" t="s">
        <v>2589</v>
      </c>
    </row>
    <row r="1090" spans="1:10" ht="15" x14ac:dyDescent="0.25">
      <c r="A1090" s="16">
        <v>14050204</v>
      </c>
      <c r="B1090" s="11" t="s">
        <v>534</v>
      </c>
      <c r="C1090" s="11" t="s">
        <v>1722</v>
      </c>
      <c r="D1090" s="4">
        <v>130</v>
      </c>
      <c r="E1090" s="1">
        <v>0.65</v>
      </c>
      <c r="F1090" s="1">
        <v>200</v>
      </c>
      <c r="H1090" s="1" t="s">
        <v>2589</v>
      </c>
    </row>
    <row r="1091" spans="1:10" ht="15" x14ac:dyDescent="0.25">
      <c r="A1091" s="24">
        <v>14060001</v>
      </c>
      <c r="B1091" s="25" t="s">
        <v>541</v>
      </c>
      <c r="C1091" s="25" t="s">
        <v>13</v>
      </c>
      <c r="D1091" s="4">
        <v>122</v>
      </c>
      <c r="H1091" s="1" t="s">
        <v>2906</v>
      </c>
    </row>
    <row r="1092" spans="1:10" ht="15" x14ac:dyDescent="0.25">
      <c r="A1092" s="3">
        <v>14060001</v>
      </c>
      <c r="B1092" s="11" t="s">
        <v>541</v>
      </c>
      <c r="C1092" s="11" t="s">
        <v>1732</v>
      </c>
      <c r="D1092" s="4">
        <v>336</v>
      </c>
      <c r="F1092" s="1"/>
      <c r="G1092" s="1">
        <v>336</v>
      </c>
      <c r="H1092" s="1" t="s">
        <v>2906</v>
      </c>
    </row>
    <row r="1093" spans="1:10" ht="15" x14ac:dyDescent="0.25">
      <c r="A1093" s="3">
        <v>14060002</v>
      </c>
      <c r="B1093" s="11" t="s">
        <v>535</v>
      </c>
      <c r="C1093" s="11" t="s">
        <v>1724</v>
      </c>
      <c r="D1093" s="1">
        <f>G1093</f>
        <v>39</v>
      </c>
      <c r="F1093" s="1"/>
      <c r="G1093" s="1">
        <v>39</v>
      </c>
      <c r="H1093" s="1" t="s">
        <v>2785</v>
      </c>
      <c r="I1093" s="1" t="s">
        <v>2744</v>
      </c>
    </row>
    <row r="1094" spans="1:10" ht="15" x14ac:dyDescent="0.25">
      <c r="A1094" s="16">
        <v>14060002</v>
      </c>
      <c r="B1094" s="11" t="s">
        <v>538</v>
      </c>
      <c r="C1094" s="11" t="s">
        <v>1728</v>
      </c>
      <c r="D1094" s="1">
        <v>122</v>
      </c>
      <c r="F1094" s="1"/>
      <c r="G1094" s="1">
        <v>122</v>
      </c>
      <c r="H1094" s="1" t="s">
        <v>2785</v>
      </c>
      <c r="I1094" s="1" t="s">
        <v>2903</v>
      </c>
    </row>
    <row r="1095" spans="1:10" ht="15" x14ac:dyDescent="0.25">
      <c r="A1095" s="3">
        <v>14060002</v>
      </c>
      <c r="B1095" s="11" t="s">
        <v>544</v>
      </c>
      <c r="C1095" s="11" t="s">
        <v>1735</v>
      </c>
      <c r="D1095" s="1">
        <v>558</v>
      </c>
      <c r="F1095" s="1"/>
      <c r="G1095" s="1">
        <v>558</v>
      </c>
      <c r="H1095" s="1" t="s">
        <v>2785</v>
      </c>
    </row>
    <row r="1096" spans="1:10" ht="15" x14ac:dyDescent="0.25">
      <c r="A1096" s="3">
        <v>14060002</v>
      </c>
      <c r="B1096" s="11" t="s">
        <v>540</v>
      </c>
      <c r="C1096" s="11" t="s">
        <v>1731</v>
      </c>
      <c r="D1096" s="1">
        <v>210</v>
      </c>
      <c r="F1096" s="1"/>
      <c r="G1096" s="1">
        <v>39</v>
      </c>
      <c r="H1096" s="1" t="s">
        <v>2905</v>
      </c>
    </row>
    <row r="1097" spans="1:10" ht="15" x14ac:dyDescent="0.25">
      <c r="A1097" s="3">
        <v>14060002</v>
      </c>
      <c r="B1097" s="11" t="s">
        <v>542</v>
      </c>
      <c r="C1097" s="11" t="s">
        <v>1732</v>
      </c>
      <c r="D1097" s="4">
        <v>336</v>
      </c>
      <c r="F1097" s="1"/>
      <c r="G1097" s="1">
        <v>336</v>
      </c>
      <c r="H1097" s="1" t="s">
        <v>2906</v>
      </c>
    </row>
    <row r="1098" spans="1:10" ht="15" x14ac:dyDescent="0.25">
      <c r="A1098" s="3">
        <v>14060003</v>
      </c>
      <c r="B1098" s="11" t="s">
        <v>545</v>
      </c>
      <c r="C1098" s="11" t="s">
        <v>1738</v>
      </c>
      <c r="D1098" s="4">
        <f>G1098</f>
        <v>1</v>
      </c>
      <c r="F1098" s="1"/>
      <c r="G1098" s="4">
        <v>1</v>
      </c>
      <c r="H1098" s="1" t="s">
        <v>2785</v>
      </c>
    </row>
    <row r="1099" spans="1:10" ht="15" x14ac:dyDescent="0.25">
      <c r="A1099" s="16">
        <v>14060003</v>
      </c>
      <c r="B1099" s="11" t="s">
        <v>537</v>
      </c>
      <c r="C1099" s="11" t="s">
        <v>1727</v>
      </c>
      <c r="D1099" s="1">
        <f>G1099</f>
        <v>39</v>
      </c>
      <c r="F1099" s="1"/>
      <c r="G1099" s="1">
        <v>39</v>
      </c>
      <c r="H1099" s="1" t="s">
        <v>2785</v>
      </c>
      <c r="I1099" s="1" t="s">
        <v>2744</v>
      </c>
    </row>
    <row r="1100" spans="1:10" ht="15" x14ac:dyDescent="0.25">
      <c r="A1100" s="16">
        <v>14060003</v>
      </c>
      <c r="B1100" s="11" t="s">
        <v>536</v>
      </c>
      <c r="C1100" s="11" t="s">
        <v>26</v>
      </c>
      <c r="D1100" s="1">
        <v>39</v>
      </c>
      <c r="E1100" s="4"/>
      <c r="F1100" s="1" t="s">
        <v>3132</v>
      </c>
      <c r="G1100" s="1">
        <v>39</v>
      </c>
      <c r="H1100" s="1" t="s">
        <v>2785</v>
      </c>
      <c r="I1100" s="1" t="s">
        <v>2744</v>
      </c>
      <c r="J1100" s="1" t="s">
        <v>3132</v>
      </c>
    </row>
    <row r="1101" spans="1:10" ht="15" x14ac:dyDescent="0.25">
      <c r="A1101" s="3">
        <v>14060003</v>
      </c>
      <c r="B1101" s="11" t="s">
        <v>545</v>
      </c>
      <c r="C1101" s="11" t="s">
        <v>1737</v>
      </c>
      <c r="D1101" s="1">
        <v>66</v>
      </c>
      <c r="F1101" s="1"/>
      <c r="G1101" s="1">
        <v>66</v>
      </c>
      <c r="H1101" s="1" t="s">
        <v>2785</v>
      </c>
      <c r="I1101" s="1" t="s">
        <v>2739</v>
      </c>
    </row>
    <row r="1102" spans="1:10" ht="15" x14ac:dyDescent="0.25">
      <c r="A1102" s="16">
        <v>14060003</v>
      </c>
      <c r="B1102" s="11" t="s">
        <v>545</v>
      </c>
      <c r="C1102" s="11" t="s">
        <v>1736</v>
      </c>
      <c r="D1102" s="1">
        <v>122</v>
      </c>
      <c r="F1102" s="1"/>
      <c r="G1102" s="1">
        <v>122</v>
      </c>
      <c r="H1102" s="1" t="s">
        <v>2785</v>
      </c>
      <c r="I1102" s="1" t="s">
        <v>2903</v>
      </c>
    </row>
    <row r="1103" spans="1:10" ht="15" x14ac:dyDescent="0.25">
      <c r="A1103" s="3">
        <v>14060003</v>
      </c>
      <c r="B1103" s="11" t="s">
        <v>536</v>
      </c>
      <c r="C1103" s="11" t="s">
        <v>1726</v>
      </c>
      <c r="D1103" s="1">
        <v>122</v>
      </c>
      <c r="F1103" s="1"/>
      <c r="G1103" s="1">
        <v>122</v>
      </c>
      <c r="H1103" s="1" t="s">
        <v>2785</v>
      </c>
      <c r="I1103" s="1" t="s">
        <v>2903</v>
      </c>
    </row>
    <row r="1104" spans="1:10" ht="15" x14ac:dyDescent="0.25">
      <c r="A1104" s="3">
        <v>14060003</v>
      </c>
      <c r="B1104" s="11" t="s">
        <v>536</v>
      </c>
      <c r="C1104" s="11" t="s">
        <v>1725</v>
      </c>
      <c r="D1104" s="1">
        <f>G1104</f>
        <v>66</v>
      </c>
      <c r="F1104" s="1"/>
      <c r="G1104" s="1">
        <v>66</v>
      </c>
      <c r="H1104" s="1" t="s">
        <v>2785</v>
      </c>
    </row>
    <row r="1105" spans="1:10" ht="15" x14ac:dyDescent="0.25">
      <c r="A1105" s="16">
        <v>14060003</v>
      </c>
      <c r="B1105" s="11" t="s">
        <v>539</v>
      </c>
      <c r="C1105" s="11" t="s">
        <v>1730</v>
      </c>
      <c r="D1105" s="1">
        <v>122</v>
      </c>
      <c r="F1105" s="1"/>
      <c r="G1105" s="1">
        <v>122</v>
      </c>
      <c r="H1105" s="1" t="s">
        <v>2785</v>
      </c>
      <c r="I1105" s="1" t="s">
        <v>2903</v>
      </c>
    </row>
    <row r="1106" spans="1:10" ht="15" x14ac:dyDescent="0.25">
      <c r="A1106" s="16">
        <v>14060003</v>
      </c>
      <c r="B1106" s="11" t="s">
        <v>539</v>
      </c>
      <c r="C1106" s="11" t="s">
        <v>1729</v>
      </c>
      <c r="D1106" s="1">
        <v>66</v>
      </c>
      <c r="F1106" s="1"/>
      <c r="G1106" s="1">
        <v>66</v>
      </c>
      <c r="H1106" s="1" t="s">
        <v>2785</v>
      </c>
      <c r="I1106" s="1" t="s">
        <v>2739</v>
      </c>
    </row>
    <row r="1107" spans="1:10" ht="15" x14ac:dyDescent="0.25">
      <c r="A1107" s="3">
        <v>14060003</v>
      </c>
      <c r="B1107" s="11" t="s">
        <v>543</v>
      </c>
      <c r="C1107" s="11" t="s">
        <v>1733</v>
      </c>
      <c r="D1107" s="1">
        <v>210</v>
      </c>
      <c r="F1107" s="1"/>
      <c r="G1107" s="1">
        <v>39</v>
      </c>
      <c r="H1107" s="1" t="s">
        <v>2905</v>
      </c>
    </row>
    <row r="1108" spans="1:10" ht="15" x14ac:dyDescent="0.25">
      <c r="A1108" s="3">
        <v>14060003</v>
      </c>
      <c r="B1108" s="11" t="s">
        <v>2462</v>
      </c>
      <c r="C1108" s="11" t="s">
        <v>1735</v>
      </c>
      <c r="D1108" s="1">
        <v>558</v>
      </c>
      <c r="F1108" s="1"/>
      <c r="G1108" s="1">
        <v>558</v>
      </c>
      <c r="H1108" s="1" t="s">
        <v>2785</v>
      </c>
    </row>
    <row r="1109" spans="1:10" ht="15" x14ac:dyDescent="0.25">
      <c r="A1109" s="3">
        <v>14060003</v>
      </c>
      <c r="B1109" s="11" t="s">
        <v>2462</v>
      </c>
      <c r="C1109" s="11" t="s">
        <v>1734</v>
      </c>
      <c r="D1109" s="4">
        <v>336</v>
      </c>
      <c r="F1109" s="1"/>
      <c r="G1109" s="1">
        <v>336</v>
      </c>
      <c r="H1109" s="1" t="s">
        <v>2906</v>
      </c>
    </row>
    <row r="1110" spans="1:10" ht="15" x14ac:dyDescent="0.25">
      <c r="A1110" s="3">
        <v>14070002</v>
      </c>
      <c r="B1110" s="11" t="s">
        <v>547</v>
      </c>
      <c r="C1110" s="11" t="s">
        <v>1740</v>
      </c>
      <c r="D1110" s="4">
        <f>ROUND(E1110*F1110,0)</f>
        <v>43</v>
      </c>
      <c r="E1110" s="1">
        <v>0.33</v>
      </c>
      <c r="F1110" s="1">
        <v>130</v>
      </c>
      <c r="H1110" s="1" t="s">
        <v>2926</v>
      </c>
    </row>
    <row r="1111" spans="1:10" ht="15" x14ac:dyDescent="0.25">
      <c r="A1111" s="3">
        <v>14070002</v>
      </c>
      <c r="B1111" s="11" t="s">
        <v>547</v>
      </c>
      <c r="C1111" s="11" t="s">
        <v>25</v>
      </c>
      <c r="D1111" s="1">
        <f>ROUND(E1111*F1111,0)</f>
        <v>3</v>
      </c>
      <c r="E1111" s="1">
        <v>0.33</v>
      </c>
      <c r="F1111" s="1">
        <v>8</v>
      </c>
      <c r="H1111" s="1" t="s">
        <v>2926</v>
      </c>
    </row>
    <row r="1112" spans="1:10" ht="15" x14ac:dyDescent="0.25">
      <c r="A1112" s="16">
        <v>14070002</v>
      </c>
      <c r="B1112" s="11" t="s">
        <v>547</v>
      </c>
      <c r="C1112" s="11" t="s">
        <v>26</v>
      </c>
      <c r="D1112" s="1">
        <f>ROUND(E1112*F1112,0)</f>
        <v>6</v>
      </c>
      <c r="E1112" s="1">
        <v>0.33</v>
      </c>
      <c r="F1112" s="1">
        <v>18</v>
      </c>
      <c r="H1112" s="1" t="s">
        <v>2926</v>
      </c>
    </row>
    <row r="1113" spans="1:10" ht="15" x14ac:dyDescent="0.25">
      <c r="A1113" s="16">
        <v>14070002</v>
      </c>
      <c r="B1113" s="11" t="s">
        <v>547</v>
      </c>
      <c r="C1113" s="11" t="s">
        <v>24</v>
      </c>
      <c r="D1113" s="1">
        <f>ROUND(E1113*F1113,0)</f>
        <v>28</v>
      </c>
      <c r="E1113" s="1">
        <v>0.33</v>
      </c>
      <c r="F1113" s="1">
        <v>84</v>
      </c>
      <c r="H1113" s="1" t="s">
        <v>2926</v>
      </c>
    </row>
    <row r="1114" spans="1:10" ht="15" x14ac:dyDescent="0.25">
      <c r="A1114" s="16">
        <v>14070002</v>
      </c>
      <c r="B1114" s="11" t="s">
        <v>547</v>
      </c>
      <c r="C1114" s="11" t="s">
        <v>17</v>
      </c>
      <c r="D1114" s="4">
        <v>6</v>
      </c>
    </row>
    <row r="1115" spans="1:10" ht="15" x14ac:dyDescent="0.25">
      <c r="A1115" s="16">
        <v>14070003</v>
      </c>
      <c r="B1115" s="11" t="s">
        <v>546</v>
      </c>
      <c r="C1115" s="11" t="s">
        <v>1739</v>
      </c>
      <c r="D1115" s="1">
        <v>8</v>
      </c>
      <c r="F1115" s="1">
        <v>32.5</v>
      </c>
      <c r="G1115" s="1">
        <v>8</v>
      </c>
      <c r="H1115" s="1" t="s">
        <v>2775</v>
      </c>
    </row>
    <row r="1116" spans="1:10" ht="15" x14ac:dyDescent="0.25">
      <c r="A1116" s="3">
        <v>14070004</v>
      </c>
      <c r="B1116" s="11" t="s">
        <v>548</v>
      </c>
      <c r="C1116" s="11" t="s">
        <v>1742</v>
      </c>
      <c r="D1116" s="4">
        <f>ROUND(E1116*F1116,0)</f>
        <v>44</v>
      </c>
      <c r="E1116" s="1">
        <f>ROUND(80/237,2)</f>
        <v>0.34</v>
      </c>
      <c r="F1116" s="1">
        <v>130</v>
      </c>
      <c r="H1116" s="1" t="s">
        <v>2590</v>
      </c>
    </row>
    <row r="1117" spans="1:10" ht="15" x14ac:dyDescent="0.25">
      <c r="A1117" s="16">
        <v>14070004</v>
      </c>
      <c r="B1117" s="11" t="s">
        <v>548</v>
      </c>
      <c r="C1117" s="11" t="s">
        <v>1741</v>
      </c>
      <c r="D1117" s="1">
        <v>8</v>
      </c>
      <c r="F1117" s="1">
        <v>32.5</v>
      </c>
      <c r="G1117" s="1">
        <v>8</v>
      </c>
      <c r="H1117" s="1" t="s">
        <v>2775</v>
      </c>
    </row>
    <row r="1118" spans="1:10" ht="15" x14ac:dyDescent="0.25">
      <c r="A1118" s="3">
        <v>14070005</v>
      </c>
      <c r="B1118" s="11" t="s">
        <v>549</v>
      </c>
      <c r="C1118" s="11" t="s">
        <v>1743</v>
      </c>
      <c r="D1118" s="1">
        <v>7</v>
      </c>
      <c r="F1118" s="1"/>
      <c r="G1118" s="1">
        <v>7</v>
      </c>
      <c r="H1118" s="1" t="s">
        <v>2591</v>
      </c>
    </row>
    <row r="1119" spans="1:10" ht="15" x14ac:dyDescent="0.25">
      <c r="A1119" s="3">
        <v>14070006</v>
      </c>
      <c r="B1119" s="11" t="s">
        <v>2533</v>
      </c>
      <c r="C1119" s="11" t="s">
        <v>1745</v>
      </c>
      <c r="D1119" s="1">
        <v>7</v>
      </c>
      <c r="F1119" s="1"/>
      <c r="G1119" s="1">
        <v>7</v>
      </c>
      <c r="H1119" s="1" t="s">
        <v>2591</v>
      </c>
    </row>
    <row r="1120" spans="1:10" ht="15" x14ac:dyDescent="0.25">
      <c r="A1120" s="3">
        <v>14070007</v>
      </c>
      <c r="B1120" s="11" t="s">
        <v>3062</v>
      </c>
      <c r="C1120" s="11" t="s">
        <v>29</v>
      </c>
      <c r="D1120" s="1">
        <v>7</v>
      </c>
      <c r="E1120" s="4"/>
      <c r="F1120" s="1" t="s">
        <v>3132</v>
      </c>
      <c r="G1120" s="4">
        <v>7</v>
      </c>
      <c r="H1120" s="1" t="s">
        <v>3149</v>
      </c>
      <c r="J1120" s="1" t="s">
        <v>3132</v>
      </c>
    </row>
    <row r="1121" spans="1:10" ht="15" x14ac:dyDescent="0.25">
      <c r="A1121" s="3">
        <v>14070009</v>
      </c>
      <c r="B1121" s="11" t="s">
        <v>550</v>
      </c>
      <c r="C1121" s="11" t="s">
        <v>1744</v>
      </c>
      <c r="D1121" s="1">
        <f>ROUND(E1121*F1121,0)</f>
        <v>3</v>
      </c>
      <c r="E1121" s="1">
        <f>ROUND(80/237,2)</f>
        <v>0.34</v>
      </c>
      <c r="F1121" s="1">
        <v>8</v>
      </c>
      <c r="H1121" s="1" t="s">
        <v>2590</v>
      </c>
    </row>
    <row r="1122" spans="1:10" ht="15" x14ac:dyDescent="0.25">
      <c r="A1122" s="16">
        <v>14070009</v>
      </c>
      <c r="B1122" s="11" t="s">
        <v>551</v>
      </c>
      <c r="C1122" s="11" t="s">
        <v>1746</v>
      </c>
      <c r="D1122" s="1">
        <v>8</v>
      </c>
      <c r="F1122" s="1">
        <v>32.5</v>
      </c>
      <c r="G1122" s="1">
        <v>8</v>
      </c>
      <c r="H1122" s="1" t="s">
        <v>2775</v>
      </c>
    </row>
    <row r="1123" spans="1:10" ht="15" x14ac:dyDescent="0.25">
      <c r="A1123" s="16">
        <v>14080001</v>
      </c>
      <c r="B1123" s="11" t="s">
        <v>553</v>
      </c>
      <c r="C1123" s="11" t="s">
        <v>26</v>
      </c>
      <c r="D1123" s="1">
        <v>30</v>
      </c>
      <c r="E1123" s="4"/>
      <c r="F1123" s="1" t="s">
        <v>3132</v>
      </c>
      <c r="G1123" s="4">
        <v>30</v>
      </c>
      <c r="H1123" s="1" t="s">
        <v>2786</v>
      </c>
      <c r="I1123" s="1" t="s">
        <v>3132</v>
      </c>
      <c r="J1123" s="1" t="s">
        <v>3132</v>
      </c>
    </row>
    <row r="1124" spans="1:10" ht="15" x14ac:dyDescent="0.25">
      <c r="A1124" s="16">
        <v>14080001</v>
      </c>
      <c r="B1124" s="11" t="s">
        <v>553</v>
      </c>
      <c r="C1124" s="11" t="s">
        <v>1751</v>
      </c>
      <c r="D1124" s="1">
        <f>G1124</f>
        <v>122</v>
      </c>
      <c r="F1124" s="1">
        <f>80*2.5</f>
        <v>200</v>
      </c>
      <c r="G1124" s="1">
        <v>122</v>
      </c>
      <c r="H1124" s="1" t="s">
        <v>2786</v>
      </c>
    </row>
    <row r="1125" spans="1:10" ht="15" x14ac:dyDescent="0.25">
      <c r="A1125" s="24">
        <v>14080002</v>
      </c>
      <c r="B1125" s="25" t="s">
        <v>552</v>
      </c>
      <c r="C1125" s="25" t="s">
        <v>17</v>
      </c>
      <c r="D1125" s="4">
        <v>15</v>
      </c>
      <c r="H1125" s="1" t="s">
        <v>2900</v>
      </c>
    </row>
    <row r="1126" spans="1:10" ht="15" x14ac:dyDescent="0.25">
      <c r="A1126" s="24">
        <v>14080002</v>
      </c>
      <c r="B1126" s="25" t="s">
        <v>552</v>
      </c>
      <c r="C1126" s="25" t="s">
        <v>6</v>
      </c>
      <c r="D1126" s="4">
        <v>122</v>
      </c>
      <c r="H1126" s="1" t="s">
        <v>2900</v>
      </c>
    </row>
    <row r="1127" spans="1:10" ht="15" x14ac:dyDescent="0.25">
      <c r="A1127" s="3">
        <v>14080002</v>
      </c>
      <c r="B1127" s="11" t="s">
        <v>554</v>
      </c>
      <c r="C1127" s="11" t="s">
        <v>1753</v>
      </c>
      <c r="D1127" s="4">
        <v>122</v>
      </c>
      <c r="F1127" s="1"/>
      <c r="G1127" s="1">
        <v>122</v>
      </c>
      <c r="H1127" s="1" t="s">
        <v>2786</v>
      </c>
    </row>
    <row r="1128" spans="1:10" ht="15" x14ac:dyDescent="0.25">
      <c r="A1128" s="3">
        <v>14080002</v>
      </c>
      <c r="B1128" s="11" t="s">
        <v>552</v>
      </c>
      <c r="C1128" s="11" t="s">
        <v>1747</v>
      </c>
      <c r="D1128" s="1">
        <f>G1128</f>
        <v>122</v>
      </c>
      <c r="F1128" s="1"/>
      <c r="G1128" s="1">
        <v>122</v>
      </c>
      <c r="H1128" s="1" t="s">
        <v>2786</v>
      </c>
    </row>
    <row r="1129" spans="1:10" ht="15" x14ac:dyDescent="0.25">
      <c r="A1129" s="24">
        <v>14080002</v>
      </c>
      <c r="B1129" s="25" t="s">
        <v>552</v>
      </c>
      <c r="C1129" s="25" t="s">
        <v>22</v>
      </c>
      <c r="D1129" s="4">
        <v>122</v>
      </c>
      <c r="H1129" s="1" t="s">
        <v>2900</v>
      </c>
    </row>
    <row r="1130" spans="1:10" ht="15" x14ac:dyDescent="0.25">
      <c r="A1130" s="3">
        <v>14080002</v>
      </c>
      <c r="B1130" s="11" t="s">
        <v>552</v>
      </c>
      <c r="C1130" s="11" t="s">
        <v>29</v>
      </c>
      <c r="D1130" s="1">
        <f>G1130</f>
        <v>122</v>
      </c>
      <c r="F1130" s="1"/>
      <c r="G1130" s="1">
        <v>122</v>
      </c>
      <c r="H1130" s="1" t="s">
        <v>2786</v>
      </c>
      <c r="I1130" s="1" t="s">
        <v>2739</v>
      </c>
    </row>
    <row r="1131" spans="1:10" ht="15" x14ac:dyDescent="0.25">
      <c r="A1131" s="3">
        <v>14080002</v>
      </c>
      <c r="B1131" s="11" t="s">
        <v>552</v>
      </c>
      <c r="C1131" s="11" t="s">
        <v>1748</v>
      </c>
      <c r="D1131" s="1">
        <v>183</v>
      </c>
      <c r="F1131" s="1"/>
      <c r="G1131" s="1">
        <v>183</v>
      </c>
      <c r="H1131" s="1" t="s">
        <v>2786</v>
      </c>
      <c r="I1131" s="1" t="s">
        <v>2742</v>
      </c>
    </row>
    <row r="1132" spans="1:10" ht="15" x14ac:dyDescent="0.25">
      <c r="A1132" s="3">
        <v>14080002</v>
      </c>
      <c r="B1132" s="11" t="s">
        <v>554</v>
      </c>
      <c r="C1132" s="11" t="s">
        <v>1752</v>
      </c>
      <c r="D1132" s="1">
        <f>G1132</f>
        <v>61</v>
      </c>
      <c r="F1132" s="1"/>
      <c r="G1132" s="1">
        <v>61</v>
      </c>
      <c r="H1132" s="1" t="s">
        <v>2786</v>
      </c>
      <c r="I1132" s="1" t="s">
        <v>2899</v>
      </c>
    </row>
    <row r="1133" spans="1:10" ht="15" x14ac:dyDescent="0.25">
      <c r="A1133" s="3">
        <v>14080002</v>
      </c>
      <c r="B1133" s="11" t="s">
        <v>552</v>
      </c>
      <c r="C1133" s="11" t="s">
        <v>16</v>
      </c>
      <c r="D1133" s="1">
        <v>183</v>
      </c>
      <c r="F1133" s="1"/>
      <c r="G1133" s="1">
        <v>183</v>
      </c>
      <c r="H1133" s="1" t="s">
        <v>2786</v>
      </c>
      <c r="I1133" s="1" t="s">
        <v>2742</v>
      </c>
    </row>
    <row r="1134" spans="1:10" ht="15" x14ac:dyDescent="0.25">
      <c r="A1134" s="3">
        <v>14080002</v>
      </c>
      <c r="B1134" s="11" t="s">
        <v>554</v>
      </c>
      <c r="C1134" s="11" t="s">
        <v>1754</v>
      </c>
      <c r="D1134" s="4">
        <f>G1134</f>
        <v>1</v>
      </c>
      <c r="F1134" s="1"/>
      <c r="G1134" s="4">
        <v>1</v>
      </c>
      <c r="H1134" s="1" t="s">
        <v>2786</v>
      </c>
      <c r="I1134" s="1" t="s">
        <v>2420</v>
      </c>
    </row>
    <row r="1135" spans="1:10" ht="15" x14ac:dyDescent="0.25">
      <c r="A1135" s="16">
        <v>14080002</v>
      </c>
      <c r="B1135" s="11" t="s">
        <v>552</v>
      </c>
      <c r="C1135" s="11" t="s">
        <v>1749</v>
      </c>
      <c r="D1135" s="1">
        <f>ROUND(E1135*F1135,0)</f>
        <v>31</v>
      </c>
      <c r="E1135" s="1">
        <v>0.61</v>
      </c>
      <c r="F1135" s="1">
        <f>20*2.5</f>
        <v>50</v>
      </c>
      <c r="H1135" s="1" t="s">
        <v>2900</v>
      </c>
    </row>
    <row r="1136" spans="1:10" ht="15" x14ac:dyDescent="0.25">
      <c r="A1136" s="16">
        <v>14080002</v>
      </c>
      <c r="B1136" s="11" t="s">
        <v>552</v>
      </c>
      <c r="C1136" s="11" t="s">
        <v>1750</v>
      </c>
      <c r="D1136" s="1">
        <f>ROUND(E1136*F1136,0)</f>
        <v>61</v>
      </c>
      <c r="E1136" s="1">
        <v>0.61</v>
      </c>
      <c r="F1136" s="1">
        <f>40*2.5</f>
        <v>100</v>
      </c>
      <c r="H1136" s="1" t="s">
        <v>2900</v>
      </c>
    </row>
    <row r="1137" spans="1:46" ht="15" x14ac:dyDescent="0.25">
      <c r="A1137" s="16">
        <v>14080002</v>
      </c>
      <c r="B1137" s="11" t="s">
        <v>554</v>
      </c>
      <c r="C1137" s="11" t="s">
        <v>1751</v>
      </c>
      <c r="D1137" s="1">
        <f>ROUND(E1137*F1137,0)</f>
        <v>122</v>
      </c>
      <c r="E1137" s="1">
        <v>0.61</v>
      </c>
      <c r="F1137" s="1">
        <f>80*2.5</f>
        <v>200</v>
      </c>
      <c r="H1137" s="1" t="s">
        <v>2900</v>
      </c>
    </row>
    <row r="1138" spans="1:46" s="11" customFormat="1" ht="15" x14ac:dyDescent="0.25">
      <c r="A1138" s="3">
        <v>14090102</v>
      </c>
      <c r="B1138" s="11" t="s">
        <v>555</v>
      </c>
      <c r="C1138" s="11" t="s">
        <v>1755</v>
      </c>
      <c r="D1138" s="1">
        <f>G1138</f>
        <v>6</v>
      </c>
      <c r="E1138" s="1"/>
      <c r="F1138" s="1"/>
      <c r="G1138" s="1">
        <v>6</v>
      </c>
      <c r="H1138" s="1" t="s">
        <v>2787</v>
      </c>
      <c r="I1138" s="1" t="s">
        <v>2593</v>
      </c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</row>
    <row r="1139" spans="1:46" ht="15" x14ac:dyDescent="0.25">
      <c r="A1139" s="3">
        <v>14090103</v>
      </c>
      <c r="B1139" s="11" t="s">
        <v>556</v>
      </c>
      <c r="C1139" s="11" t="s">
        <v>1755</v>
      </c>
      <c r="D1139" s="1">
        <f>G1139</f>
        <v>4</v>
      </c>
      <c r="F1139" s="1"/>
      <c r="G1139" s="1">
        <v>4</v>
      </c>
      <c r="H1139" s="1" t="s">
        <v>2787</v>
      </c>
    </row>
    <row r="1140" spans="1:46" ht="15" x14ac:dyDescent="0.25">
      <c r="A1140" s="3">
        <v>14090104</v>
      </c>
      <c r="B1140" s="11" t="s">
        <v>557</v>
      </c>
      <c r="C1140" s="11" t="s">
        <v>1755</v>
      </c>
      <c r="D1140" s="1">
        <f>G1140</f>
        <v>1</v>
      </c>
      <c r="F1140" s="1"/>
      <c r="G1140" s="1">
        <v>1</v>
      </c>
      <c r="H1140" s="1" t="s">
        <v>2924</v>
      </c>
    </row>
    <row r="1141" spans="1:46" ht="15" x14ac:dyDescent="0.25">
      <c r="A1141" s="16">
        <v>14090104</v>
      </c>
      <c r="B1141" s="11" t="s">
        <v>557</v>
      </c>
      <c r="C1141" s="11" t="s">
        <v>26</v>
      </c>
      <c r="D1141" s="1">
        <v>14</v>
      </c>
      <c r="F1141" s="1">
        <v>14.2</v>
      </c>
      <c r="G1141" s="1">
        <v>14</v>
      </c>
      <c r="H1141" s="1" t="s">
        <v>2924</v>
      </c>
    </row>
    <row r="1142" spans="1:46" ht="15" x14ac:dyDescent="0.25">
      <c r="A1142" s="3">
        <v>14090201</v>
      </c>
      <c r="B1142" s="11" t="s">
        <v>3063</v>
      </c>
      <c r="C1142" s="11" t="s">
        <v>25</v>
      </c>
      <c r="D1142" s="1">
        <f>ROUND(E1142*F1142,0)</f>
        <v>4</v>
      </c>
      <c r="E1142" s="10">
        <v>0.72</v>
      </c>
      <c r="F1142" s="1">
        <v>5</v>
      </c>
      <c r="G1142" s="4"/>
      <c r="H1142" s="1" t="s">
        <v>3148</v>
      </c>
      <c r="J1142" s="1" t="s">
        <v>3132</v>
      </c>
    </row>
    <row r="1143" spans="1:46" ht="15" x14ac:dyDescent="0.25">
      <c r="A1143" s="3">
        <v>14090202</v>
      </c>
      <c r="B1143" s="11" t="s">
        <v>558</v>
      </c>
      <c r="C1143" s="11" t="s">
        <v>29</v>
      </c>
      <c r="D1143" s="1">
        <v>40</v>
      </c>
      <c r="F1143" s="1"/>
      <c r="G1143" s="1">
        <v>40</v>
      </c>
      <c r="H1143" s="1" t="s">
        <v>2907</v>
      </c>
      <c r="I1143" s="1" t="s">
        <v>2739</v>
      </c>
    </row>
    <row r="1144" spans="1:46" ht="15" x14ac:dyDescent="0.25">
      <c r="A1144" s="3">
        <v>14090202</v>
      </c>
      <c r="B1144" s="11" t="s">
        <v>563</v>
      </c>
      <c r="C1144" s="11" t="s">
        <v>1762</v>
      </c>
      <c r="D1144" s="1">
        <v>242</v>
      </c>
      <c r="F1144" s="1"/>
      <c r="G1144" s="1">
        <v>242</v>
      </c>
      <c r="H1144" s="1" t="s">
        <v>2909</v>
      </c>
    </row>
    <row r="1145" spans="1:46" ht="15" x14ac:dyDescent="0.25">
      <c r="A1145" s="3">
        <v>14090202</v>
      </c>
      <c r="B1145" s="11" t="s">
        <v>558</v>
      </c>
      <c r="C1145" s="11" t="s">
        <v>1757</v>
      </c>
      <c r="D1145" s="1">
        <v>125</v>
      </c>
      <c r="F1145" s="1"/>
      <c r="G1145" s="1">
        <v>125</v>
      </c>
      <c r="H1145" s="1" t="s">
        <v>2908</v>
      </c>
    </row>
    <row r="1146" spans="1:46" ht="15" x14ac:dyDescent="0.25">
      <c r="A1146" s="16">
        <v>14090202</v>
      </c>
      <c r="B1146" s="11" t="s">
        <v>558</v>
      </c>
      <c r="C1146" s="11" t="s">
        <v>1756</v>
      </c>
      <c r="D1146" s="1">
        <v>160</v>
      </c>
      <c r="F1146" s="1"/>
      <c r="G1146" s="1">
        <v>160</v>
      </c>
      <c r="H1146" s="1" t="s">
        <v>2907</v>
      </c>
      <c r="I1146" s="1" t="s">
        <v>2902</v>
      </c>
    </row>
    <row r="1147" spans="1:46" ht="15" x14ac:dyDescent="0.25">
      <c r="A1147" s="20">
        <v>14090202</v>
      </c>
      <c r="B1147" s="11" t="s">
        <v>558</v>
      </c>
      <c r="C1147" s="11" t="s">
        <v>12</v>
      </c>
      <c r="D1147" s="1">
        <v>80</v>
      </c>
      <c r="F1147" s="1"/>
      <c r="G1147" s="1">
        <v>80</v>
      </c>
      <c r="H1147" s="1" t="s">
        <v>2907</v>
      </c>
      <c r="I1147" s="1" t="s">
        <v>2741</v>
      </c>
    </row>
    <row r="1148" spans="1:46" ht="15" x14ac:dyDescent="0.25">
      <c r="A1148" s="3">
        <v>14090202</v>
      </c>
      <c r="B1148" s="11" t="s">
        <v>560</v>
      </c>
      <c r="C1148" s="11" t="s">
        <v>1759</v>
      </c>
      <c r="D1148" s="4">
        <v>183</v>
      </c>
      <c r="F1148" s="1"/>
      <c r="G1148" s="1">
        <v>183</v>
      </c>
      <c r="H1148" s="1" t="s">
        <v>2907</v>
      </c>
    </row>
    <row r="1149" spans="1:46" ht="15" x14ac:dyDescent="0.25">
      <c r="A1149" s="16">
        <v>14090203</v>
      </c>
      <c r="B1149" s="11" t="s">
        <v>559</v>
      </c>
      <c r="C1149" s="11" t="s">
        <v>1758</v>
      </c>
      <c r="D1149" s="1">
        <v>94</v>
      </c>
      <c r="F1149" s="1"/>
      <c r="G1149" s="1">
        <v>94</v>
      </c>
      <c r="H1149" s="1" t="s">
        <v>2920</v>
      </c>
      <c r="I1149" s="1" t="s">
        <v>2921</v>
      </c>
    </row>
    <row r="1150" spans="1:46" ht="15" x14ac:dyDescent="0.25">
      <c r="A1150" s="3">
        <v>14090203</v>
      </c>
      <c r="B1150" s="11" t="s">
        <v>561</v>
      </c>
      <c r="C1150" s="11" t="s">
        <v>1760</v>
      </c>
      <c r="D1150" s="1">
        <v>187</v>
      </c>
      <c r="F1150" s="1"/>
      <c r="G1150" s="1">
        <v>187</v>
      </c>
      <c r="H1150" s="1" t="s">
        <v>2920</v>
      </c>
    </row>
    <row r="1151" spans="1:46" ht="15" x14ac:dyDescent="0.25">
      <c r="A1151" s="16">
        <v>14090204</v>
      </c>
      <c r="B1151" s="11" t="s">
        <v>564</v>
      </c>
      <c r="C1151" s="11" t="s">
        <v>1763</v>
      </c>
      <c r="D1151" s="1">
        <f>G1151</f>
        <v>85</v>
      </c>
      <c r="F1151" s="1"/>
      <c r="G1151" s="1">
        <v>85</v>
      </c>
      <c r="H1151" s="1" t="s">
        <v>2594</v>
      </c>
    </row>
    <row r="1152" spans="1:46" ht="15" x14ac:dyDescent="0.25">
      <c r="A1152" s="24">
        <v>14090204</v>
      </c>
      <c r="B1152" s="25" t="s">
        <v>564</v>
      </c>
      <c r="C1152" s="25" t="s">
        <v>15</v>
      </c>
      <c r="D1152" s="4">
        <v>136</v>
      </c>
      <c r="H1152" s="1" t="s">
        <v>2594</v>
      </c>
    </row>
    <row r="1153" spans="1:46" ht="15" x14ac:dyDescent="0.25">
      <c r="A1153" s="16">
        <v>14090205</v>
      </c>
      <c r="B1153" s="11" t="s">
        <v>562</v>
      </c>
      <c r="C1153" s="11" t="s">
        <v>1761</v>
      </c>
      <c r="D1153" s="1">
        <v>40</v>
      </c>
      <c r="F1153" s="1"/>
      <c r="G1153" s="1">
        <v>40</v>
      </c>
      <c r="H1153" s="1" t="s">
        <v>2922</v>
      </c>
      <c r="I1153" s="1" t="s">
        <v>2746</v>
      </c>
    </row>
    <row r="1154" spans="1:46" ht="15" x14ac:dyDescent="0.25">
      <c r="A1154" s="16">
        <v>14090205</v>
      </c>
      <c r="B1154" s="11" t="s">
        <v>562</v>
      </c>
      <c r="C1154" s="11" t="s">
        <v>13</v>
      </c>
      <c r="D1154" s="1">
        <v>80</v>
      </c>
      <c r="F1154" s="1"/>
      <c r="G1154" s="1">
        <v>80</v>
      </c>
      <c r="H1154" s="1" t="s">
        <v>2922</v>
      </c>
      <c r="I1154" s="1" t="s">
        <v>2749</v>
      </c>
    </row>
    <row r="1155" spans="1:46" ht="15" x14ac:dyDescent="0.25">
      <c r="A1155" s="24">
        <v>14090205</v>
      </c>
      <c r="B1155" s="25" t="s">
        <v>562</v>
      </c>
      <c r="C1155" s="25" t="s">
        <v>14</v>
      </c>
      <c r="D1155" s="4">
        <v>150</v>
      </c>
      <c r="H1155" s="1" t="s">
        <v>2923</v>
      </c>
    </row>
    <row r="1156" spans="1:46" ht="15" x14ac:dyDescent="0.25">
      <c r="A1156" s="16">
        <v>14090205</v>
      </c>
      <c r="B1156" s="11" t="s">
        <v>566</v>
      </c>
      <c r="C1156" s="11" t="s">
        <v>1765</v>
      </c>
      <c r="D1156" s="1">
        <v>235</v>
      </c>
      <c r="F1156" s="1"/>
      <c r="G1156" s="1">
        <v>235</v>
      </c>
      <c r="H1156" s="1" t="s">
        <v>2923</v>
      </c>
    </row>
    <row r="1157" spans="1:46" ht="15" x14ac:dyDescent="0.25">
      <c r="A1157" s="16">
        <v>14090205</v>
      </c>
      <c r="B1157" s="11" t="s">
        <v>565</v>
      </c>
      <c r="C1157" s="11" t="s">
        <v>1764</v>
      </c>
      <c r="D1157" s="1">
        <v>188</v>
      </c>
      <c r="F1157" s="1"/>
      <c r="G1157" s="1">
        <v>235</v>
      </c>
      <c r="H1157" s="1" t="s">
        <v>2923</v>
      </c>
    </row>
    <row r="1158" spans="1:46" ht="15" x14ac:dyDescent="0.25">
      <c r="A1158" s="24">
        <v>14090206</v>
      </c>
      <c r="B1158" s="25" t="s">
        <v>3230</v>
      </c>
      <c r="C1158" s="25" t="s">
        <v>29</v>
      </c>
      <c r="D1158" s="21">
        <v>21</v>
      </c>
      <c r="E1158" s="11"/>
      <c r="F1158" s="21"/>
      <c r="G1158" s="11"/>
      <c r="H1158" s="11" t="s">
        <v>3233</v>
      </c>
      <c r="I1158" s="11" t="s">
        <v>3232</v>
      </c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  <c r="AB1158" s="11"/>
      <c r="AC1158" s="11"/>
      <c r="AD1158" s="11"/>
      <c r="AE1158" s="11"/>
      <c r="AF1158" s="11"/>
      <c r="AG1158" s="11"/>
      <c r="AH1158" s="11"/>
      <c r="AI1158" s="11"/>
      <c r="AJ1158" s="11"/>
      <c r="AK1158" s="11"/>
      <c r="AL1158" s="11"/>
      <c r="AM1158" s="11"/>
      <c r="AN1158" s="11"/>
      <c r="AO1158" s="11"/>
      <c r="AP1158" s="11"/>
      <c r="AQ1158" s="11"/>
      <c r="AR1158" s="11"/>
      <c r="AS1158" s="11"/>
      <c r="AT1158" s="11"/>
    </row>
    <row r="1159" spans="1:46" ht="15" x14ac:dyDescent="0.25">
      <c r="A1159" s="16">
        <v>14090207</v>
      </c>
      <c r="B1159" s="11" t="s">
        <v>569</v>
      </c>
      <c r="C1159" s="11" t="s">
        <v>12</v>
      </c>
      <c r="D1159" s="1">
        <f t="shared" ref="D1159:D1164" si="33">G1159</f>
        <v>18</v>
      </c>
      <c r="F1159" s="1"/>
      <c r="G1159" s="1">
        <v>18</v>
      </c>
      <c r="H1159" s="1" t="s">
        <v>2596</v>
      </c>
    </row>
    <row r="1160" spans="1:46" ht="15" x14ac:dyDescent="0.25">
      <c r="A1160" s="3">
        <v>14090207</v>
      </c>
      <c r="B1160" s="11" t="s">
        <v>2595</v>
      </c>
      <c r="C1160" s="11" t="s">
        <v>1770</v>
      </c>
      <c r="D1160" s="1">
        <f t="shared" si="33"/>
        <v>18</v>
      </c>
      <c r="F1160" s="1"/>
      <c r="G1160" s="1">
        <v>18</v>
      </c>
      <c r="H1160" s="1" t="s">
        <v>2596</v>
      </c>
    </row>
    <row r="1161" spans="1:46" s="11" customFormat="1" ht="15" x14ac:dyDescent="0.25">
      <c r="A1161" s="3">
        <v>14090208</v>
      </c>
      <c r="B1161" s="11" t="s">
        <v>567</v>
      </c>
      <c r="C1161" s="11" t="s">
        <v>32</v>
      </c>
      <c r="D1161" s="4">
        <f t="shared" si="33"/>
        <v>1</v>
      </c>
      <c r="E1161" s="1"/>
      <c r="F1161" s="1"/>
      <c r="G1161" s="4">
        <v>1</v>
      </c>
      <c r="H1161" s="1" t="s">
        <v>2598</v>
      </c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</row>
    <row r="1162" spans="1:46" ht="15" x14ac:dyDescent="0.25">
      <c r="A1162" s="3">
        <v>14090208</v>
      </c>
      <c r="B1162" s="11" t="s">
        <v>2597</v>
      </c>
      <c r="C1162" s="11" t="s">
        <v>1766</v>
      </c>
      <c r="D1162" s="1">
        <f t="shared" si="33"/>
        <v>282</v>
      </c>
      <c r="F1162" s="1"/>
      <c r="G1162" s="1">
        <v>282</v>
      </c>
      <c r="H1162" s="1" t="s">
        <v>2598</v>
      </c>
    </row>
    <row r="1163" spans="1:46" ht="15" x14ac:dyDescent="0.25">
      <c r="A1163" s="3">
        <v>14090209</v>
      </c>
      <c r="B1163" s="11" t="s">
        <v>2599</v>
      </c>
      <c r="C1163" s="11" t="s">
        <v>1770</v>
      </c>
      <c r="D1163" s="1">
        <f t="shared" si="33"/>
        <v>9</v>
      </c>
      <c r="F1163" s="1"/>
      <c r="G1163" s="1">
        <v>9</v>
      </c>
      <c r="H1163" s="1" t="s">
        <v>2600</v>
      </c>
    </row>
    <row r="1164" spans="1:46" ht="15" x14ac:dyDescent="0.25">
      <c r="A1164" s="3">
        <v>14090211</v>
      </c>
      <c r="B1164" s="11" t="s">
        <v>570</v>
      </c>
      <c r="C1164" s="11" t="s">
        <v>1771</v>
      </c>
      <c r="D1164" s="4">
        <f t="shared" si="33"/>
        <v>1</v>
      </c>
      <c r="F1164" s="1"/>
      <c r="G1164" s="4">
        <v>1</v>
      </c>
    </row>
    <row r="1165" spans="1:46" ht="15" x14ac:dyDescent="0.25">
      <c r="A1165" s="16">
        <v>14090211</v>
      </c>
      <c r="B1165" s="11" t="s">
        <v>568</v>
      </c>
      <c r="C1165" s="11" t="s">
        <v>11</v>
      </c>
      <c r="D1165" s="4">
        <f>ROUND(E1165*F1165,0)</f>
        <v>48</v>
      </c>
      <c r="E1165" s="1">
        <f>ROUND(225/237,2)</f>
        <v>0.95</v>
      </c>
      <c r="F1165" s="1">
        <f>20*2.5</f>
        <v>50</v>
      </c>
      <c r="H1165" s="1" t="s">
        <v>2602</v>
      </c>
    </row>
    <row r="1166" spans="1:46" ht="15" x14ac:dyDescent="0.25">
      <c r="A1166" s="3">
        <v>14090211</v>
      </c>
      <c r="B1166" s="11" t="s">
        <v>568</v>
      </c>
      <c r="C1166" s="11" t="s">
        <v>29</v>
      </c>
      <c r="D1166" s="4">
        <v>78</v>
      </c>
      <c r="F1166" s="1"/>
      <c r="G1166" s="1">
        <v>78</v>
      </c>
      <c r="H1166" s="1" t="s">
        <v>2602</v>
      </c>
      <c r="I1166" s="1" t="s">
        <v>2910</v>
      </c>
    </row>
    <row r="1167" spans="1:46" ht="15" x14ac:dyDescent="0.25">
      <c r="A1167" s="3">
        <v>14090211</v>
      </c>
      <c r="B1167" s="11" t="s">
        <v>568</v>
      </c>
      <c r="C1167" s="11" t="s">
        <v>14</v>
      </c>
      <c r="D1167" s="4">
        <v>625</v>
      </c>
      <c r="F1167" s="1"/>
      <c r="G1167" s="1">
        <v>625</v>
      </c>
      <c r="H1167" s="1" t="s">
        <v>2602</v>
      </c>
    </row>
    <row r="1168" spans="1:46" ht="15" x14ac:dyDescent="0.25">
      <c r="A1168" s="16">
        <v>14090211</v>
      </c>
      <c r="B1168" s="11" t="s">
        <v>568</v>
      </c>
      <c r="C1168" s="11" t="s">
        <v>1767</v>
      </c>
      <c r="D1168" s="4">
        <f>ROUND(E1168*F1168,0)</f>
        <v>95</v>
      </c>
      <c r="E1168" s="1">
        <f>ROUND(225/237,2)</f>
        <v>0.95</v>
      </c>
      <c r="F1168" s="1">
        <f>40*2.5</f>
        <v>100</v>
      </c>
      <c r="H1168" s="1" t="s">
        <v>2602</v>
      </c>
    </row>
    <row r="1169" spans="1:46" ht="15" x14ac:dyDescent="0.25">
      <c r="A1169" s="16">
        <v>14090211</v>
      </c>
      <c r="B1169" s="11" t="s">
        <v>568</v>
      </c>
      <c r="C1169" s="11" t="s">
        <v>1768</v>
      </c>
      <c r="D1169" s="4">
        <f>ROUND(E1169*F1169,0)</f>
        <v>190</v>
      </c>
      <c r="E1169" s="1">
        <f>ROUND(225/237,2)</f>
        <v>0.95</v>
      </c>
      <c r="F1169" s="1">
        <f>80*2.5</f>
        <v>200</v>
      </c>
      <c r="H1169" s="1" t="s">
        <v>2602</v>
      </c>
    </row>
    <row r="1170" spans="1:46" ht="15" x14ac:dyDescent="0.25">
      <c r="A1170" s="3">
        <v>14090211</v>
      </c>
      <c r="B1170" s="11" t="s">
        <v>2601</v>
      </c>
      <c r="C1170" s="11" t="s">
        <v>1769</v>
      </c>
      <c r="D1170" s="4">
        <f>G1170</f>
        <v>625</v>
      </c>
      <c r="F1170" s="1"/>
      <c r="G1170" s="1">
        <v>625</v>
      </c>
      <c r="H1170" s="1" t="s">
        <v>2602</v>
      </c>
    </row>
    <row r="1171" spans="1:46" ht="15" x14ac:dyDescent="0.25">
      <c r="A1171" s="24">
        <v>14090301</v>
      </c>
      <c r="B1171" s="25" t="s">
        <v>3220</v>
      </c>
      <c r="C1171" s="25" t="s">
        <v>29</v>
      </c>
      <c r="D1171" s="4">
        <v>4</v>
      </c>
    </row>
    <row r="1172" spans="1:46" ht="15" x14ac:dyDescent="0.25">
      <c r="A1172" s="16">
        <v>14090302</v>
      </c>
      <c r="B1172" s="11" t="s">
        <v>571</v>
      </c>
      <c r="C1172" s="11" t="s">
        <v>1772</v>
      </c>
      <c r="D1172" s="4">
        <f>G1172</f>
        <v>10</v>
      </c>
      <c r="F1172" s="1"/>
      <c r="G1172" s="1">
        <v>10</v>
      </c>
      <c r="H1172" s="1" t="s">
        <v>2911</v>
      </c>
      <c r="I1172" s="1" t="s">
        <v>2912</v>
      </c>
    </row>
    <row r="1173" spans="1:46" ht="14.1" customHeight="1" x14ac:dyDescent="0.25">
      <c r="A1173" s="16">
        <v>14090304</v>
      </c>
      <c r="B1173" s="11" t="s">
        <v>572</v>
      </c>
      <c r="C1173" s="11" t="s">
        <v>14</v>
      </c>
      <c r="D1173" s="4">
        <v>65</v>
      </c>
      <c r="F1173" s="1"/>
      <c r="G1173" s="1">
        <v>65</v>
      </c>
      <c r="H1173" s="1" t="s">
        <v>2914</v>
      </c>
    </row>
    <row r="1174" spans="1:46" ht="15" x14ac:dyDescent="0.25">
      <c r="A1174" s="16">
        <v>14090304</v>
      </c>
      <c r="B1174" s="11" t="s">
        <v>572</v>
      </c>
      <c r="C1174" s="11" t="s">
        <v>1773</v>
      </c>
      <c r="D1174" s="4">
        <v>65</v>
      </c>
      <c r="F1174" s="1"/>
      <c r="G1174" s="1">
        <v>65</v>
      </c>
      <c r="H1174" s="1" t="s">
        <v>2914</v>
      </c>
    </row>
    <row r="1175" spans="1:46" ht="15" x14ac:dyDescent="0.25">
      <c r="A1175" s="16">
        <v>14090305</v>
      </c>
      <c r="B1175" s="11" t="s">
        <v>3064</v>
      </c>
      <c r="C1175" s="11" t="s">
        <v>29</v>
      </c>
      <c r="D1175" s="1">
        <v>40</v>
      </c>
      <c r="E1175" s="4"/>
      <c r="F1175" s="1" t="s">
        <v>3132</v>
      </c>
      <c r="G1175" s="4">
        <v>40</v>
      </c>
      <c r="H1175" s="1" t="s">
        <v>3150</v>
      </c>
      <c r="J1175" s="1" t="s">
        <v>3132</v>
      </c>
    </row>
    <row r="1176" spans="1:46" ht="15" x14ac:dyDescent="0.25">
      <c r="A1176" s="16">
        <v>14090306</v>
      </c>
      <c r="B1176" s="11" t="s">
        <v>573</v>
      </c>
      <c r="C1176" s="11" t="s">
        <v>1773</v>
      </c>
      <c r="D1176" s="4">
        <v>100</v>
      </c>
      <c r="F1176" s="1"/>
      <c r="G1176" s="1">
        <v>100</v>
      </c>
      <c r="H1176" s="1" t="s">
        <v>2913</v>
      </c>
    </row>
    <row r="1177" spans="1:46" ht="15" x14ac:dyDescent="0.25">
      <c r="A1177" s="16">
        <v>14090307</v>
      </c>
      <c r="B1177" s="11" t="s">
        <v>2639</v>
      </c>
      <c r="C1177" s="11" t="s">
        <v>26</v>
      </c>
      <c r="D1177" s="4">
        <f>G1177</f>
        <v>8</v>
      </c>
      <c r="F1177" s="1">
        <v>32.5</v>
      </c>
      <c r="G1177" s="1">
        <v>8</v>
      </c>
      <c r="H1177" s="1" t="s">
        <v>2788</v>
      </c>
      <c r="I1177" s="1" t="s">
        <v>2704</v>
      </c>
    </row>
    <row r="1178" spans="1:46" ht="15" x14ac:dyDescent="0.25">
      <c r="A1178" s="16">
        <v>14090307</v>
      </c>
      <c r="B1178" s="11" t="s">
        <v>2639</v>
      </c>
      <c r="C1178" s="11" t="s">
        <v>12</v>
      </c>
      <c r="D1178" s="4">
        <f>G1178</f>
        <v>32</v>
      </c>
      <c r="E1178" s="10"/>
      <c r="F1178" s="1"/>
      <c r="G1178" s="1">
        <v>32</v>
      </c>
      <c r="H1178" s="1" t="s">
        <v>2788</v>
      </c>
      <c r="I1178" s="1" t="s">
        <v>2703</v>
      </c>
    </row>
    <row r="1179" spans="1:46" ht="15" x14ac:dyDescent="0.25">
      <c r="A1179" s="3">
        <v>14090307</v>
      </c>
      <c r="B1179" s="11" t="s">
        <v>2639</v>
      </c>
      <c r="C1179" s="11" t="s">
        <v>16</v>
      </c>
      <c r="D1179" s="4">
        <f>G1179</f>
        <v>64</v>
      </c>
      <c r="E1179" s="10"/>
      <c r="F1179" s="1"/>
      <c r="G1179" s="1">
        <v>64</v>
      </c>
      <c r="H1179" s="1" t="s">
        <v>2788</v>
      </c>
      <c r="I1179" s="1" t="s">
        <v>3132</v>
      </c>
      <c r="J1179" s="1" t="s">
        <v>3132</v>
      </c>
    </row>
    <row r="1180" spans="1:46" ht="15" x14ac:dyDescent="0.25">
      <c r="A1180" s="3">
        <v>14090307</v>
      </c>
      <c r="B1180" s="11" t="s">
        <v>2639</v>
      </c>
      <c r="C1180" s="11" t="s">
        <v>15</v>
      </c>
      <c r="D1180" s="4">
        <f>G1180</f>
        <v>32</v>
      </c>
      <c r="E1180" s="10"/>
      <c r="F1180" s="1"/>
      <c r="G1180" s="1">
        <v>32</v>
      </c>
      <c r="H1180" s="1" t="s">
        <v>2788</v>
      </c>
      <c r="I1180" s="1" t="s">
        <v>2703</v>
      </c>
      <c r="J1180" s="1" t="s">
        <v>3132</v>
      </c>
    </row>
    <row r="1181" spans="1:46" ht="15" x14ac:dyDescent="0.25">
      <c r="A1181" s="16">
        <v>14090307</v>
      </c>
      <c r="B1181" s="11" t="s">
        <v>2639</v>
      </c>
      <c r="C1181" s="11" t="s">
        <v>13</v>
      </c>
      <c r="D1181" s="4">
        <f>G1181</f>
        <v>64</v>
      </c>
      <c r="E1181" s="10"/>
      <c r="F1181" s="1"/>
      <c r="G1181" s="1">
        <v>64</v>
      </c>
      <c r="H1181" s="1" t="s">
        <v>2788</v>
      </c>
    </row>
    <row r="1182" spans="1:46" ht="15" x14ac:dyDescent="0.25">
      <c r="A1182" s="24">
        <v>14090307</v>
      </c>
      <c r="B1182" s="25" t="s">
        <v>2639</v>
      </c>
      <c r="C1182" s="25" t="s">
        <v>29</v>
      </c>
      <c r="D1182" s="21">
        <v>32</v>
      </c>
      <c r="E1182" s="11"/>
      <c r="F1182" s="2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  <c r="AB1182" s="11"/>
      <c r="AC1182" s="11"/>
      <c r="AD1182" s="11"/>
      <c r="AE1182" s="11"/>
      <c r="AF1182" s="11"/>
      <c r="AG1182" s="11"/>
      <c r="AH1182" s="11"/>
      <c r="AI1182" s="11"/>
      <c r="AJ1182" s="11"/>
      <c r="AK1182" s="11"/>
      <c r="AL1182" s="11"/>
      <c r="AM1182" s="11"/>
      <c r="AN1182" s="11"/>
      <c r="AO1182" s="11"/>
      <c r="AP1182" s="11"/>
      <c r="AQ1182" s="11"/>
      <c r="AR1182" s="11"/>
      <c r="AS1182" s="11"/>
      <c r="AT1182" s="11"/>
    </row>
    <row r="1183" spans="1:46" ht="15" x14ac:dyDescent="0.25">
      <c r="A1183" s="3">
        <v>15010101</v>
      </c>
      <c r="B1183" s="11" t="s">
        <v>579</v>
      </c>
      <c r="C1183" s="11" t="s">
        <v>1777</v>
      </c>
      <c r="D1183" s="4">
        <f>ROUND(E1183*F1183,0)</f>
        <v>99</v>
      </c>
      <c r="E1183" s="10">
        <v>0.76</v>
      </c>
      <c r="F1183" s="1">
        <v>130</v>
      </c>
      <c r="H1183" s="1" t="s">
        <v>3151</v>
      </c>
    </row>
    <row r="1184" spans="1:46" ht="15" x14ac:dyDescent="0.25">
      <c r="A1184" s="16">
        <v>15010101</v>
      </c>
      <c r="B1184" s="11" t="s">
        <v>577</v>
      </c>
      <c r="C1184" s="11" t="s">
        <v>1775</v>
      </c>
      <c r="D1184" s="4">
        <f>ROUND(E1184*F1184,0)</f>
        <v>17</v>
      </c>
      <c r="E1184" s="10">
        <v>0.76</v>
      </c>
      <c r="F1184" s="1">
        <v>22.2</v>
      </c>
      <c r="H1184" s="1" t="s">
        <v>3151</v>
      </c>
    </row>
    <row r="1185" spans="1:46" ht="15" x14ac:dyDescent="0.25">
      <c r="A1185" s="16">
        <v>15010101</v>
      </c>
      <c r="B1185" s="11" t="s">
        <v>574</v>
      </c>
      <c r="C1185" s="11" t="s">
        <v>1774</v>
      </c>
      <c r="D1185" s="4">
        <f>ROUND(E1185*F1185,0)</f>
        <v>64</v>
      </c>
      <c r="E1185" s="10">
        <v>0.76</v>
      </c>
      <c r="F1185" s="1">
        <v>84</v>
      </c>
      <c r="H1185" s="1" t="s">
        <v>3151</v>
      </c>
    </row>
    <row r="1186" spans="1:46" ht="15" x14ac:dyDescent="0.25">
      <c r="A1186" s="5">
        <v>15010102</v>
      </c>
      <c r="B1186" s="11" t="s">
        <v>575</v>
      </c>
      <c r="C1186" s="11" t="s">
        <v>32</v>
      </c>
      <c r="D1186" s="4">
        <f>G1186</f>
        <v>1</v>
      </c>
      <c r="E1186" s="10">
        <v>0.76</v>
      </c>
      <c r="F1186" s="1"/>
      <c r="G1186" s="4">
        <v>1</v>
      </c>
      <c r="H1186" s="1" t="s">
        <v>3151</v>
      </c>
    </row>
    <row r="1187" spans="1:46" ht="15" x14ac:dyDescent="0.25">
      <c r="A1187" s="24">
        <v>15010102</v>
      </c>
      <c r="B1187" s="25" t="s">
        <v>575</v>
      </c>
      <c r="C1187" s="25" t="s">
        <v>13</v>
      </c>
      <c r="D1187" s="4">
        <v>68</v>
      </c>
      <c r="H1187" s="1" t="s">
        <v>3151</v>
      </c>
    </row>
    <row r="1188" spans="1:46" ht="15" x14ac:dyDescent="0.25">
      <c r="A1188" s="3">
        <v>15010102</v>
      </c>
      <c r="B1188" s="11" t="s">
        <v>582</v>
      </c>
      <c r="C1188" s="11" t="s">
        <v>1780</v>
      </c>
      <c r="D1188" s="4">
        <f>ROUND(E1188*F1188,0)</f>
        <v>99</v>
      </c>
      <c r="E1188" s="10">
        <v>0.76</v>
      </c>
      <c r="F1188" s="1">
        <v>130</v>
      </c>
      <c r="H1188" s="1" t="s">
        <v>3151</v>
      </c>
    </row>
    <row r="1189" spans="1:46" ht="15" x14ac:dyDescent="0.25">
      <c r="A1189" s="16">
        <v>15010102</v>
      </c>
      <c r="B1189" s="11" t="s">
        <v>580</v>
      </c>
      <c r="C1189" s="11" t="s">
        <v>1778</v>
      </c>
      <c r="D1189" s="4">
        <f>ROUND(E1189*F1189,0)</f>
        <v>17</v>
      </c>
      <c r="E1189" s="10">
        <v>0.76</v>
      </c>
      <c r="F1189" s="1">
        <v>22.2</v>
      </c>
      <c r="H1189" s="1" t="s">
        <v>3151</v>
      </c>
    </row>
    <row r="1190" spans="1:46" ht="15" x14ac:dyDescent="0.25">
      <c r="A1190" s="16">
        <v>15010102</v>
      </c>
      <c r="B1190" s="11" t="s">
        <v>2499</v>
      </c>
      <c r="C1190" s="11" t="s">
        <v>1774</v>
      </c>
      <c r="D1190" s="4">
        <f>ROUND(E1190*F1190,0)</f>
        <v>64</v>
      </c>
      <c r="E1190" s="10">
        <v>0.76</v>
      </c>
      <c r="F1190" s="1">
        <v>84</v>
      </c>
      <c r="H1190" s="1" t="s">
        <v>3151</v>
      </c>
    </row>
    <row r="1191" spans="1:46" ht="15" x14ac:dyDescent="0.25">
      <c r="A1191" s="16">
        <v>15010103</v>
      </c>
      <c r="B1191" s="11" t="s">
        <v>576</v>
      </c>
      <c r="C1191" s="11" t="s">
        <v>1774</v>
      </c>
      <c r="D1191" s="4">
        <f>ROUND(E1191*F1191*1.25,0)</f>
        <v>106</v>
      </c>
      <c r="E1191" s="10">
        <v>1.01</v>
      </c>
      <c r="F1191" s="1">
        <v>84</v>
      </c>
      <c r="H1191" s="1" t="s">
        <v>3151</v>
      </c>
      <c r="I1191" s="1" t="s">
        <v>2999</v>
      </c>
    </row>
    <row r="1192" spans="1:46" ht="15" x14ac:dyDescent="0.25">
      <c r="A1192" s="16">
        <v>15010103</v>
      </c>
      <c r="B1192" s="11" t="s">
        <v>581</v>
      </c>
      <c r="C1192" s="11" t="s">
        <v>1779</v>
      </c>
      <c r="D1192" s="4">
        <f>ROUND(E1192*F1192,0)</f>
        <v>22</v>
      </c>
      <c r="E1192" s="10">
        <v>1.01</v>
      </c>
      <c r="F1192" s="1">
        <v>22.2</v>
      </c>
      <c r="H1192" s="1" t="s">
        <v>3151</v>
      </c>
    </row>
    <row r="1193" spans="1:46" s="11" customFormat="1" ht="15" x14ac:dyDescent="0.25">
      <c r="A1193" s="16">
        <v>15010104</v>
      </c>
      <c r="B1193" s="11" t="s">
        <v>578</v>
      </c>
      <c r="C1193" s="11" t="s">
        <v>1776</v>
      </c>
      <c r="D1193" s="4">
        <f>ROUND(E1193*F1193*1.25,0)</f>
        <v>106</v>
      </c>
      <c r="E1193" s="10">
        <v>1.01</v>
      </c>
      <c r="F1193" s="1">
        <v>84</v>
      </c>
      <c r="G1193" s="1"/>
      <c r="H1193" s="1" t="s">
        <v>3151</v>
      </c>
      <c r="I1193" s="1" t="s">
        <v>2999</v>
      </c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</row>
    <row r="1194" spans="1:46" ht="15" x14ac:dyDescent="0.25">
      <c r="A1194" s="16">
        <v>15010104</v>
      </c>
      <c r="B1194" s="11" t="s">
        <v>584</v>
      </c>
      <c r="C1194" s="11" t="s">
        <v>1782</v>
      </c>
      <c r="D1194" s="4">
        <f>ROUND(E1194*F1194,0)</f>
        <v>22</v>
      </c>
      <c r="E1194" s="10">
        <v>1.01</v>
      </c>
      <c r="F1194" s="1">
        <v>22.2</v>
      </c>
      <c r="H1194" s="1" t="s">
        <v>3151</v>
      </c>
    </row>
    <row r="1195" spans="1:46" ht="15" x14ac:dyDescent="0.25">
      <c r="A1195" s="16">
        <v>15010105</v>
      </c>
      <c r="B1195" s="11" t="s">
        <v>3065</v>
      </c>
      <c r="C1195" s="11" t="s">
        <v>26</v>
      </c>
      <c r="D1195" s="4">
        <f>ROUND(E1195*F1195,0)</f>
        <v>17</v>
      </c>
      <c r="E1195" s="10">
        <v>0.76</v>
      </c>
      <c r="F1195" s="1">
        <v>22.2</v>
      </c>
      <c r="G1195" s="4"/>
      <c r="H1195" s="1" t="s">
        <v>3151</v>
      </c>
      <c r="J1195" s="1" t="s">
        <v>3132</v>
      </c>
    </row>
    <row r="1196" spans="1:46" ht="15" x14ac:dyDescent="0.25">
      <c r="A1196" s="16">
        <v>15010106</v>
      </c>
      <c r="B1196" s="11" t="s">
        <v>585</v>
      </c>
      <c r="C1196" s="11" t="s">
        <v>1782</v>
      </c>
      <c r="D1196" s="4">
        <f>ROUND(E1196*F1196,0)</f>
        <v>24</v>
      </c>
      <c r="E1196" s="10">
        <v>1.07</v>
      </c>
      <c r="F1196" s="1">
        <v>22.2</v>
      </c>
      <c r="H1196" s="1" t="s">
        <v>3151</v>
      </c>
    </row>
    <row r="1197" spans="1:46" ht="15" x14ac:dyDescent="0.25">
      <c r="A1197" s="16">
        <v>15010106</v>
      </c>
      <c r="B1197" s="11" t="s">
        <v>583</v>
      </c>
      <c r="C1197" s="11" t="s">
        <v>1781</v>
      </c>
      <c r="D1197" s="4">
        <f>ROUND(E1197*F1197*1.25,0)</f>
        <v>112</v>
      </c>
      <c r="E1197" s="10">
        <v>1.07</v>
      </c>
      <c r="F1197" s="1">
        <v>84</v>
      </c>
      <c r="H1197" s="1" t="s">
        <v>3151</v>
      </c>
      <c r="I1197" s="1" t="s">
        <v>2999</v>
      </c>
    </row>
    <row r="1198" spans="1:46" ht="15" x14ac:dyDescent="0.25">
      <c r="A1198" s="16">
        <v>15010107</v>
      </c>
      <c r="B1198" s="11" t="s">
        <v>3066</v>
      </c>
      <c r="C1198" s="11" t="s">
        <v>26</v>
      </c>
      <c r="D1198" s="4">
        <f>ROUND(E1198*F1198,0)</f>
        <v>17</v>
      </c>
      <c r="E1198" s="10">
        <v>0.76</v>
      </c>
      <c r="F1198" s="1">
        <v>22.2</v>
      </c>
      <c r="G1198" s="4"/>
      <c r="H1198" s="1" t="s">
        <v>3151</v>
      </c>
      <c r="J1198" s="1" t="s">
        <v>3132</v>
      </c>
    </row>
    <row r="1199" spans="1:46" ht="15" x14ac:dyDescent="0.25">
      <c r="A1199" s="16">
        <v>15010107</v>
      </c>
      <c r="B1199" s="11" t="s">
        <v>3066</v>
      </c>
      <c r="C1199" s="11" t="s">
        <v>24</v>
      </c>
      <c r="D1199" s="4">
        <f>ROUND(E1199*F1199,0)</f>
        <v>64</v>
      </c>
      <c r="E1199" s="10">
        <v>0.76</v>
      </c>
      <c r="F1199" s="1">
        <v>84</v>
      </c>
      <c r="G1199" s="4"/>
      <c r="H1199" s="1" t="s">
        <v>3151</v>
      </c>
      <c r="J1199" s="1" t="s">
        <v>3132</v>
      </c>
    </row>
    <row r="1200" spans="1:46" ht="15" x14ac:dyDescent="0.25">
      <c r="A1200" s="3">
        <v>15010201</v>
      </c>
      <c r="B1200" s="11" t="s">
        <v>592</v>
      </c>
      <c r="C1200" s="11" t="s">
        <v>1790</v>
      </c>
      <c r="D1200" s="4">
        <f>ROUND(E1200*F1200,0)</f>
        <v>135</v>
      </c>
      <c r="E1200" s="10">
        <v>0.76</v>
      </c>
      <c r="F1200" s="1">
        <v>177.5</v>
      </c>
      <c r="H1200" s="1" t="s">
        <v>3151</v>
      </c>
    </row>
    <row r="1201" spans="1:46" ht="15" x14ac:dyDescent="0.25">
      <c r="A1201" s="16">
        <v>15010201</v>
      </c>
      <c r="B1201" s="11" t="s">
        <v>588</v>
      </c>
      <c r="C1201" s="11" t="s">
        <v>1786</v>
      </c>
      <c r="D1201" s="4">
        <f>ROUND(E1201*F1201,0)</f>
        <v>17</v>
      </c>
      <c r="E1201" s="10">
        <v>0.76</v>
      </c>
      <c r="F1201" s="1">
        <v>22.2</v>
      </c>
      <c r="H1201" s="1" t="s">
        <v>3151</v>
      </c>
    </row>
    <row r="1202" spans="1:46" ht="15" x14ac:dyDescent="0.25">
      <c r="A1202" s="16">
        <v>15010201</v>
      </c>
      <c r="B1202" s="11" t="s">
        <v>586</v>
      </c>
      <c r="C1202" s="11" t="s">
        <v>1783</v>
      </c>
      <c r="D1202" s="4">
        <f>ROUND(E1202*F1202,0)</f>
        <v>64</v>
      </c>
      <c r="E1202" s="10">
        <v>0.76</v>
      </c>
      <c r="F1202" s="1">
        <v>84</v>
      </c>
      <c r="H1202" s="1" t="s">
        <v>3151</v>
      </c>
    </row>
    <row r="1203" spans="1:46" ht="15" x14ac:dyDescent="0.25">
      <c r="A1203" s="5">
        <v>15010202</v>
      </c>
      <c r="B1203" s="11" t="s">
        <v>587</v>
      </c>
      <c r="C1203" s="11" t="s">
        <v>32</v>
      </c>
      <c r="D1203" s="4">
        <v>1</v>
      </c>
      <c r="E1203" s="10">
        <v>0.76</v>
      </c>
      <c r="F1203" s="1"/>
      <c r="G1203" s="4">
        <v>1</v>
      </c>
      <c r="H1203" s="1" t="s">
        <v>3151</v>
      </c>
    </row>
    <row r="1204" spans="1:46" ht="15" x14ac:dyDescent="0.25">
      <c r="A1204" s="3">
        <v>15010202</v>
      </c>
      <c r="B1204" s="11" t="s">
        <v>591</v>
      </c>
      <c r="C1204" s="11" t="s">
        <v>1789</v>
      </c>
      <c r="D1204" s="4">
        <f>ROUND(E1204*F1204,0)</f>
        <v>99</v>
      </c>
      <c r="E1204" s="10">
        <v>0.76</v>
      </c>
      <c r="F1204" s="1">
        <v>130</v>
      </c>
      <c r="H1204" s="1" t="s">
        <v>3151</v>
      </c>
    </row>
    <row r="1205" spans="1:46" ht="15" x14ac:dyDescent="0.25">
      <c r="A1205" s="16">
        <v>15010202</v>
      </c>
      <c r="B1205" s="11" t="s">
        <v>589</v>
      </c>
      <c r="C1205" s="11" t="s">
        <v>1786</v>
      </c>
      <c r="D1205" s="4">
        <f>ROUND(E1205*F1205,0)</f>
        <v>17</v>
      </c>
      <c r="E1205" s="10">
        <v>0.76</v>
      </c>
      <c r="F1205" s="1">
        <v>22.2</v>
      </c>
      <c r="H1205" s="1" t="s">
        <v>3151</v>
      </c>
    </row>
    <row r="1206" spans="1:46" ht="15" x14ac:dyDescent="0.25">
      <c r="A1206" s="16">
        <v>15010202</v>
      </c>
      <c r="B1206" s="11" t="s">
        <v>587</v>
      </c>
      <c r="C1206" s="11" t="s">
        <v>1784</v>
      </c>
      <c r="D1206" s="4">
        <f>ROUND(E1206*F1206,0)</f>
        <v>64</v>
      </c>
      <c r="E1206" s="10">
        <v>0.76</v>
      </c>
      <c r="F1206" s="1">
        <v>84</v>
      </c>
      <c r="H1206" s="1" t="s">
        <v>3151</v>
      </c>
    </row>
    <row r="1207" spans="1:46" ht="15" x14ac:dyDescent="0.25">
      <c r="A1207" s="16">
        <v>15010203</v>
      </c>
      <c r="B1207" s="11" t="s">
        <v>2500</v>
      </c>
      <c r="C1207" s="11" t="s">
        <v>1788</v>
      </c>
      <c r="D1207" s="4">
        <f>ROUND(E1207*F1207,0)</f>
        <v>22</v>
      </c>
      <c r="E1207" s="10">
        <v>1.01</v>
      </c>
      <c r="F1207" s="1">
        <v>22.2</v>
      </c>
      <c r="G1207" s="1">
        <v>24</v>
      </c>
      <c r="H1207" s="1" t="s">
        <v>3151</v>
      </c>
    </row>
    <row r="1208" spans="1:46" ht="15" x14ac:dyDescent="0.25">
      <c r="A1208" s="16">
        <v>15010203</v>
      </c>
      <c r="B1208" s="11" t="s">
        <v>2500</v>
      </c>
      <c r="C1208" s="11" t="s">
        <v>1785</v>
      </c>
      <c r="D1208" s="4">
        <f>ROUND(E1208*F1208*1.25,0)</f>
        <v>106</v>
      </c>
      <c r="E1208" s="10">
        <v>1.01</v>
      </c>
      <c r="F1208" s="1">
        <v>84</v>
      </c>
      <c r="H1208" s="1" t="s">
        <v>3151</v>
      </c>
      <c r="I1208" s="1" t="s">
        <v>2999</v>
      </c>
    </row>
    <row r="1209" spans="1:46" ht="15" x14ac:dyDescent="0.25">
      <c r="A1209" s="20">
        <v>15010204</v>
      </c>
      <c r="B1209" s="11" t="s">
        <v>590</v>
      </c>
      <c r="C1209" s="11" t="s">
        <v>26</v>
      </c>
      <c r="D1209" s="4">
        <f>ROUND(E1209*F1209,0)</f>
        <v>22</v>
      </c>
      <c r="E1209" s="10">
        <v>1.01</v>
      </c>
      <c r="F1209" s="1">
        <v>22.2</v>
      </c>
      <c r="H1209" s="1" t="s">
        <v>3151</v>
      </c>
    </row>
    <row r="1210" spans="1:46" ht="15" x14ac:dyDescent="0.25">
      <c r="A1210" s="16">
        <v>15010204</v>
      </c>
      <c r="B1210" s="11" t="s">
        <v>590</v>
      </c>
      <c r="C1210" s="11" t="s">
        <v>1787</v>
      </c>
      <c r="D1210" s="4">
        <f>ROUND(E1210*F1210*1.25,0)</f>
        <v>106</v>
      </c>
      <c r="E1210" s="10">
        <v>1.01</v>
      </c>
      <c r="F1210" s="1">
        <v>84</v>
      </c>
      <c r="H1210" s="1" t="s">
        <v>3151</v>
      </c>
      <c r="I1210" s="1" t="s">
        <v>2999</v>
      </c>
    </row>
    <row r="1211" spans="1:46" ht="15" x14ac:dyDescent="0.25">
      <c r="A1211" s="16">
        <v>15010206</v>
      </c>
      <c r="B1211" s="11" t="s">
        <v>2603</v>
      </c>
      <c r="C1211" s="11" t="s">
        <v>1791</v>
      </c>
      <c r="D1211" s="4">
        <f>ROUND(E1211*F1211,0)</f>
        <v>19</v>
      </c>
      <c r="E1211" s="10">
        <v>0.85</v>
      </c>
      <c r="F1211" s="1">
        <v>22.2</v>
      </c>
      <c r="H1211" s="1" t="s">
        <v>3151</v>
      </c>
      <c r="I1211" s="1" t="s">
        <v>2604</v>
      </c>
    </row>
    <row r="1212" spans="1:46" ht="15" x14ac:dyDescent="0.25">
      <c r="A1212" s="24">
        <v>15010208</v>
      </c>
      <c r="B1212" s="25" t="s">
        <v>3221</v>
      </c>
      <c r="C1212" s="25" t="s">
        <v>26</v>
      </c>
      <c r="D1212" s="21">
        <v>22</v>
      </c>
      <c r="E1212" s="11"/>
      <c r="F1212" s="2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  <c r="AB1212" s="11"/>
      <c r="AC1212" s="11"/>
      <c r="AD1212" s="11"/>
      <c r="AE1212" s="11"/>
      <c r="AF1212" s="11"/>
      <c r="AG1212" s="11"/>
      <c r="AH1212" s="11"/>
      <c r="AI1212" s="11"/>
      <c r="AJ1212" s="11"/>
      <c r="AK1212" s="11"/>
      <c r="AL1212" s="11"/>
      <c r="AM1212" s="11"/>
      <c r="AN1212" s="11"/>
      <c r="AO1212" s="11"/>
      <c r="AP1212" s="11"/>
      <c r="AQ1212" s="11"/>
      <c r="AR1212" s="11"/>
      <c r="AS1212" s="11"/>
      <c r="AT1212" s="11"/>
    </row>
    <row r="1213" spans="1:46" ht="15" x14ac:dyDescent="0.25">
      <c r="A1213" s="24">
        <v>15010208</v>
      </c>
      <c r="B1213" s="25" t="s">
        <v>3221</v>
      </c>
      <c r="C1213" s="25" t="s">
        <v>24</v>
      </c>
      <c r="D1213" s="4">
        <v>106</v>
      </c>
      <c r="H1213" s="1" t="s">
        <v>3151</v>
      </c>
    </row>
    <row r="1214" spans="1:46" ht="15" x14ac:dyDescent="0.25">
      <c r="A1214" s="5">
        <v>15010302</v>
      </c>
      <c r="B1214" s="11" t="s">
        <v>2399</v>
      </c>
      <c r="C1214" s="11" t="s">
        <v>24</v>
      </c>
      <c r="D1214" s="4">
        <f>ROUND(E1214*F1214,0)</f>
        <v>64</v>
      </c>
      <c r="E1214" s="10">
        <v>0.76</v>
      </c>
      <c r="F1214" s="1">
        <v>84</v>
      </c>
      <c r="H1214" s="1" t="s">
        <v>3151</v>
      </c>
      <c r="I1214" s="1" t="s">
        <v>2605</v>
      </c>
    </row>
    <row r="1215" spans="1:46" ht="15" x14ac:dyDescent="0.25">
      <c r="A1215" s="20">
        <v>15010302</v>
      </c>
      <c r="B1215" s="11" t="s">
        <v>2399</v>
      </c>
      <c r="C1215" s="11" t="s">
        <v>26</v>
      </c>
      <c r="D1215" s="4">
        <f>ROUND(E1215*F1215,0)</f>
        <v>17</v>
      </c>
      <c r="E1215" s="10">
        <v>0.76</v>
      </c>
      <c r="F1215" s="1">
        <v>22.2</v>
      </c>
      <c r="H1215" s="1" t="s">
        <v>3151</v>
      </c>
      <c r="I1215" s="1" t="s">
        <v>2605</v>
      </c>
    </row>
    <row r="1216" spans="1:46" ht="15" x14ac:dyDescent="0.25">
      <c r="A1216" s="3">
        <v>15010303</v>
      </c>
      <c r="B1216" s="11" t="s">
        <v>593</v>
      </c>
      <c r="C1216" s="11" t="s">
        <v>1792</v>
      </c>
      <c r="D1216" s="4">
        <f>ROUND(E1216*F1216*1.25,0)</f>
        <v>106</v>
      </c>
      <c r="E1216" s="10">
        <v>1.01</v>
      </c>
      <c r="F1216" s="1">
        <v>84</v>
      </c>
      <c r="H1216" s="1" t="s">
        <v>3151</v>
      </c>
      <c r="I1216" s="1" t="s">
        <v>2999</v>
      </c>
    </row>
    <row r="1217" spans="1:10" ht="15" x14ac:dyDescent="0.25">
      <c r="A1217" s="16">
        <v>15010303</v>
      </c>
      <c r="B1217" s="11" t="s">
        <v>595</v>
      </c>
      <c r="C1217" s="11" t="s">
        <v>1794</v>
      </c>
      <c r="D1217" s="4">
        <f>ROUND(E1217*F1217,0)</f>
        <v>22</v>
      </c>
      <c r="E1217" s="10">
        <v>1.01</v>
      </c>
      <c r="F1217" s="1">
        <v>22.2</v>
      </c>
      <c r="G1217" s="1">
        <v>16</v>
      </c>
      <c r="H1217" s="1" t="s">
        <v>3151</v>
      </c>
      <c r="I1217" s="1" t="s">
        <v>2606</v>
      </c>
    </row>
    <row r="1218" spans="1:10" ht="15" x14ac:dyDescent="0.25">
      <c r="A1218" s="16">
        <v>15010304</v>
      </c>
      <c r="B1218" s="11" t="s">
        <v>594</v>
      </c>
      <c r="C1218" s="11" t="s">
        <v>26</v>
      </c>
      <c r="D1218" s="4">
        <f>ROUND(E1218*F1218,0)</f>
        <v>22</v>
      </c>
      <c r="E1218" s="10">
        <v>1.01</v>
      </c>
      <c r="F1218" s="1">
        <v>22.2</v>
      </c>
      <c r="G1218" s="4"/>
      <c r="H1218" s="1" t="s">
        <v>3151</v>
      </c>
      <c r="I1218" s="1" t="s">
        <v>3132</v>
      </c>
      <c r="J1218" s="1" t="s">
        <v>3132</v>
      </c>
    </row>
    <row r="1219" spans="1:10" ht="15" x14ac:dyDescent="0.25">
      <c r="A1219" s="3">
        <v>15010304</v>
      </c>
      <c r="B1219" s="11" t="s">
        <v>594</v>
      </c>
      <c r="C1219" s="11" t="s">
        <v>1793</v>
      </c>
      <c r="D1219" s="4">
        <f>ROUND(E1219*F1219*1.25,0)</f>
        <v>106</v>
      </c>
      <c r="E1219" s="10">
        <v>1.01</v>
      </c>
      <c r="F1219" s="1">
        <v>84</v>
      </c>
      <c r="H1219" s="1" t="s">
        <v>3151</v>
      </c>
      <c r="I1219" s="1" t="s">
        <v>2999</v>
      </c>
    </row>
    <row r="1220" spans="1:10" ht="15" x14ac:dyDescent="0.25">
      <c r="A1220" s="16">
        <v>15020102</v>
      </c>
      <c r="B1220" s="11" t="s">
        <v>596</v>
      </c>
      <c r="C1220" s="11" t="s">
        <v>1796</v>
      </c>
      <c r="D1220" s="4">
        <f>ROUND(E1220*F1220,0)</f>
        <v>19</v>
      </c>
      <c r="E1220" s="10">
        <v>0.85</v>
      </c>
      <c r="F1220" s="1">
        <v>22.2</v>
      </c>
      <c r="G1220" s="1">
        <v>15</v>
      </c>
      <c r="H1220" s="1" t="s">
        <v>3151</v>
      </c>
    </row>
    <row r="1221" spans="1:10" ht="15" x14ac:dyDescent="0.25">
      <c r="A1221" s="3">
        <v>15020102</v>
      </c>
      <c r="B1221" s="11" t="s">
        <v>2607</v>
      </c>
      <c r="C1221" s="11" t="s">
        <v>1795</v>
      </c>
      <c r="D1221" s="4">
        <f>ROUND(E1221*F1221,0)</f>
        <v>71</v>
      </c>
      <c r="E1221" s="10">
        <v>0.85</v>
      </c>
      <c r="F1221" s="1">
        <v>84</v>
      </c>
      <c r="G1221" s="1">
        <v>60</v>
      </c>
      <c r="H1221" s="1" t="s">
        <v>3151</v>
      </c>
      <c r="I1221" s="1" t="s">
        <v>2702</v>
      </c>
    </row>
    <row r="1222" spans="1:10" ht="15" x14ac:dyDescent="0.25">
      <c r="A1222" s="16">
        <v>15020103</v>
      </c>
      <c r="B1222" s="11" t="s">
        <v>597</v>
      </c>
      <c r="C1222" s="11" t="s">
        <v>1796</v>
      </c>
      <c r="D1222" s="4">
        <f>ROUND(E1222*F1222,0)</f>
        <v>22</v>
      </c>
      <c r="E1222" s="10">
        <v>1.01</v>
      </c>
      <c r="F1222" s="1">
        <v>22.2</v>
      </c>
      <c r="G1222" s="1">
        <v>26</v>
      </c>
      <c r="H1222" s="1" t="s">
        <v>3151</v>
      </c>
    </row>
    <row r="1223" spans="1:10" ht="15" x14ac:dyDescent="0.25">
      <c r="A1223" s="16">
        <v>15020104</v>
      </c>
      <c r="B1223" s="11" t="s">
        <v>598</v>
      </c>
      <c r="C1223" s="11" t="s">
        <v>1796</v>
      </c>
      <c r="D1223" s="4">
        <f>ROUND(E1223*F1223,0)</f>
        <v>22</v>
      </c>
      <c r="E1223" s="10">
        <v>1.01</v>
      </c>
      <c r="F1223" s="1">
        <v>22.2</v>
      </c>
      <c r="G1223" s="1">
        <v>26</v>
      </c>
      <c r="H1223" s="1" t="s">
        <v>3151</v>
      </c>
    </row>
    <row r="1224" spans="1:10" ht="15" x14ac:dyDescent="0.25">
      <c r="A1224" s="24">
        <v>15020105</v>
      </c>
      <c r="B1224" s="25" t="s">
        <v>3222</v>
      </c>
      <c r="C1224" s="25" t="s">
        <v>27</v>
      </c>
      <c r="D1224" s="4">
        <v>120</v>
      </c>
      <c r="H1224" s="1" t="s">
        <v>3151</v>
      </c>
    </row>
    <row r="1225" spans="1:10" ht="15" x14ac:dyDescent="0.25">
      <c r="A1225" s="16">
        <v>15020106</v>
      </c>
      <c r="B1225" s="11" t="s">
        <v>3067</v>
      </c>
      <c r="C1225" s="11" t="s">
        <v>26</v>
      </c>
      <c r="D1225" s="4">
        <f t="shared" ref="D1225:D1232" si="34">ROUND(E1225*F1225,0)</f>
        <v>17</v>
      </c>
      <c r="E1225" s="10">
        <v>0.76</v>
      </c>
      <c r="F1225" s="1">
        <v>22.2</v>
      </c>
      <c r="G1225" s="4">
        <v>15</v>
      </c>
      <c r="H1225" s="1" t="s">
        <v>3151</v>
      </c>
      <c r="I1225" s="1" t="s">
        <v>3132</v>
      </c>
      <c r="J1225" s="1" t="s">
        <v>3132</v>
      </c>
    </row>
    <row r="1226" spans="1:10" ht="15" x14ac:dyDescent="0.25">
      <c r="A1226" s="16">
        <v>15020107</v>
      </c>
      <c r="B1226" s="11" t="s">
        <v>599</v>
      </c>
      <c r="C1226" s="11" t="s">
        <v>1796</v>
      </c>
      <c r="D1226" s="4">
        <f t="shared" si="34"/>
        <v>22</v>
      </c>
      <c r="E1226" s="10">
        <v>1.01</v>
      </c>
      <c r="F1226" s="1">
        <v>22.2</v>
      </c>
      <c r="G1226" s="1">
        <v>26</v>
      </c>
      <c r="H1226" s="1" t="s">
        <v>3151</v>
      </c>
    </row>
    <row r="1227" spans="1:10" ht="15" x14ac:dyDescent="0.25">
      <c r="A1227" s="16">
        <v>15020201</v>
      </c>
      <c r="B1227" s="11" t="s">
        <v>600</v>
      </c>
      <c r="C1227" s="11" t="s">
        <v>26</v>
      </c>
      <c r="D1227" s="4">
        <f t="shared" si="34"/>
        <v>17</v>
      </c>
      <c r="E1227" s="10">
        <v>0.76</v>
      </c>
      <c r="F1227" s="1">
        <v>22.2</v>
      </c>
      <c r="H1227" s="1" t="s">
        <v>3151</v>
      </c>
    </row>
    <row r="1228" spans="1:10" ht="15" x14ac:dyDescent="0.25">
      <c r="A1228" s="3">
        <v>15020201</v>
      </c>
      <c r="B1228" s="11" t="s">
        <v>600</v>
      </c>
      <c r="C1228" s="11" t="s">
        <v>1797</v>
      </c>
      <c r="D1228" s="4">
        <f t="shared" si="34"/>
        <v>64</v>
      </c>
      <c r="E1228" s="10">
        <v>0.76</v>
      </c>
      <c r="F1228" s="1">
        <v>84</v>
      </c>
      <c r="H1228" s="1" t="s">
        <v>3151</v>
      </c>
    </row>
    <row r="1229" spans="1:10" ht="15" x14ac:dyDescent="0.25">
      <c r="A1229" s="3">
        <v>15020202</v>
      </c>
      <c r="B1229" s="11" t="s">
        <v>601</v>
      </c>
      <c r="C1229" s="11" t="s">
        <v>1797</v>
      </c>
      <c r="D1229" s="4">
        <f t="shared" si="34"/>
        <v>71</v>
      </c>
      <c r="E1229" s="10">
        <v>0.85</v>
      </c>
      <c r="F1229" s="1">
        <v>84</v>
      </c>
      <c r="G1229" s="1">
        <v>15</v>
      </c>
      <c r="H1229" s="1" t="s">
        <v>3151</v>
      </c>
    </row>
    <row r="1230" spans="1:10" ht="15" x14ac:dyDescent="0.25">
      <c r="A1230" s="20">
        <v>15020203</v>
      </c>
      <c r="B1230" s="11" t="s">
        <v>2400</v>
      </c>
      <c r="C1230" s="11" t="s">
        <v>26</v>
      </c>
      <c r="D1230" s="4">
        <f t="shared" si="34"/>
        <v>19</v>
      </c>
      <c r="E1230" s="10">
        <v>0.85</v>
      </c>
      <c r="F1230" s="1">
        <v>22.2</v>
      </c>
      <c r="G1230" s="1">
        <v>15</v>
      </c>
      <c r="H1230" s="1" t="s">
        <v>3151</v>
      </c>
    </row>
    <row r="1231" spans="1:10" ht="15" x14ac:dyDescent="0.25">
      <c r="A1231" s="5">
        <v>15020203</v>
      </c>
      <c r="B1231" s="11" t="s">
        <v>2400</v>
      </c>
      <c r="C1231" s="11" t="s">
        <v>24</v>
      </c>
      <c r="D1231" s="4">
        <f t="shared" si="34"/>
        <v>71</v>
      </c>
      <c r="E1231" s="10">
        <v>0.85</v>
      </c>
      <c r="F1231" s="1">
        <v>84</v>
      </c>
      <c r="G1231" s="1">
        <v>60</v>
      </c>
      <c r="H1231" s="1" t="s">
        <v>3151</v>
      </c>
      <c r="I1231" s="1" t="s">
        <v>2702</v>
      </c>
    </row>
    <row r="1232" spans="1:10" ht="15" x14ac:dyDescent="0.25">
      <c r="A1232" s="16">
        <v>15020204</v>
      </c>
      <c r="B1232" s="11" t="s">
        <v>605</v>
      </c>
      <c r="C1232" s="11" t="s">
        <v>1799</v>
      </c>
      <c r="D1232" s="4">
        <f t="shared" si="34"/>
        <v>22</v>
      </c>
      <c r="E1232" s="10">
        <v>1.01</v>
      </c>
      <c r="F1232" s="1">
        <v>22.2</v>
      </c>
      <c r="G1232" s="1">
        <v>26</v>
      </c>
      <c r="H1232" s="1" t="s">
        <v>3151</v>
      </c>
    </row>
    <row r="1233" spans="1:10" ht="15" x14ac:dyDescent="0.25">
      <c r="A1233" s="3">
        <v>15020204</v>
      </c>
      <c r="B1233" s="11" t="s">
        <v>602</v>
      </c>
      <c r="C1233" s="11" t="s">
        <v>1797</v>
      </c>
      <c r="D1233" s="4">
        <f>ROUND(E1233*F1233*1.25,0)</f>
        <v>106</v>
      </c>
      <c r="E1233" s="10">
        <v>1.01</v>
      </c>
      <c r="F1233" s="1">
        <v>84</v>
      </c>
      <c r="G1233" s="1">
        <v>104</v>
      </c>
      <c r="H1233" s="1" t="s">
        <v>3151</v>
      </c>
      <c r="I1233" s="1" t="s">
        <v>2999</v>
      </c>
    </row>
    <row r="1234" spans="1:10" ht="15" x14ac:dyDescent="0.25">
      <c r="A1234" s="3">
        <v>15020205</v>
      </c>
      <c r="B1234" s="11" t="s">
        <v>603</v>
      </c>
      <c r="C1234" s="11" t="s">
        <v>1797</v>
      </c>
      <c r="D1234" s="4">
        <f>ROUND(E1234*F1234*1.25,0)</f>
        <v>106</v>
      </c>
      <c r="E1234" s="10">
        <v>1.01</v>
      </c>
      <c r="F1234" s="1">
        <v>84</v>
      </c>
      <c r="G1234" s="1">
        <v>104</v>
      </c>
      <c r="H1234" s="1" t="s">
        <v>3151</v>
      </c>
      <c r="I1234" s="1" t="s">
        <v>2999</v>
      </c>
    </row>
    <row r="1235" spans="1:10" ht="15" x14ac:dyDescent="0.25">
      <c r="A1235" s="16">
        <v>15020205</v>
      </c>
      <c r="B1235" s="11" t="s">
        <v>606</v>
      </c>
      <c r="C1235" s="11" t="s">
        <v>1799</v>
      </c>
      <c r="D1235" s="4">
        <f>ROUND(E1235*F1235,0)</f>
        <v>22</v>
      </c>
      <c r="E1235" s="10">
        <v>1.01</v>
      </c>
      <c r="F1235" s="1">
        <v>22.2</v>
      </c>
      <c r="G1235" s="1">
        <v>26</v>
      </c>
      <c r="H1235" s="1" t="s">
        <v>3151</v>
      </c>
    </row>
    <row r="1236" spans="1:10" ht="15" x14ac:dyDescent="0.25">
      <c r="A1236" s="16">
        <v>15020206</v>
      </c>
      <c r="B1236" s="11" t="s">
        <v>608</v>
      </c>
      <c r="C1236" s="11" t="s">
        <v>1801</v>
      </c>
      <c r="D1236" s="4">
        <f>ROUND(E1236*F1236,0)</f>
        <v>17</v>
      </c>
      <c r="E1236" s="10">
        <v>0.76</v>
      </c>
      <c r="F1236" s="1">
        <v>22.2</v>
      </c>
      <c r="G1236" s="1">
        <v>15</v>
      </c>
      <c r="H1236" s="1" t="s">
        <v>3151</v>
      </c>
    </row>
    <row r="1237" spans="1:10" ht="15" x14ac:dyDescent="0.25">
      <c r="A1237" s="3">
        <v>15020206</v>
      </c>
      <c r="B1237" s="11" t="s">
        <v>604</v>
      </c>
      <c r="C1237" s="11" t="s">
        <v>1798</v>
      </c>
      <c r="D1237" s="4">
        <f>ROUND(E1237*F1237,0)</f>
        <v>64</v>
      </c>
      <c r="E1237" s="10">
        <v>0.76</v>
      </c>
      <c r="F1237" s="1">
        <v>84</v>
      </c>
      <c r="G1237" s="1">
        <v>60</v>
      </c>
      <c r="H1237" s="1" t="s">
        <v>3151</v>
      </c>
      <c r="I1237" s="1" t="s">
        <v>2702</v>
      </c>
    </row>
    <row r="1238" spans="1:10" ht="15" x14ac:dyDescent="0.25">
      <c r="A1238" s="3">
        <v>15020207</v>
      </c>
      <c r="B1238" s="11" t="s">
        <v>609</v>
      </c>
      <c r="C1238" s="11" t="s">
        <v>24</v>
      </c>
      <c r="D1238" s="4">
        <f>ROUND(E1238*F1238,0)</f>
        <v>64</v>
      </c>
      <c r="E1238" s="10">
        <v>0.76</v>
      </c>
      <c r="F1238" s="1">
        <v>84</v>
      </c>
      <c r="G1238" s="4">
        <v>130</v>
      </c>
      <c r="H1238" s="1" t="s">
        <v>3151</v>
      </c>
      <c r="I1238" s="1" t="s">
        <v>3132</v>
      </c>
      <c r="J1238" s="1" t="s">
        <v>3132</v>
      </c>
    </row>
    <row r="1239" spans="1:10" ht="15" x14ac:dyDescent="0.25">
      <c r="A1239" s="16">
        <v>15020207</v>
      </c>
      <c r="B1239" s="11" t="s">
        <v>609</v>
      </c>
      <c r="C1239" s="11" t="s">
        <v>1801</v>
      </c>
      <c r="D1239" s="4">
        <f>ROUND(E1239*F1239,0)</f>
        <v>17</v>
      </c>
      <c r="E1239" s="10">
        <v>0.76</v>
      </c>
      <c r="F1239" s="1">
        <v>22.2</v>
      </c>
      <c r="G1239" s="1">
        <v>15</v>
      </c>
      <c r="H1239" s="1" t="s">
        <v>3151</v>
      </c>
    </row>
    <row r="1240" spans="1:10" ht="15" x14ac:dyDescent="0.25">
      <c r="A1240" s="24">
        <v>15020208</v>
      </c>
      <c r="B1240" s="25" t="s">
        <v>607</v>
      </c>
      <c r="C1240" s="25" t="s">
        <v>27</v>
      </c>
      <c r="D1240" s="4">
        <v>131</v>
      </c>
      <c r="H1240" s="1" t="s">
        <v>3151</v>
      </c>
    </row>
    <row r="1241" spans="1:10" ht="15" x14ac:dyDescent="0.25">
      <c r="A1241" s="16">
        <v>15020208</v>
      </c>
      <c r="B1241" s="11" t="s">
        <v>611</v>
      </c>
      <c r="C1241" s="11" t="s">
        <v>1803</v>
      </c>
      <c r="D1241" s="4">
        <f>ROUND(E1241*F1241,0)</f>
        <v>22</v>
      </c>
      <c r="E1241" s="10">
        <v>1.01</v>
      </c>
      <c r="F1241" s="1">
        <v>22.2</v>
      </c>
      <c r="G1241" s="1">
        <v>26</v>
      </c>
      <c r="H1241" s="1" t="s">
        <v>3151</v>
      </c>
    </row>
    <row r="1242" spans="1:10" ht="15" x14ac:dyDescent="0.25">
      <c r="A1242" s="3">
        <v>15020208</v>
      </c>
      <c r="B1242" s="11" t="s">
        <v>607</v>
      </c>
      <c r="C1242" s="11" t="s">
        <v>1800</v>
      </c>
      <c r="D1242" s="4">
        <f>ROUND(E1242*F1242*1.25,0)</f>
        <v>106</v>
      </c>
      <c r="E1242" s="10">
        <v>1.01</v>
      </c>
      <c r="F1242" s="1">
        <v>84</v>
      </c>
      <c r="G1242" s="1">
        <v>104</v>
      </c>
      <c r="H1242" s="1" t="s">
        <v>3151</v>
      </c>
      <c r="I1242" s="1" t="s">
        <v>2999</v>
      </c>
    </row>
    <row r="1243" spans="1:10" ht="15" x14ac:dyDescent="0.25">
      <c r="A1243" s="3">
        <v>15020209</v>
      </c>
      <c r="B1243" s="11" t="s">
        <v>610</v>
      </c>
      <c r="C1243" s="11" t="s">
        <v>1802</v>
      </c>
      <c r="D1243" s="4">
        <f>ROUND(E1243*F1243*1.25,0)</f>
        <v>106</v>
      </c>
      <c r="E1243" s="10">
        <v>1.01</v>
      </c>
      <c r="F1243" s="1">
        <v>84</v>
      </c>
      <c r="G1243" s="1">
        <v>104</v>
      </c>
      <c r="H1243" s="1" t="s">
        <v>3151</v>
      </c>
      <c r="I1243" s="1" t="s">
        <v>2999</v>
      </c>
    </row>
    <row r="1244" spans="1:10" ht="15" x14ac:dyDescent="0.25">
      <c r="A1244" s="16">
        <v>15020209</v>
      </c>
      <c r="B1244" s="11" t="s">
        <v>612</v>
      </c>
      <c r="C1244" s="11" t="s">
        <v>1803</v>
      </c>
      <c r="D1244" s="4">
        <f>ROUND(E1244*F1244,0)</f>
        <v>22</v>
      </c>
      <c r="E1244" s="10">
        <v>1.01</v>
      </c>
      <c r="F1244" s="1">
        <v>22.2</v>
      </c>
      <c r="G1244" s="1">
        <v>26</v>
      </c>
      <c r="H1244" s="1" t="s">
        <v>3151</v>
      </c>
    </row>
    <row r="1245" spans="1:10" ht="15" x14ac:dyDescent="0.25">
      <c r="A1245" s="16">
        <v>15020301</v>
      </c>
      <c r="B1245" s="11" t="s">
        <v>616</v>
      </c>
      <c r="C1245" s="11" t="s">
        <v>1808</v>
      </c>
      <c r="D1245" s="4">
        <f>ROUND(E1245*F1245,0)</f>
        <v>19</v>
      </c>
      <c r="E1245" s="10">
        <v>0.85</v>
      </c>
      <c r="F1245" s="1">
        <v>22.2</v>
      </c>
      <c r="H1245" s="1" t="s">
        <v>3151</v>
      </c>
    </row>
    <row r="1246" spans="1:10" ht="15" x14ac:dyDescent="0.25">
      <c r="A1246" s="3">
        <v>15020301</v>
      </c>
      <c r="B1246" s="11" t="s">
        <v>2608</v>
      </c>
      <c r="C1246" s="11" t="s">
        <v>1806</v>
      </c>
      <c r="D1246" s="4">
        <f>ROUND(E1246*F1246,0)</f>
        <v>71</v>
      </c>
      <c r="E1246" s="10">
        <v>0.85</v>
      </c>
      <c r="F1246" s="1">
        <v>84</v>
      </c>
      <c r="H1246" s="1" t="s">
        <v>3151</v>
      </c>
    </row>
    <row r="1247" spans="1:10" ht="15" x14ac:dyDescent="0.25">
      <c r="A1247" s="16">
        <v>15020301</v>
      </c>
      <c r="B1247" s="11" t="s">
        <v>616</v>
      </c>
      <c r="C1247" s="11" t="s">
        <v>25</v>
      </c>
      <c r="D1247" s="4">
        <v>5</v>
      </c>
    </row>
    <row r="1248" spans="1:10" ht="15" x14ac:dyDescent="0.25">
      <c r="A1248" s="3">
        <v>15020302</v>
      </c>
      <c r="B1248" s="11" t="s">
        <v>615</v>
      </c>
      <c r="C1248" s="11" t="s">
        <v>2675</v>
      </c>
      <c r="D1248" s="4">
        <f t="shared" ref="D1248:D1254" si="35">ROUND(E1248*F1248,0)</f>
        <v>45</v>
      </c>
      <c r="E1248" s="10">
        <v>0.85</v>
      </c>
      <c r="F1248" s="1">
        <v>53</v>
      </c>
      <c r="G1248" s="1">
        <v>24</v>
      </c>
      <c r="H1248" s="1" t="s">
        <v>3151</v>
      </c>
    </row>
    <row r="1249" spans="1:10" ht="15" x14ac:dyDescent="0.25">
      <c r="A1249" s="3">
        <v>15020302</v>
      </c>
      <c r="B1249" s="11" t="s">
        <v>615</v>
      </c>
      <c r="C1249" s="11" t="s">
        <v>24</v>
      </c>
      <c r="D1249" s="4">
        <f t="shared" si="35"/>
        <v>71</v>
      </c>
      <c r="E1249" s="10">
        <v>0.85</v>
      </c>
      <c r="F1249" s="1">
        <v>84</v>
      </c>
      <c r="G1249" s="4"/>
      <c r="H1249" s="1" t="s">
        <v>3151</v>
      </c>
      <c r="I1249" s="1" t="s">
        <v>3132</v>
      </c>
      <c r="J1249" s="1" t="s">
        <v>3132</v>
      </c>
    </row>
    <row r="1250" spans="1:10" ht="15" x14ac:dyDescent="0.25">
      <c r="A1250" s="3">
        <v>15020302</v>
      </c>
      <c r="B1250" s="11" t="s">
        <v>615</v>
      </c>
      <c r="C1250" s="11" t="s">
        <v>1807</v>
      </c>
      <c r="D1250" s="4">
        <f t="shared" si="35"/>
        <v>71</v>
      </c>
      <c r="E1250" s="10">
        <v>0.85</v>
      </c>
      <c r="F1250" s="1">
        <v>84</v>
      </c>
      <c r="G1250" s="1">
        <v>96</v>
      </c>
      <c r="H1250" s="1" t="s">
        <v>3151</v>
      </c>
      <c r="I1250" s="1" t="s">
        <v>2702</v>
      </c>
    </row>
    <row r="1251" spans="1:10" ht="15" x14ac:dyDescent="0.25">
      <c r="A1251" s="16">
        <v>15020302</v>
      </c>
      <c r="B1251" s="11" t="s">
        <v>618</v>
      </c>
      <c r="C1251" s="11" t="s">
        <v>1810</v>
      </c>
      <c r="D1251" s="4">
        <f t="shared" si="35"/>
        <v>19</v>
      </c>
      <c r="E1251" s="10">
        <v>0.85</v>
      </c>
      <c r="F1251" s="1">
        <v>22.2</v>
      </c>
      <c r="G1251" s="1">
        <v>24</v>
      </c>
      <c r="H1251" s="1" t="s">
        <v>3151</v>
      </c>
    </row>
    <row r="1252" spans="1:10" ht="15" x14ac:dyDescent="0.25">
      <c r="A1252" s="3">
        <v>15020303</v>
      </c>
      <c r="B1252" s="11" t="s">
        <v>619</v>
      </c>
      <c r="C1252" s="11" t="s">
        <v>2675</v>
      </c>
      <c r="D1252" s="4">
        <f t="shared" si="35"/>
        <v>54</v>
      </c>
      <c r="E1252" s="10">
        <v>1.01</v>
      </c>
      <c r="F1252" s="1">
        <v>53</v>
      </c>
      <c r="G1252" s="1">
        <v>24</v>
      </c>
      <c r="H1252" s="1" t="s">
        <v>3151</v>
      </c>
    </row>
    <row r="1253" spans="1:10" ht="15" x14ac:dyDescent="0.25">
      <c r="A1253" s="3">
        <v>15020303</v>
      </c>
      <c r="B1253" s="11" t="s">
        <v>621</v>
      </c>
      <c r="C1253" s="11" t="s">
        <v>1815</v>
      </c>
      <c r="D1253" s="4">
        <f t="shared" si="35"/>
        <v>131</v>
      </c>
      <c r="E1253" s="10">
        <v>1.01</v>
      </c>
      <c r="F1253" s="1">
        <v>130</v>
      </c>
      <c r="G1253" s="1">
        <v>192</v>
      </c>
      <c r="H1253" s="1" t="s">
        <v>3151</v>
      </c>
      <c r="I1253" s="1" t="s">
        <v>2961</v>
      </c>
    </row>
    <row r="1254" spans="1:10" ht="15" x14ac:dyDescent="0.25">
      <c r="A1254" s="16">
        <v>15020303</v>
      </c>
      <c r="B1254" s="11" t="s">
        <v>619</v>
      </c>
      <c r="C1254" s="11" t="s">
        <v>1811</v>
      </c>
      <c r="D1254" s="4">
        <f t="shared" si="35"/>
        <v>7</v>
      </c>
      <c r="E1254" s="10">
        <v>1.01</v>
      </c>
      <c r="F1254" s="1">
        <v>7</v>
      </c>
      <c r="G1254" s="1">
        <v>8</v>
      </c>
      <c r="H1254" s="1" t="s">
        <v>3151</v>
      </c>
      <c r="I1254" s="1" t="s">
        <v>2848</v>
      </c>
    </row>
    <row r="1255" spans="1:10" ht="15" x14ac:dyDescent="0.25">
      <c r="A1255" s="3">
        <v>15020303</v>
      </c>
      <c r="B1255" s="31" t="s">
        <v>619</v>
      </c>
      <c r="C1255" s="31" t="s">
        <v>24</v>
      </c>
      <c r="D1255" s="4">
        <f>ROUND(E1255*F1255*1.25,0)</f>
        <v>112</v>
      </c>
      <c r="E1255" s="1">
        <v>1.07</v>
      </c>
      <c r="F1255" s="1">
        <v>84</v>
      </c>
      <c r="G1255" s="4"/>
      <c r="H1255" s="1" t="s">
        <v>3151</v>
      </c>
      <c r="I1255" s="1" t="s">
        <v>2999</v>
      </c>
    </row>
    <row r="1256" spans="1:10" ht="15" x14ac:dyDescent="0.25">
      <c r="A1256" s="16">
        <v>15020303</v>
      </c>
      <c r="B1256" s="11" t="s">
        <v>619</v>
      </c>
      <c r="C1256" s="11" t="s">
        <v>1812</v>
      </c>
      <c r="D1256" s="4">
        <f>ROUND(E1256*F1256,0)</f>
        <v>22</v>
      </c>
      <c r="E1256" s="10">
        <v>1.01</v>
      </c>
      <c r="F1256" s="1">
        <v>22.2</v>
      </c>
      <c r="G1256" s="1">
        <v>24</v>
      </c>
      <c r="H1256" s="1" t="s">
        <v>3151</v>
      </c>
    </row>
    <row r="1257" spans="1:10" ht="15" x14ac:dyDescent="0.25">
      <c r="A1257" s="3">
        <v>15020304</v>
      </c>
      <c r="B1257" s="11" t="s">
        <v>623</v>
      </c>
      <c r="C1257" s="11" t="s">
        <v>1817</v>
      </c>
      <c r="D1257" s="4">
        <f>ROUND(E1257*F1257,0)</f>
        <v>131</v>
      </c>
      <c r="E1257" s="10">
        <v>1.01</v>
      </c>
      <c r="F1257" s="1">
        <v>130</v>
      </c>
      <c r="G1257" s="1">
        <v>96</v>
      </c>
      <c r="H1257" s="1" t="s">
        <v>3151</v>
      </c>
      <c r="I1257" s="1" t="s">
        <v>2961</v>
      </c>
    </row>
    <row r="1258" spans="1:10" ht="15" x14ac:dyDescent="0.25">
      <c r="A1258" s="16">
        <v>15020304</v>
      </c>
      <c r="B1258" s="11" t="s">
        <v>2456</v>
      </c>
      <c r="C1258" s="11" t="s">
        <v>1814</v>
      </c>
      <c r="D1258" s="4">
        <f>ROUND(E1258*F1258,0)</f>
        <v>22</v>
      </c>
      <c r="E1258" s="10">
        <v>1.01</v>
      </c>
      <c r="F1258" s="1">
        <v>22.2</v>
      </c>
      <c r="G1258" s="1">
        <v>12</v>
      </c>
      <c r="H1258" s="1" t="s">
        <v>3151</v>
      </c>
    </row>
    <row r="1259" spans="1:10" ht="15" x14ac:dyDescent="0.25">
      <c r="A1259" s="3">
        <v>15020304</v>
      </c>
      <c r="B1259" s="11" t="s">
        <v>617</v>
      </c>
      <c r="C1259" s="11" t="s">
        <v>1809</v>
      </c>
      <c r="D1259" s="4">
        <f>ROUND(E1259*F1259*1.25,0)</f>
        <v>106</v>
      </c>
      <c r="E1259" s="10">
        <v>1.01</v>
      </c>
      <c r="F1259" s="1">
        <v>84</v>
      </c>
      <c r="G1259" s="1">
        <v>48</v>
      </c>
      <c r="H1259" s="1" t="s">
        <v>3151</v>
      </c>
      <c r="I1259" s="1" t="s">
        <v>2999</v>
      </c>
    </row>
    <row r="1260" spans="1:10" ht="15" x14ac:dyDescent="0.25">
      <c r="A1260" s="3">
        <v>15020305</v>
      </c>
      <c r="B1260" s="11" t="s">
        <v>620</v>
      </c>
      <c r="C1260" s="11" t="s">
        <v>27</v>
      </c>
      <c r="D1260" s="4">
        <f>ROUND(E1260*F1260,0)</f>
        <v>122</v>
      </c>
      <c r="E1260" s="1">
        <v>0.94</v>
      </c>
      <c r="F1260" s="1">
        <v>130</v>
      </c>
      <c r="H1260" s="1" t="s">
        <v>3151</v>
      </c>
    </row>
    <row r="1261" spans="1:10" ht="15" x14ac:dyDescent="0.25">
      <c r="A1261" s="3">
        <v>15020305</v>
      </c>
      <c r="B1261" s="11" t="s">
        <v>620</v>
      </c>
      <c r="C1261" s="11" t="s">
        <v>32</v>
      </c>
      <c r="D1261" s="4">
        <f>G1261</f>
        <v>1</v>
      </c>
      <c r="E1261" s="1">
        <v>0.94</v>
      </c>
      <c r="F1261" s="1"/>
      <c r="G1261" s="4">
        <v>1</v>
      </c>
      <c r="H1261" s="1" t="s">
        <v>3151</v>
      </c>
    </row>
    <row r="1262" spans="1:10" ht="15" x14ac:dyDescent="0.25">
      <c r="A1262" s="16">
        <v>15020305</v>
      </c>
      <c r="B1262" s="11" t="s">
        <v>622</v>
      </c>
      <c r="C1262" s="11" t="s">
        <v>1816</v>
      </c>
      <c r="D1262" s="4">
        <f>ROUND(E1262*F1262,0)</f>
        <v>21</v>
      </c>
      <c r="E1262" s="1">
        <v>0.94</v>
      </c>
      <c r="F1262" s="1">
        <v>22.2</v>
      </c>
      <c r="H1262" s="1" t="s">
        <v>3151</v>
      </c>
    </row>
    <row r="1263" spans="1:10" ht="15" x14ac:dyDescent="0.25">
      <c r="A1263" s="3">
        <v>15020305</v>
      </c>
      <c r="B1263" s="11" t="s">
        <v>620</v>
      </c>
      <c r="C1263" s="11" t="s">
        <v>1813</v>
      </c>
      <c r="D1263" s="4">
        <f>ROUND(E1263*F1263*1.25,0)</f>
        <v>99</v>
      </c>
      <c r="E1263" s="1">
        <v>0.94</v>
      </c>
      <c r="F1263" s="1">
        <v>84</v>
      </c>
      <c r="H1263" s="1" t="s">
        <v>3151</v>
      </c>
      <c r="I1263" s="1" t="s">
        <v>2999</v>
      </c>
    </row>
    <row r="1264" spans="1:10" ht="15" x14ac:dyDescent="0.25">
      <c r="A1264" s="3">
        <v>15020306</v>
      </c>
      <c r="B1264" s="11" t="s">
        <v>3068</v>
      </c>
      <c r="C1264" s="11" t="s">
        <v>24</v>
      </c>
      <c r="D1264" s="4">
        <f>ROUND(E1264*F1264*1.25,0)</f>
        <v>112</v>
      </c>
      <c r="E1264" s="1">
        <v>1.07</v>
      </c>
      <c r="F1264" s="1">
        <v>84</v>
      </c>
      <c r="G1264" s="4"/>
      <c r="H1264" s="1" t="s">
        <v>3151</v>
      </c>
      <c r="I1264" s="1" t="s">
        <v>2999</v>
      </c>
    </row>
    <row r="1265" spans="1:10" ht="15" x14ac:dyDescent="0.25">
      <c r="A1265" s="3">
        <v>15020306</v>
      </c>
      <c r="B1265" s="11" t="s">
        <v>3068</v>
      </c>
      <c r="C1265" s="11" t="s">
        <v>27</v>
      </c>
      <c r="D1265" s="4">
        <f>ROUND(E1265*F1265,0)</f>
        <v>139</v>
      </c>
      <c r="E1265" s="1">
        <v>1.07</v>
      </c>
      <c r="F1265" s="1">
        <v>130</v>
      </c>
      <c r="G1265" s="4"/>
      <c r="H1265" s="1" t="s">
        <v>3151</v>
      </c>
      <c r="I1265" s="1" t="s">
        <v>3132</v>
      </c>
      <c r="J1265" s="1" t="s">
        <v>3132</v>
      </c>
    </row>
    <row r="1266" spans="1:10" ht="15" x14ac:dyDescent="0.25">
      <c r="A1266" s="24">
        <v>15020306</v>
      </c>
      <c r="B1266" s="25" t="s">
        <v>3068</v>
      </c>
      <c r="C1266" s="25" t="s">
        <v>26</v>
      </c>
      <c r="D1266" s="4">
        <v>24</v>
      </c>
      <c r="H1266" s="1" t="s">
        <v>3151</v>
      </c>
    </row>
    <row r="1267" spans="1:10" ht="15" x14ac:dyDescent="0.25">
      <c r="A1267" s="16">
        <v>15020307</v>
      </c>
      <c r="B1267" s="11" t="s">
        <v>626</v>
      </c>
      <c r="C1267" s="11" t="s">
        <v>1819</v>
      </c>
      <c r="D1267" s="4">
        <f>ROUND(E1267*F1267,0)</f>
        <v>24</v>
      </c>
      <c r="E1267" s="1">
        <v>1.07</v>
      </c>
      <c r="F1267" s="1">
        <v>22.2</v>
      </c>
      <c r="H1267" s="1" t="s">
        <v>3151</v>
      </c>
    </row>
    <row r="1268" spans="1:10" ht="12" customHeight="1" x14ac:dyDescent="0.25">
      <c r="A1268" s="3">
        <v>15020307</v>
      </c>
      <c r="B1268" s="11" t="s">
        <v>629</v>
      </c>
      <c r="C1268" s="11" t="s">
        <v>1822</v>
      </c>
      <c r="D1268" s="4">
        <f>ROUND(E1268*F1268,0)</f>
        <v>139</v>
      </c>
      <c r="E1268" s="1">
        <v>1.07</v>
      </c>
      <c r="F1268" s="1">
        <v>130</v>
      </c>
      <c r="H1268" s="1" t="s">
        <v>3151</v>
      </c>
    </row>
    <row r="1269" spans="1:10" ht="12" customHeight="1" x14ac:dyDescent="0.25">
      <c r="A1269" s="3">
        <v>15020307</v>
      </c>
      <c r="B1269" s="11" t="s">
        <v>624</v>
      </c>
      <c r="C1269" s="11" t="s">
        <v>1818</v>
      </c>
      <c r="D1269" s="4">
        <f>ROUND(E1269*F1269*1.25,0)</f>
        <v>112</v>
      </c>
      <c r="E1269" s="1">
        <v>1.07</v>
      </c>
      <c r="F1269" s="1">
        <v>84</v>
      </c>
      <c r="H1269" s="1" t="s">
        <v>3151</v>
      </c>
      <c r="I1269" s="1" t="s">
        <v>2999</v>
      </c>
    </row>
    <row r="1270" spans="1:10" ht="15" x14ac:dyDescent="0.25">
      <c r="A1270" s="3">
        <v>15020308</v>
      </c>
      <c r="B1270" s="11" t="s">
        <v>625</v>
      </c>
      <c r="C1270" s="11" t="s">
        <v>1818</v>
      </c>
      <c r="D1270" s="4">
        <f>ROUND(E1270*F1270*1.25,0)</f>
        <v>112</v>
      </c>
      <c r="E1270" s="1">
        <v>1.07</v>
      </c>
      <c r="F1270" s="1">
        <v>84</v>
      </c>
      <c r="H1270" s="1" t="s">
        <v>3151</v>
      </c>
      <c r="I1270" s="1" t="s">
        <v>2999</v>
      </c>
    </row>
    <row r="1271" spans="1:10" ht="15" x14ac:dyDescent="0.25">
      <c r="A1271" s="16">
        <v>15020308</v>
      </c>
      <c r="B1271" s="11" t="s">
        <v>628</v>
      </c>
      <c r="C1271" s="11" t="s">
        <v>1821</v>
      </c>
      <c r="D1271" s="4">
        <f>ROUND(E1271*F1271,0)</f>
        <v>24</v>
      </c>
      <c r="E1271" s="1">
        <v>1.07</v>
      </c>
      <c r="F1271" s="1">
        <v>22.2</v>
      </c>
      <c r="H1271" s="1" t="s">
        <v>3151</v>
      </c>
    </row>
    <row r="1272" spans="1:10" ht="15" x14ac:dyDescent="0.25">
      <c r="A1272" s="24">
        <v>15020309</v>
      </c>
      <c r="B1272" s="25" t="s">
        <v>613</v>
      </c>
      <c r="C1272" s="25" t="s">
        <v>12</v>
      </c>
      <c r="D1272" s="4">
        <v>32</v>
      </c>
      <c r="H1272" s="1" t="s">
        <v>3151</v>
      </c>
    </row>
    <row r="1273" spans="1:10" ht="15" x14ac:dyDescent="0.25">
      <c r="A1273" s="16">
        <v>15020309</v>
      </c>
      <c r="B1273" s="11" t="s">
        <v>613</v>
      </c>
      <c r="C1273" s="11" t="s">
        <v>1804</v>
      </c>
      <c r="D1273" s="4">
        <f>ROUND(E1273*F1273,0)</f>
        <v>24</v>
      </c>
      <c r="E1273" s="1">
        <v>1.07</v>
      </c>
      <c r="F1273" s="1">
        <v>22.2</v>
      </c>
      <c r="H1273" s="1" t="s">
        <v>3151</v>
      </c>
      <c r="I1273" s="1" t="s">
        <v>2700</v>
      </c>
    </row>
    <row r="1274" spans="1:10" ht="15" x14ac:dyDescent="0.25">
      <c r="A1274" s="16">
        <v>15020309</v>
      </c>
      <c r="B1274" s="11" t="s">
        <v>631</v>
      </c>
      <c r="C1274" s="11" t="s">
        <v>1824</v>
      </c>
      <c r="D1274" s="4">
        <f>ROUND(E1274*F1274,0)</f>
        <v>24</v>
      </c>
      <c r="E1274" s="1">
        <v>1.07</v>
      </c>
      <c r="F1274" s="1">
        <v>22.2</v>
      </c>
      <c r="H1274" s="1" t="s">
        <v>3151</v>
      </c>
    </row>
    <row r="1275" spans="1:10" ht="15" x14ac:dyDescent="0.25">
      <c r="A1275" s="3">
        <v>15020309</v>
      </c>
      <c r="B1275" s="11" t="s">
        <v>627</v>
      </c>
      <c r="C1275" s="11" t="s">
        <v>1820</v>
      </c>
      <c r="D1275" s="4">
        <f>ROUND(E1275*F1275*1.25,0)</f>
        <v>112</v>
      </c>
      <c r="E1275" s="1">
        <v>1.07</v>
      </c>
      <c r="F1275" s="1">
        <v>84</v>
      </c>
      <c r="H1275" s="1" t="s">
        <v>3151</v>
      </c>
      <c r="I1275" s="1" t="s">
        <v>2999</v>
      </c>
    </row>
    <row r="1276" spans="1:10" ht="15" x14ac:dyDescent="0.25">
      <c r="A1276" s="16">
        <v>15020310</v>
      </c>
      <c r="B1276" s="11" t="s">
        <v>614</v>
      </c>
      <c r="C1276" s="11" t="s">
        <v>1804</v>
      </c>
      <c r="D1276" s="4">
        <f t="shared" ref="D1276:D1282" si="36">ROUND(E1276*F1276,0)</f>
        <v>23</v>
      </c>
      <c r="E1276" s="1">
        <f>ROUND(248/237,2)</f>
        <v>1.05</v>
      </c>
      <c r="F1276" s="1">
        <v>22.2</v>
      </c>
      <c r="H1276" s="1" t="s">
        <v>3151</v>
      </c>
      <c r="I1276" s="1" t="s">
        <v>2700</v>
      </c>
    </row>
    <row r="1277" spans="1:10" ht="15" x14ac:dyDescent="0.25">
      <c r="A1277" s="16">
        <v>15020310</v>
      </c>
      <c r="B1277" s="11" t="s">
        <v>614</v>
      </c>
      <c r="C1277" s="11" t="s">
        <v>1805</v>
      </c>
      <c r="D1277" s="4">
        <f t="shared" si="36"/>
        <v>32</v>
      </c>
      <c r="E1277" s="1">
        <f>ROUND(248/237,2)</f>
        <v>1.05</v>
      </c>
      <c r="F1277" s="1">
        <v>30</v>
      </c>
      <c r="H1277" s="1" t="s">
        <v>3151</v>
      </c>
      <c r="I1277" s="1" t="s">
        <v>2701</v>
      </c>
    </row>
    <row r="1278" spans="1:10" ht="15" x14ac:dyDescent="0.25">
      <c r="A1278" s="3">
        <v>15020310</v>
      </c>
      <c r="B1278" s="11" t="s">
        <v>636</v>
      </c>
      <c r="C1278" s="11" t="s">
        <v>1827</v>
      </c>
      <c r="D1278" s="4">
        <f t="shared" si="36"/>
        <v>137</v>
      </c>
      <c r="E1278" s="1">
        <f>ROUND(248/237,2)</f>
        <v>1.05</v>
      </c>
      <c r="F1278" s="1">
        <v>130</v>
      </c>
      <c r="H1278" s="1" t="s">
        <v>3151</v>
      </c>
    </row>
    <row r="1279" spans="1:10" ht="15" x14ac:dyDescent="0.25">
      <c r="A1279" s="16">
        <v>15020310</v>
      </c>
      <c r="B1279" s="11" t="s">
        <v>634</v>
      </c>
      <c r="C1279" s="11" t="s">
        <v>1826</v>
      </c>
      <c r="D1279" s="4">
        <f t="shared" si="36"/>
        <v>23</v>
      </c>
      <c r="E1279" s="1">
        <f>ROUND(248/237,2)</f>
        <v>1.05</v>
      </c>
      <c r="F1279" s="1">
        <v>22.2</v>
      </c>
      <c r="H1279" s="1" t="s">
        <v>3151</v>
      </c>
    </row>
    <row r="1280" spans="1:10" ht="15" x14ac:dyDescent="0.25">
      <c r="A1280" s="3">
        <v>15020310</v>
      </c>
      <c r="B1280" s="11" t="s">
        <v>630</v>
      </c>
      <c r="C1280" s="11" t="s">
        <v>1823</v>
      </c>
      <c r="D1280" s="4">
        <f t="shared" si="36"/>
        <v>90</v>
      </c>
      <c r="E1280" s="1">
        <v>1.07</v>
      </c>
      <c r="F1280" s="1">
        <v>84</v>
      </c>
      <c r="H1280" s="1" t="s">
        <v>3151</v>
      </c>
    </row>
    <row r="1281" spans="1:10" ht="15" x14ac:dyDescent="0.25">
      <c r="A1281" s="3">
        <v>15020311</v>
      </c>
      <c r="B1281" s="11" t="s">
        <v>632</v>
      </c>
      <c r="C1281" s="11" t="s">
        <v>27</v>
      </c>
      <c r="D1281" s="4">
        <f t="shared" si="36"/>
        <v>139</v>
      </c>
      <c r="E1281" s="1">
        <v>1.07</v>
      </c>
      <c r="F1281" s="1">
        <v>130</v>
      </c>
      <c r="G1281" s="4"/>
      <c r="H1281" s="1" t="s">
        <v>3151</v>
      </c>
      <c r="I1281" s="1" t="s">
        <v>3132</v>
      </c>
      <c r="J1281" s="1" t="s">
        <v>3132</v>
      </c>
    </row>
    <row r="1282" spans="1:10" ht="15" x14ac:dyDescent="0.25">
      <c r="A1282" s="16">
        <v>15020311</v>
      </c>
      <c r="B1282" s="11" t="s">
        <v>635</v>
      </c>
      <c r="C1282" s="11" t="s">
        <v>1826</v>
      </c>
      <c r="D1282" s="4">
        <f t="shared" si="36"/>
        <v>24</v>
      </c>
      <c r="E1282" s="1">
        <v>1.07</v>
      </c>
      <c r="F1282" s="1">
        <v>22.2</v>
      </c>
      <c r="H1282" s="1" t="s">
        <v>3151</v>
      </c>
    </row>
    <row r="1283" spans="1:10" ht="15" x14ac:dyDescent="0.25">
      <c r="A1283" s="3">
        <v>15020311</v>
      </c>
      <c r="B1283" s="11" t="s">
        <v>632</v>
      </c>
      <c r="C1283" s="11" t="s">
        <v>1825</v>
      </c>
      <c r="D1283" s="4">
        <f>ROUND(E1283*F1283*1.25,0)</f>
        <v>112</v>
      </c>
      <c r="E1283" s="1">
        <v>1.07</v>
      </c>
      <c r="F1283" s="1">
        <v>84</v>
      </c>
      <c r="H1283" s="1" t="s">
        <v>3151</v>
      </c>
      <c r="I1283" s="1" t="s">
        <v>2999</v>
      </c>
    </row>
    <row r="1284" spans="1:10" ht="15" x14ac:dyDescent="0.25">
      <c r="A1284" s="16">
        <v>15020312</v>
      </c>
      <c r="B1284" s="11" t="s">
        <v>637</v>
      </c>
      <c r="C1284" s="11" t="s">
        <v>1828</v>
      </c>
      <c r="D1284" s="4">
        <f>ROUND(E1284*F1284,0)</f>
        <v>24</v>
      </c>
      <c r="E1284" s="1">
        <v>1.07</v>
      </c>
      <c r="F1284" s="1">
        <v>22.2</v>
      </c>
      <c r="H1284" s="1" t="s">
        <v>3151</v>
      </c>
    </row>
    <row r="1285" spans="1:10" ht="15" x14ac:dyDescent="0.25">
      <c r="A1285" s="3">
        <v>15020312</v>
      </c>
      <c r="B1285" s="11" t="s">
        <v>637</v>
      </c>
      <c r="C1285" s="11" t="s">
        <v>1829</v>
      </c>
      <c r="D1285" s="4">
        <f>ROUND(E1285*F1285,0)</f>
        <v>139</v>
      </c>
      <c r="E1285" s="1">
        <v>1.07</v>
      </c>
      <c r="F1285" s="1">
        <v>130</v>
      </c>
      <c r="H1285" s="1" t="s">
        <v>3151</v>
      </c>
    </row>
    <row r="1286" spans="1:10" ht="15" x14ac:dyDescent="0.25">
      <c r="A1286" s="3">
        <v>15020312</v>
      </c>
      <c r="B1286" s="11" t="s">
        <v>633</v>
      </c>
      <c r="C1286" s="11" t="s">
        <v>1825</v>
      </c>
      <c r="D1286" s="4">
        <f>ROUND(E1286*F1286*1.25,0)</f>
        <v>112</v>
      </c>
      <c r="E1286" s="1">
        <v>1.07</v>
      </c>
      <c r="F1286" s="1">
        <v>84</v>
      </c>
      <c r="H1286" s="1" t="s">
        <v>3151</v>
      </c>
      <c r="I1286" s="1" t="s">
        <v>2999</v>
      </c>
    </row>
    <row r="1287" spans="1:10" ht="15" x14ac:dyDescent="0.25">
      <c r="A1287" s="16">
        <v>15020313</v>
      </c>
      <c r="B1287" s="11" t="s">
        <v>3069</v>
      </c>
      <c r="C1287" s="11" t="s">
        <v>26</v>
      </c>
      <c r="D1287" s="4">
        <f>ROUND(E1287*F1287,0)</f>
        <v>23</v>
      </c>
      <c r="E1287" s="1">
        <f>ROUND(248/237,2)</f>
        <v>1.05</v>
      </c>
      <c r="F1287" s="1">
        <v>22.2</v>
      </c>
      <c r="G1287" s="4"/>
      <c r="H1287" s="1" t="s">
        <v>3151</v>
      </c>
      <c r="I1287" s="1" t="s">
        <v>3132</v>
      </c>
      <c r="J1287" s="1" t="s">
        <v>3132</v>
      </c>
    </row>
    <row r="1288" spans="1:10" ht="15" x14ac:dyDescent="0.25">
      <c r="A1288" s="3">
        <v>15020313</v>
      </c>
      <c r="B1288" s="11" t="s">
        <v>3069</v>
      </c>
      <c r="C1288" s="11" t="s">
        <v>24</v>
      </c>
      <c r="D1288" s="4">
        <f>ROUND(E1288*F1288,0)</f>
        <v>90</v>
      </c>
      <c r="E1288" s="1">
        <v>1.07</v>
      </c>
      <c r="F1288" s="1">
        <v>84</v>
      </c>
      <c r="G1288" s="4"/>
      <c r="H1288" s="1" t="s">
        <v>3151</v>
      </c>
      <c r="I1288" s="1" t="s">
        <v>3132</v>
      </c>
      <c r="J1288" s="1" t="s">
        <v>3132</v>
      </c>
    </row>
    <row r="1289" spans="1:10" ht="15" x14ac:dyDescent="0.25">
      <c r="A1289" s="16">
        <v>15020314</v>
      </c>
      <c r="B1289" s="11" t="s">
        <v>3070</v>
      </c>
      <c r="C1289" s="11" t="s">
        <v>26</v>
      </c>
      <c r="D1289" s="4">
        <f>ROUND(E1289*F1289,0)</f>
        <v>24</v>
      </c>
      <c r="E1289" s="1">
        <v>1.07</v>
      </c>
      <c r="F1289" s="1">
        <v>22.2</v>
      </c>
      <c r="G1289" s="4"/>
      <c r="H1289" s="1" t="s">
        <v>3151</v>
      </c>
      <c r="I1289" s="1" t="s">
        <v>3132</v>
      </c>
      <c r="J1289" s="1" t="s">
        <v>3132</v>
      </c>
    </row>
    <row r="1290" spans="1:10" ht="15" x14ac:dyDescent="0.25">
      <c r="A1290" s="3">
        <v>15020314</v>
      </c>
      <c r="B1290" s="11" t="s">
        <v>3070</v>
      </c>
      <c r="C1290" s="11" t="s">
        <v>24</v>
      </c>
      <c r="D1290" s="4">
        <f>ROUND(E1290*F1290*1.25,0)</f>
        <v>112</v>
      </c>
      <c r="E1290" s="1">
        <v>1.07</v>
      </c>
      <c r="F1290" s="1">
        <v>84</v>
      </c>
      <c r="G1290" s="4"/>
      <c r="H1290" s="1" t="s">
        <v>3151</v>
      </c>
      <c r="I1290" s="1" t="s">
        <v>2999</v>
      </c>
    </row>
    <row r="1291" spans="1:10" ht="15" x14ac:dyDescent="0.25">
      <c r="A1291" s="3">
        <v>15020401</v>
      </c>
      <c r="B1291" s="11" t="s">
        <v>640</v>
      </c>
      <c r="C1291" s="11" t="s">
        <v>1833</v>
      </c>
      <c r="D1291" s="4">
        <f>ROUND(E1291*F1291,0)</f>
        <v>130</v>
      </c>
      <c r="E1291" s="1">
        <v>1</v>
      </c>
      <c r="F1291" s="1">
        <v>130</v>
      </c>
      <c r="H1291" s="1" t="s">
        <v>3151</v>
      </c>
    </row>
    <row r="1292" spans="1:10" ht="15" x14ac:dyDescent="0.25">
      <c r="A1292" s="16">
        <v>15020401</v>
      </c>
      <c r="B1292" s="11" t="s">
        <v>639</v>
      </c>
      <c r="C1292" s="11" t="s">
        <v>1832</v>
      </c>
      <c r="D1292" s="4">
        <f>ROUND(E1292*F1292,0)</f>
        <v>22</v>
      </c>
      <c r="E1292" s="1">
        <v>1</v>
      </c>
      <c r="F1292" s="1">
        <v>22.2</v>
      </c>
      <c r="H1292" s="1" t="s">
        <v>3151</v>
      </c>
    </row>
    <row r="1293" spans="1:10" ht="15" x14ac:dyDescent="0.25">
      <c r="A1293" s="3">
        <v>15020401</v>
      </c>
      <c r="B1293" s="11" t="s">
        <v>638</v>
      </c>
      <c r="C1293" s="11" t="s">
        <v>1830</v>
      </c>
      <c r="D1293" s="4">
        <f>ROUND(E1293*F1293,0)</f>
        <v>84</v>
      </c>
      <c r="E1293" s="1">
        <v>1</v>
      </c>
      <c r="F1293" s="1">
        <v>84</v>
      </c>
      <c r="H1293" s="1" t="s">
        <v>3151</v>
      </c>
    </row>
    <row r="1294" spans="1:10" ht="15" x14ac:dyDescent="0.25">
      <c r="A1294" s="16">
        <v>15020402</v>
      </c>
      <c r="B1294" s="11" t="s">
        <v>2509</v>
      </c>
      <c r="C1294" s="11" t="s">
        <v>1832</v>
      </c>
      <c r="D1294" s="4">
        <f>ROUND(E1294*F1294,0)</f>
        <v>22</v>
      </c>
      <c r="E1294" s="1">
        <v>1</v>
      </c>
      <c r="F1294" s="1">
        <v>22.2</v>
      </c>
      <c r="H1294" s="1" t="s">
        <v>3151</v>
      </c>
    </row>
    <row r="1295" spans="1:10" ht="15" x14ac:dyDescent="0.25">
      <c r="A1295" s="3">
        <v>15020402</v>
      </c>
      <c r="B1295" s="11" t="s">
        <v>2509</v>
      </c>
      <c r="C1295" s="11" t="s">
        <v>1831</v>
      </c>
      <c r="D1295" s="4">
        <f>ROUND(E1295*F1295*1.25,0)</f>
        <v>105</v>
      </c>
      <c r="E1295" s="1">
        <v>1</v>
      </c>
      <c r="F1295" s="1">
        <v>84</v>
      </c>
      <c r="H1295" s="1" t="s">
        <v>3151</v>
      </c>
      <c r="I1295" s="1" t="s">
        <v>2999</v>
      </c>
    </row>
    <row r="1296" spans="1:10" ht="15" x14ac:dyDescent="0.25">
      <c r="A1296" s="3">
        <v>15030001</v>
      </c>
      <c r="B1296" s="11" t="s">
        <v>2609</v>
      </c>
      <c r="C1296" s="11" t="s">
        <v>1834</v>
      </c>
      <c r="D1296" s="4">
        <f>ROUND(E1296*F1296*1.25,0)</f>
        <v>105</v>
      </c>
      <c r="E1296" s="1">
        <v>1</v>
      </c>
      <c r="F1296" s="1">
        <v>84</v>
      </c>
      <c r="H1296" s="1" t="s">
        <v>3151</v>
      </c>
      <c r="I1296" s="1" t="s">
        <v>2999</v>
      </c>
    </row>
    <row r="1297" spans="1:10" ht="15" x14ac:dyDescent="0.25">
      <c r="A1297" s="3">
        <v>15030002</v>
      </c>
      <c r="B1297" s="11" t="s">
        <v>3071</v>
      </c>
      <c r="C1297" s="11" t="s">
        <v>27</v>
      </c>
      <c r="D1297" s="4">
        <f>ROUND(E1297*F1297,0)</f>
        <v>137</v>
      </c>
      <c r="E1297" s="1">
        <f>ROUND(248/237,2)</f>
        <v>1.05</v>
      </c>
      <c r="F1297" s="1">
        <v>130</v>
      </c>
      <c r="G1297" s="4"/>
      <c r="H1297" s="1" t="s">
        <v>3151</v>
      </c>
      <c r="I1297" s="1" t="s">
        <v>3132</v>
      </c>
      <c r="J1297" s="1" t="s">
        <v>3132</v>
      </c>
    </row>
    <row r="1298" spans="1:10" ht="15" x14ac:dyDescent="0.25">
      <c r="A1298" s="16">
        <v>15030002</v>
      </c>
      <c r="B1298" s="11" t="s">
        <v>3071</v>
      </c>
      <c r="C1298" s="11" t="s">
        <v>26</v>
      </c>
      <c r="D1298" s="4">
        <f>ROUND(E1298*F1298,0)</f>
        <v>23</v>
      </c>
      <c r="E1298" s="1">
        <f>ROUND(248/237,2)</f>
        <v>1.05</v>
      </c>
      <c r="F1298" s="1">
        <v>22.2</v>
      </c>
      <c r="G1298" s="4"/>
      <c r="H1298" s="1" t="s">
        <v>3151</v>
      </c>
      <c r="I1298" s="1" t="s">
        <v>3132</v>
      </c>
      <c r="J1298" s="1" t="s">
        <v>3132</v>
      </c>
    </row>
    <row r="1299" spans="1:10" ht="15" x14ac:dyDescent="0.25">
      <c r="A1299" s="3">
        <v>15030002</v>
      </c>
      <c r="B1299" s="11" t="s">
        <v>3071</v>
      </c>
      <c r="C1299" s="11" t="s">
        <v>24</v>
      </c>
      <c r="D1299" s="4">
        <f>ROUND(E1299*F1299*1.25,0)</f>
        <v>110</v>
      </c>
      <c r="E1299" s="1">
        <f>ROUND(248/237,2)</f>
        <v>1.05</v>
      </c>
      <c r="F1299" s="1">
        <v>84</v>
      </c>
      <c r="G1299" s="4"/>
      <c r="H1299" s="1" t="s">
        <v>3151</v>
      </c>
      <c r="I1299" s="1" t="s">
        <v>2999</v>
      </c>
    </row>
    <row r="1300" spans="1:10" ht="15" x14ac:dyDescent="0.25">
      <c r="A1300" s="16">
        <v>15030003</v>
      </c>
      <c r="B1300" s="11" t="s">
        <v>3072</v>
      </c>
      <c r="C1300" s="11" t="s">
        <v>26</v>
      </c>
      <c r="D1300" s="4">
        <f t="shared" ref="D1300:D1306" si="37">ROUND(E1300*F1300,0)</f>
        <v>23</v>
      </c>
      <c r="E1300" s="1">
        <f>ROUND(248/237,2)</f>
        <v>1.05</v>
      </c>
      <c r="F1300" s="1">
        <v>22.2</v>
      </c>
      <c r="G1300" s="4"/>
      <c r="H1300" s="1" t="s">
        <v>3151</v>
      </c>
      <c r="I1300" s="1" t="s">
        <v>3132</v>
      </c>
      <c r="J1300" s="1" t="s">
        <v>3132</v>
      </c>
    </row>
    <row r="1301" spans="1:10" ht="15" x14ac:dyDescent="0.25">
      <c r="A1301" s="3">
        <v>15030003</v>
      </c>
      <c r="B1301" s="11" t="s">
        <v>3072</v>
      </c>
      <c r="C1301" s="11" t="s">
        <v>24</v>
      </c>
      <c r="D1301" s="4">
        <f t="shared" si="37"/>
        <v>88</v>
      </c>
      <c r="E1301" s="1">
        <f>ROUND(248/237,2)</f>
        <v>1.05</v>
      </c>
      <c r="F1301" s="1">
        <v>84</v>
      </c>
      <c r="G1301" s="4"/>
      <c r="H1301" s="1" t="s">
        <v>3151</v>
      </c>
      <c r="I1301" s="1" t="s">
        <v>3132</v>
      </c>
      <c r="J1301" s="1" t="s">
        <v>3132</v>
      </c>
    </row>
    <row r="1302" spans="1:10" ht="15" x14ac:dyDescent="0.25">
      <c r="A1302" s="16">
        <v>15040001</v>
      </c>
      <c r="B1302" s="11" t="s">
        <v>642</v>
      </c>
      <c r="C1302" s="11" t="s">
        <v>25</v>
      </c>
      <c r="D1302" s="4">
        <f t="shared" si="37"/>
        <v>7</v>
      </c>
      <c r="E1302" s="10">
        <v>1.0666666666666667</v>
      </c>
      <c r="F1302" s="1">
        <v>7</v>
      </c>
      <c r="G1302" s="1">
        <v>8</v>
      </c>
      <c r="H1302" s="1" t="s">
        <v>3151</v>
      </c>
      <c r="I1302" s="1" t="s">
        <v>2858</v>
      </c>
    </row>
    <row r="1303" spans="1:10" ht="15" x14ac:dyDescent="0.25">
      <c r="A1303" s="3">
        <v>15040001</v>
      </c>
      <c r="B1303" s="11" t="s">
        <v>647</v>
      </c>
      <c r="C1303" s="11" t="s">
        <v>1840</v>
      </c>
      <c r="D1303" s="4">
        <f t="shared" si="37"/>
        <v>139</v>
      </c>
      <c r="E1303" s="10">
        <v>1.0666666666666667</v>
      </c>
      <c r="F1303" s="1">
        <v>130</v>
      </c>
      <c r="H1303" s="1" t="s">
        <v>3151</v>
      </c>
    </row>
    <row r="1304" spans="1:10" ht="15" x14ac:dyDescent="0.25">
      <c r="A1304" s="3">
        <v>15040001</v>
      </c>
      <c r="B1304" s="11" t="s">
        <v>642</v>
      </c>
      <c r="C1304" s="11" t="s">
        <v>1836</v>
      </c>
      <c r="D1304" s="4">
        <f t="shared" si="37"/>
        <v>90</v>
      </c>
      <c r="E1304" s="10">
        <v>1.0666666666666667</v>
      </c>
      <c r="F1304" s="1">
        <v>84</v>
      </c>
      <c r="H1304" s="1" t="s">
        <v>3151</v>
      </c>
    </row>
    <row r="1305" spans="1:10" ht="15" x14ac:dyDescent="0.25">
      <c r="A1305" s="16">
        <v>15040001</v>
      </c>
      <c r="B1305" s="11" t="s">
        <v>644</v>
      </c>
      <c r="C1305" s="11" t="s">
        <v>1837</v>
      </c>
      <c r="D1305" s="4">
        <f t="shared" si="37"/>
        <v>24</v>
      </c>
      <c r="E1305" s="10">
        <v>1.0666666666666667</v>
      </c>
      <c r="F1305" s="1">
        <v>22.2</v>
      </c>
      <c r="G1305" s="1">
        <v>16</v>
      </c>
      <c r="H1305" s="1" t="s">
        <v>3151</v>
      </c>
      <c r="I1305" s="1" t="s">
        <v>2489</v>
      </c>
    </row>
    <row r="1306" spans="1:10" ht="15" x14ac:dyDescent="0.25">
      <c r="A1306" s="3">
        <v>15040002</v>
      </c>
      <c r="B1306" s="11" t="s">
        <v>643</v>
      </c>
      <c r="C1306" s="11" t="s">
        <v>2675</v>
      </c>
      <c r="D1306" s="4">
        <f t="shared" si="37"/>
        <v>57</v>
      </c>
      <c r="E1306" s="10">
        <v>1.06666666666667</v>
      </c>
      <c r="F1306" s="1">
        <v>53</v>
      </c>
      <c r="G1306" s="1">
        <v>18</v>
      </c>
      <c r="H1306" s="1" t="s">
        <v>3151</v>
      </c>
      <c r="I1306" s="1" t="s">
        <v>2941</v>
      </c>
    </row>
    <row r="1307" spans="1:10" ht="15" x14ac:dyDescent="0.25">
      <c r="A1307" s="3">
        <v>15040002</v>
      </c>
      <c r="B1307" s="11" t="s">
        <v>643</v>
      </c>
      <c r="C1307" s="11" t="s">
        <v>1836</v>
      </c>
      <c r="D1307" s="4">
        <f>ROUND(E1307*F1307*1.25,0)</f>
        <v>112</v>
      </c>
      <c r="E1307" s="10">
        <v>1.06666666666667</v>
      </c>
      <c r="F1307" s="1">
        <v>84</v>
      </c>
      <c r="H1307" s="1" t="s">
        <v>3151</v>
      </c>
      <c r="I1307" s="1" t="s">
        <v>2999</v>
      </c>
    </row>
    <row r="1308" spans="1:10" ht="15" x14ac:dyDescent="0.25">
      <c r="A1308" s="16">
        <v>15040002</v>
      </c>
      <c r="B1308" s="11" t="s">
        <v>646</v>
      </c>
      <c r="C1308" s="11" t="s">
        <v>1839</v>
      </c>
      <c r="D1308" s="4">
        <f>ROUND(E1308*F1308,0)</f>
        <v>24</v>
      </c>
      <c r="E1308" s="10">
        <v>1.06666666666667</v>
      </c>
      <c r="F1308" s="1">
        <v>22.2</v>
      </c>
      <c r="G1308" s="1">
        <v>18</v>
      </c>
      <c r="H1308" s="1" t="s">
        <v>3151</v>
      </c>
      <c r="I1308" s="1" t="s">
        <v>2941</v>
      </c>
    </row>
    <row r="1309" spans="1:10" ht="15" x14ac:dyDescent="0.25">
      <c r="A1309" s="3">
        <v>15040003</v>
      </c>
      <c r="B1309" s="11" t="s">
        <v>641</v>
      </c>
      <c r="C1309" s="11" t="s">
        <v>27</v>
      </c>
      <c r="D1309" s="4">
        <f>ROUND(E1309*F1309,0)</f>
        <v>139</v>
      </c>
      <c r="E1309" s="10">
        <v>1.06666666666667</v>
      </c>
      <c r="F1309" s="1">
        <v>130</v>
      </c>
      <c r="G1309" s="4"/>
      <c r="H1309" s="1" t="s">
        <v>3151</v>
      </c>
      <c r="I1309" s="1" t="s">
        <v>3132</v>
      </c>
      <c r="J1309" s="1" t="s">
        <v>3132</v>
      </c>
    </row>
    <row r="1310" spans="1:10" ht="15" x14ac:dyDescent="0.25">
      <c r="A1310" s="16">
        <v>15040003</v>
      </c>
      <c r="B1310" s="11" t="s">
        <v>641</v>
      </c>
      <c r="C1310" s="11" t="s">
        <v>1835</v>
      </c>
      <c r="D1310" s="4">
        <f>ROUND(E1310*F1310,0)</f>
        <v>24</v>
      </c>
      <c r="E1310" s="10">
        <v>1.06666666666667</v>
      </c>
      <c r="F1310" s="1">
        <v>22.2</v>
      </c>
      <c r="G1310" s="1">
        <v>18</v>
      </c>
      <c r="H1310" s="1" t="s">
        <v>3151</v>
      </c>
      <c r="I1310" s="1" t="s">
        <v>2942</v>
      </c>
    </row>
    <row r="1311" spans="1:10" ht="15" x14ac:dyDescent="0.25">
      <c r="A1311" s="16">
        <v>15040003</v>
      </c>
      <c r="B1311" s="11" t="s">
        <v>648</v>
      </c>
      <c r="C1311" s="11" t="s">
        <v>1841</v>
      </c>
      <c r="D1311" s="4">
        <f>ROUND(E1311*F1311,0)</f>
        <v>24</v>
      </c>
      <c r="E1311" s="10">
        <v>1.06666666666667</v>
      </c>
      <c r="F1311" s="1">
        <v>22.2</v>
      </c>
      <c r="G1311" s="1">
        <v>18</v>
      </c>
      <c r="H1311" s="1" t="s">
        <v>3151</v>
      </c>
      <c r="I1311" s="1" t="s">
        <v>2942</v>
      </c>
    </row>
    <row r="1312" spans="1:10" ht="15" x14ac:dyDescent="0.25">
      <c r="A1312" s="3">
        <v>15040003</v>
      </c>
      <c r="B1312" s="11" t="s">
        <v>645</v>
      </c>
      <c r="C1312" s="11" t="s">
        <v>1838</v>
      </c>
      <c r="D1312" s="4">
        <f>ROUND(E1312*F1312*1.25,0)</f>
        <v>112</v>
      </c>
      <c r="E1312" s="10">
        <v>1.06666666666667</v>
      </c>
      <c r="F1312" s="1">
        <v>84</v>
      </c>
      <c r="H1312" s="1" t="s">
        <v>3151</v>
      </c>
      <c r="I1312" s="1" t="s">
        <v>2999</v>
      </c>
    </row>
    <row r="1313" spans="1:46" ht="15" x14ac:dyDescent="0.25">
      <c r="A1313" s="3">
        <v>15040004</v>
      </c>
      <c r="B1313" s="11" t="s">
        <v>2632</v>
      </c>
      <c r="C1313" s="11" t="s">
        <v>24</v>
      </c>
      <c r="D1313" s="4">
        <f>ROUND(E1313*F1313*1.25,0)</f>
        <v>112</v>
      </c>
      <c r="E1313" s="10">
        <v>1.06666666666667</v>
      </c>
      <c r="F1313" s="1">
        <v>84</v>
      </c>
      <c r="H1313" s="1" t="s">
        <v>3151</v>
      </c>
      <c r="I1313" s="1" t="s">
        <v>2999</v>
      </c>
    </row>
    <row r="1314" spans="1:46" ht="15" x14ac:dyDescent="0.25">
      <c r="A1314" s="16">
        <v>15040004</v>
      </c>
      <c r="B1314" s="11" t="s">
        <v>2632</v>
      </c>
      <c r="C1314" s="11" t="s">
        <v>26</v>
      </c>
      <c r="D1314" s="4">
        <f t="shared" ref="D1314:D1321" si="38">ROUND(E1314*F1314,0)</f>
        <v>24</v>
      </c>
      <c r="E1314" s="10">
        <v>1.06666666666667</v>
      </c>
      <c r="F1314" s="1">
        <v>22.2</v>
      </c>
      <c r="G1314" s="1">
        <v>18</v>
      </c>
      <c r="H1314" s="1" t="s">
        <v>3151</v>
      </c>
      <c r="I1314" s="1" t="s">
        <v>2941</v>
      </c>
    </row>
    <row r="1315" spans="1:46" ht="15" x14ac:dyDescent="0.25">
      <c r="A1315" s="16">
        <v>15990001</v>
      </c>
      <c r="B1315" s="11" t="s">
        <v>3073</v>
      </c>
      <c r="C1315" s="11" t="s">
        <v>26</v>
      </c>
      <c r="D1315" s="4">
        <f t="shared" si="38"/>
        <v>17</v>
      </c>
      <c r="E1315" s="10">
        <v>0.76</v>
      </c>
      <c r="F1315" s="1">
        <v>22.2</v>
      </c>
      <c r="G1315" s="4"/>
      <c r="H1315" s="1" t="s">
        <v>3151</v>
      </c>
      <c r="I1315" s="1" t="s">
        <v>3132</v>
      </c>
      <c r="J1315" s="1" t="s">
        <v>3132</v>
      </c>
    </row>
    <row r="1316" spans="1:46" ht="15" x14ac:dyDescent="0.25">
      <c r="A1316" s="3">
        <v>15990001</v>
      </c>
      <c r="B1316" s="11" t="s">
        <v>3073</v>
      </c>
      <c r="C1316" s="11" t="s">
        <v>24</v>
      </c>
      <c r="D1316" s="4">
        <f t="shared" si="38"/>
        <v>64</v>
      </c>
      <c r="E1316" s="10">
        <v>0.76</v>
      </c>
      <c r="F1316" s="1">
        <v>84</v>
      </c>
      <c r="G1316" s="4"/>
      <c r="H1316" s="1" t="s">
        <v>3151</v>
      </c>
      <c r="I1316" s="1" t="s">
        <v>3132</v>
      </c>
      <c r="J1316" s="1" t="s">
        <v>3132</v>
      </c>
    </row>
    <row r="1317" spans="1:46" ht="15" x14ac:dyDescent="0.25">
      <c r="A1317" s="3">
        <v>15990002</v>
      </c>
      <c r="B1317" s="11" t="s">
        <v>3074</v>
      </c>
      <c r="C1317" s="11" t="s">
        <v>27</v>
      </c>
      <c r="D1317" s="4">
        <f t="shared" si="38"/>
        <v>99</v>
      </c>
      <c r="E1317" s="10">
        <v>0.76</v>
      </c>
      <c r="F1317" s="1">
        <v>130</v>
      </c>
      <c r="G1317" s="4"/>
      <c r="H1317" s="1" t="s">
        <v>3151</v>
      </c>
      <c r="I1317" s="1" t="s">
        <v>3132</v>
      </c>
      <c r="J1317" s="1" t="s">
        <v>3132</v>
      </c>
    </row>
    <row r="1318" spans="1:46" ht="15" x14ac:dyDescent="0.25">
      <c r="A1318" s="16">
        <v>15990002</v>
      </c>
      <c r="B1318" s="11" t="s">
        <v>3074</v>
      </c>
      <c r="C1318" s="11" t="s">
        <v>26</v>
      </c>
      <c r="D1318" s="4">
        <f t="shared" si="38"/>
        <v>17</v>
      </c>
      <c r="E1318" s="10">
        <v>0.76</v>
      </c>
      <c r="F1318" s="1">
        <v>22.2</v>
      </c>
      <c r="G1318" s="4"/>
      <c r="H1318" s="1" t="s">
        <v>3151</v>
      </c>
      <c r="I1318" s="1" t="s">
        <v>3132</v>
      </c>
      <c r="J1318" s="1" t="s">
        <v>3132</v>
      </c>
    </row>
    <row r="1319" spans="1:46" ht="15" x14ac:dyDescent="0.25">
      <c r="A1319" s="3">
        <v>15990002</v>
      </c>
      <c r="B1319" s="11" t="s">
        <v>3074</v>
      </c>
      <c r="C1319" s="11" t="s">
        <v>24</v>
      </c>
      <c r="D1319" s="4">
        <f t="shared" si="38"/>
        <v>64</v>
      </c>
      <c r="E1319" s="10">
        <v>0.76</v>
      </c>
      <c r="F1319" s="1">
        <v>84</v>
      </c>
      <c r="G1319" s="4"/>
      <c r="H1319" s="1" t="s">
        <v>3151</v>
      </c>
      <c r="I1319" s="1" t="s">
        <v>3132</v>
      </c>
      <c r="J1319" s="1" t="s">
        <v>3132</v>
      </c>
    </row>
    <row r="1320" spans="1:46" ht="15" x14ac:dyDescent="0.25">
      <c r="A1320" s="3">
        <v>15990004</v>
      </c>
      <c r="B1320" s="11" t="s">
        <v>3075</v>
      </c>
      <c r="C1320" s="11" t="s">
        <v>27</v>
      </c>
      <c r="D1320" s="4">
        <f t="shared" si="38"/>
        <v>139</v>
      </c>
      <c r="E1320" s="10">
        <v>1.06666666666667</v>
      </c>
      <c r="F1320" s="1">
        <v>130</v>
      </c>
      <c r="G1320" s="4"/>
      <c r="H1320" s="1" t="s">
        <v>3151</v>
      </c>
      <c r="I1320" s="1" t="s">
        <v>3132</v>
      </c>
      <c r="J1320" s="1" t="s">
        <v>3132</v>
      </c>
    </row>
    <row r="1321" spans="1:46" s="11" customFormat="1" ht="15" x14ac:dyDescent="0.25">
      <c r="A1321" s="16">
        <v>15990004</v>
      </c>
      <c r="B1321" s="11" t="s">
        <v>3075</v>
      </c>
      <c r="C1321" s="11" t="s">
        <v>26</v>
      </c>
      <c r="D1321" s="4">
        <f t="shared" si="38"/>
        <v>24</v>
      </c>
      <c r="E1321" s="10">
        <v>1.06666666666667</v>
      </c>
      <c r="F1321" s="1">
        <v>22.2</v>
      </c>
      <c r="G1321" s="4"/>
      <c r="H1321" s="1" t="s">
        <v>3151</v>
      </c>
      <c r="I1321" s="1" t="s">
        <v>3132</v>
      </c>
      <c r="J1321" s="1" t="s">
        <v>3132</v>
      </c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</row>
    <row r="1322" spans="1:46" s="11" customFormat="1" ht="15" x14ac:dyDescent="0.25">
      <c r="A1322" s="3">
        <v>15990004</v>
      </c>
      <c r="B1322" s="11" t="s">
        <v>3075</v>
      </c>
      <c r="C1322" s="11" t="s">
        <v>24</v>
      </c>
      <c r="D1322" s="4">
        <f>ROUND(E1322*F1322*1.25,0)</f>
        <v>112</v>
      </c>
      <c r="E1322" s="10">
        <v>1.06666666666667</v>
      </c>
      <c r="F1322" s="1">
        <v>84</v>
      </c>
      <c r="G1322" s="4"/>
      <c r="H1322" s="1" t="s">
        <v>3151</v>
      </c>
      <c r="I1322" s="1" t="s">
        <v>2999</v>
      </c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</row>
    <row r="1323" spans="1:46" s="11" customFormat="1" ht="15" x14ac:dyDescent="0.25">
      <c r="A1323" s="3">
        <v>15990005</v>
      </c>
      <c r="B1323" s="11" t="s">
        <v>3076</v>
      </c>
      <c r="C1323" s="11" t="s">
        <v>27</v>
      </c>
      <c r="D1323" s="4">
        <f>ROUND(E1323*F1323,0)</f>
        <v>137</v>
      </c>
      <c r="E1323" s="1">
        <f>ROUND(248/237,2)</f>
        <v>1.05</v>
      </c>
      <c r="F1323" s="1">
        <v>130</v>
      </c>
      <c r="G1323" s="4"/>
      <c r="H1323" s="1" t="s">
        <v>3151</v>
      </c>
      <c r="I1323" s="1" t="s">
        <v>3132</v>
      </c>
      <c r="J1323" s="1" t="s">
        <v>3132</v>
      </c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</row>
    <row r="1324" spans="1:46" s="11" customFormat="1" ht="15" x14ac:dyDescent="0.25">
      <c r="A1324" s="3">
        <v>15990005</v>
      </c>
      <c r="B1324" s="11" t="s">
        <v>3076</v>
      </c>
      <c r="C1324" s="11" t="s">
        <v>24</v>
      </c>
      <c r="D1324" s="4">
        <f>ROUND(E1324*F1324,0)</f>
        <v>90</v>
      </c>
      <c r="E1324" s="1">
        <v>1.07</v>
      </c>
      <c r="F1324" s="1">
        <v>84</v>
      </c>
      <c r="G1324" s="4"/>
      <c r="H1324" s="1" t="s">
        <v>3151</v>
      </c>
      <c r="I1324" s="1" t="s">
        <v>3132</v>
      </c>
      <c r="J1324" s="1" t="s">
        <v>3132</v>
      </c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</row>
    <row r="1325" spans="1:46" ht="15" x14ac:dyDescent="0.25">
      <c r="A1325" s="16">
        <v>15990005</v>
      </c>
      <c r="B1325" s="11" t="s">
        <v>3076</v>
      </c>
      <c r="C1325" s="11" t="s">
        <v>26</v>
      </c>
      <c r="D1325" s="4">
        <f>ROUND(E1325*F1325,0)</f>
        <v>23</v>
      </c>
      <c r="E1325" s="1">
        <f>ROUND(248/237,2)</f>
        <v>1.05</v>
      </c>
      <c r="F1325" s="1">
        <v>22.2</v>
      </c>
      <c r="G1325" s="4"/>
      <c r="H1325" s="1" t="s">
        <v>3151</v>
      </c>
      <c r="I1325" s="1" t="s">
        <v>3132</v>
      </c>
      <c r="J1325" s="1" t="s">
        <v>3132</v>
      </c>
    </row>
    <row r="1326" spans="1:46" ht="15" x14ac:dyDescent="0.25">
      <c r="A1326" s="3">
        <v>15990006</v>
      </c>
      <c r="B1326" s="11" t="s">
        <v>3077</v>
      </c>
      <c r="C1326" s="11" t="s">
        <v>27</v>
      </c>
      <c r="D1326" s="4">
        <f>ROUND(E1326*F1326,0)</f>
        <v>139</v>
      </c>
      <c r="E1326" s="10">
        <v>1.06666666666667</v>
      </c>
      <c r="F1326" s="1">
        <v>130</v>
      </c>
      <c r="G1326" s="4"/>
      <c r="H1326" s="1" t="s">
        <v>3151</v>
      </c>
      <c r="I1326" s="1" t="s">
        <v>3132</v>
      </c>
      <c r="J1326" s="1" t="s">
        <v>3132</v>
      </c>
    </row>
    <row r="1327" spans="1:46" ht="15" x14ac:dyDescent="0.25">
      <c r="A1327" s="3">
        <v>15990006</v>
      </c>
      <c r="B1327" s="11" t="s">
        <v>3077</v>
      </c>
      <c r="C1327" s="11" t="s">
        <v>24</v>
      </c>
      <c r="D1327" s="4">
        <f>ROUND(E1327*F1327*1.25,0)</f>
        <v>112</v>
      </c>
      <c r="E1327" s="10">
        <v>1.06666666666667</v>
      </c>
      <c r="F1327" s="1">
        <v>84</v>
      </c>
      <c r="G1327" s="4"/>
      <c r="H1327" s="1" t="s">
        <v>3151</v>
      </c>
      <c r="I1327" s="1" t="s">
        <v>2999</v>
      </c>
    </row>
    <row r="1328" spans="1:46" ht="15" x14ac:dyDescent="0.25">
      <c r="A1328" s="16">
        <v>15990006</v>
      </c>
      <c r="B1328" s="11" t="s">
        <v>3077</v>
      </c>
      <c r="C1328" s="11" t="s">
        <v>26</v>
      </c>
      <c r="D1328" s="4">
        <f>ROUND(E1328*F1328,0)</f>
        <v>24</v>
      </c>
      <c r="E1328" s="10">
        <v>1.06666666666667</v>
      </c>
      <c r="F1328" s="1">
        <v>22.2</v>
      </c>
      <c r="G1328" s="4"/>
      <c r="H1328" s="1" t="s">
        <v>3151</v>
      </c>
      <c r="I1328" s="1" t="s">
        <v>3132</v>
      </c>
      <c r="J1328" s="1" t="s">
        <v>3132</v>
      </c>
    </row>
    <row r="1329" spans="1:46" ht="15" x14ac:dyDescent="0.25">
      <c r="A1329" s="16">
        <v>15990007</v>
      </c>
      <c r="B1329" s="11" t="s">
        <v>3078</v>
      </c>
      <c r="C1329" s="11" t="s">
        <v>26</v>
      </c>
      <c r="D1329" s="4">
        <f>ROUND(E1329*F1329,0)</f>
        <v>24</v>
      </c>
      <c r="E1329" s="10">
        <v>1.06666666666667</v>
      </c>
      <c r="F1329" s="1">
        <v>22.2</v>
      </c>
      <c r="G1329" s="4"/>
      <c r="H1329" s="1" t="s">
        <v>3151</v>
      </c>
      <c r="I1329" s="1" t="s">
        <v>3132</v>
      </c>
      <c r="J1329" s="1" t="s">
        <v>3132</v>
      </c>
    </row>
    <row r="1330" spans="1:46" ht="15" x14ac:dyDescent="0.25">
      <c r="A1330" s="3">
        <v>15990007</v>
      </c>
      <c r="B1330" s="11" t="s">
        <v>3078</v>
      </c>
      <c r="C1330" s="11" t="s">
        <v>24</v>
      </c>
      <c r="D1330" s="4">
        <f>ROUND(E1330*F1330*1.25,0)</f>
        <v>112</v>
      </c>
      <c r="E1330" s="10">
        <v>1.06666666666667</v>
      </c>
      <c r="F1330" s="1">
        <v>84</v>
      </c>
      <c r="G1330" s="4"/>
      <c r="H1330" s="1" t="s">
        <v>3151</v>
      </c>
      <c r="I1330" s="1" t="s">
        <v>2999</v>
      </c>
    </row>
    <row r="1331" spans="1:46" ht="15" x14ac:dyDescent="0.25">
      <c r="A1331" s="16">
        <v>15990008</v>
      </c>
      <c r="B1331" s="11" t="s">
        <v>3079</v>
      </c>
      <c r="C1331" s="11" t="s">
        <v>26</v>
      </c>
      <c r="D1331" s="4">
        <f>ROUND(E1331*F1331,0)</f>
        <v>24</v>
      </c>
      <c r="E1331" s="10">
        <v>1.06666666666667</v>
      </c>
      <c r="F1331" s="1">
        <v>22.2</v>
      </c>
      <c r="G1331" s="4"/>
      <c r="H1331" s="1" t="s">
        <v>3151</v>
      </c>
      <c r="I1331" s="1" t="s">
        <v>3132</v>
      </c>
      <c r="J1331" s="1" t="s">
        <v>3132</v>
      </c>
    </row>
    <row r="1332" spans="1:46" ht="15" x14ac:dyDescent="0.25">
      <c r="A1332" s="3">
        <v>15990008</v>
      </c>
      <c r="B1332" s="11" t="s">
        <v>3079</v>
      </c>
      <c r="C1332" s="11" t="s">
        <v>24</v>
      </c>
      <c r="D1332" s="4">
        <f>ROUND(E1332*F1332*1.25,0)</f>
        <v>112</v>
      </c>
      <c r="E1332" s="10">
        <v>1.06666666666667</v>
      </c>
      <c r="F1332" s="1">
        <v>84</v>
      </c>
      <c r="G1332" s="4"/>
      <c r="H1332" s="1" t="s">
        <v>3151</v>
      </c>
      <c r="I1332" s="1" t="s">
        <v>2999</v>
      </c>
    </row>
    <row r="1333" spans="1:46" ht="15" x14ac:dyDescent="0.25">
      <c r="A1333" s="3">
        <v>15990009</v>
      </c>
      <c r="B1333" s="11" t="s">
        <v>3080</v>
      </c>
      <c r="C1333" s="11" t="s">
        <v>27</v>
      </c>
      <c r="D1333" s="4">
        <f>ROUND(E1333*F1333,0)</f>
        <v>137</v>
      </c>
      <c r="E1333" s="1">
        <f>ROUND(248/237,2)</f>
        <v>1.05</v>
      </c>
      <c r="F1333" s="1">
        <v>130</v>
      </c>
      <c r="G1333" s="4"/>
      <c r="H1333" s="1" t="s">
        <v>3151</v>
      </c>
      <c r="I1333" s="1" t="s">
        <v>3132</v>
      </c>
      <c r="J1333" s="1" t="s">
        <v>3132</v>
      </c>
    </row>
    <row r="1334" spans="1:46" ht="15" x14ac:dyDescent="0.25">
      <c r="A1334" s="16">
        <v>15990009</v>
      </c>
      <c r="B1334" s="11" t="s">
        <v>3080</v>
      </c>
      <c r="C1334" s="11" t="s">
        <v>26</v>
      </c>
      <c r="D1334" s="4">
        <f>ROUND(E1334*F1334,0)</f>
        <v>23</v>
      </c>
      <c r="E1334" s="1">
        <f>ROUND(248/237,2)</f>
        <v>1.05</v>
      </c>
      <c r="F1334" s="1">
        <v>22.2</v>
      </c>
      <c r="G1334" s="4"/>
      <c r="H1334" s="1" t="s">
        <v>3151</v>
      </c>
      <c r="I1334" s="1" t="s">
        <v>3132</v>
      </c>
      <c r="J1334" s="1" t="s">
        <v>3132</v>
      </c>
    </row>
    <row r="1335" spans="1:46" ht="15" x14ac:dyDescent="0.25">
      <c r="A1335" s="3">
        <v>15990009</v>
      </c>
      <c r="B1335" s="11" t="s">
        <v>3080</v>
      </c>
      <c r="C1335" s="11" t="s">
        <v>24</v>
      </c>
      <c r="D1335" s="4">
        <f>ROUND(E1335*F1335,0)</f>
        <v>88</v>
      </c>
      <c r="E1335" s="1">
        <f>ROUND(248/237,2)</f>
        <v>1.05</v>
      </c>
      <c r="F1335" s="1">
        <v>84</v>
      </c>
      <c r="G1335" s="4"/>
      <c r="H1335" s="1" t="s">
        <v>3151</v>
      </c>
      <c r="I1335" s="1" t="s">
        <v>3132</v>
      </c>
      <c r="J1335" s="1" t="s">
        <v>3132</v>
      </c>
    </row>
    <row r="1336" spans="1:46" ht="15" x14ac:dyDescent="0.25">
      <c r="A1336" s="16">
        <v>15990010</v>
      </c>
      <c r="B1336" s="11" t="s">
        <v>3081</v>
      </c>
      <c r="C1336" s="11" t="s">
        <v>11</v>
      </c>
      <c r="D1336" s="4">
        <f>ROUND(E1336*F1336,0)</f>
        <v>24</v>
      </c>
      <c r="E1336" s="10">
        <v>1.06666666666667</v>
      </c>
      <c r="F1336" s="1">
        <v>22.2</v>
      </c>
      <c r="G1336" s="4"/>
      <c r="H1336" s="1" t="s">
        <v>3151</v>
      </c>
      <c r="I1336" s="1" t="s">
        <v>3132</v>
      </c>
      <c r="J1336" s="1" t="s">
        <v>3132</v>
      </c>
    </row>
    <row r="1337" spans="1:46" ht="15" x14ac:dyDescent="0.25">
      <c r="A1337" s="16">
        <v>15990010</v>
      </c>
      <c r="B1337" s="11" t="s">
        <v>3081</v>
      </c>
      <c r="C1337" s="11" t="s">
        <v>26</v>
      </c>
      <c r="D1337" s="4">
        <f>ROUND(E1337*F1337,0)</f>
        <v>24</v>
      </c>
      <c r="E1337" s="10">
        <v>1.06666666666667</v>
      </c>
      <c r="F1337" s="1">
        <v>22.2</v>
      </c>
      <c r="G1337" s="4"/>
      <c r="H1337" s="1" t="s">
        <v>3151</v>
      </c>
      <c r="I1337" s="1" t="s">
        <v>3132</v>
      </c>
      <c r="J1337" s="1" t="s">
        <v>3132</v>
      </c>
    </row>
    <row r="1338" spans="1:46" ht="15" x14ac:dyDescent="0.25">
      <c r="A1338" s="3">
        <v>15990010</v>
      </c>
      <c r="B1338" s="11" t="s">
        <v>3081</v>
      </c>
      <c r="C1338" s="11" t="s">
        <v>24</v>
      </c>
      <c r="D1338" s="4">
        <f>ROUND(E1338*F1338*1.25,0)</f>
        <v>112</v>
      </c>
      <c r="E1338" s="10">
        <v>1.06666666666667</v>
      </c>
      <c r="F1338" s="1">
        <v>84</v>
      </c>
      <c r="G1338" s="4"/>
      <c r="H1338" s="1" t="s">
        <v>3151</v>
      </c>
      <c r="I1338" s="1" t="s">
        <v>2999</v>
      </c>
    </row>
    <row r="1339" spans="1:46" ht="15" x14ac:dyDescent="0.25">
      <c r="A1339" s="3">
        <v>16010001</v>
      </c>
      <c r="B1339" s="11" t="s">
        <v>2490</v>
      </c>
      <c r="C1339" s="11" t="s">
        <v>1842</v>
      </c>
      <c r="D1339" s="1">
        <f>G1339</f>
        <v>70</v>
      </c>
      <c r="F1339" s="1"/>
      <c r="G1339" s="1">
        <v>70</v>
      </c>
      <c r="H1339" s="1" t="s">
        <v>2491</v>
      </c>
    </row>
    <row r="1340" spans="1:46" ht="15" x14ac:dyDescent="0.25">
      <c r="A1340" s="3">
        <v>16010002</v>
      </c>
      <c r="B1340" s="11" t="s">
        <v>2492</v>
      </c>
      <c r="C1340" s="11" t="s">
        <v>1842</v>
      </c>
      <c r="D1340" s="1">
        <f>G1340</f>
        <v>33</v>
      </c>
      <c r="F1340" s="1"/>
      <c r="G1340" s="1">
        <v>33</v>
      </c>
      <c r="H1340" s="1" t="s">
        <v>2493</v>
      </c>
    </row>
    <row r="1341" spans="1:46" ht="15" x14ac:dyDescent="0.25">
      <c r="A1341" s="3">
        <v>16010003</v>
      </c>
      <c r="B1341" s="11" t="s">
        <v>649</v>
      </c>
      <c r="C1341" s="11" t="s">
        <v>1843</v>
      </c>
      <c r="D1341" s="1">
        <f>G1341</f>
        <v>49</v>
      </c>
      <c r="F1341" s="1"/>
      <c r="G1341" s="1">
        <v>49</v>
      </c>
      <c r="H1341" s="1" t="s">
        <v>2790</v>
      </c>
    </row>
    <row r="1342" spans="1:46" ht="15" x14ac:dyDescent="0.25">
      <c r="A1342" s="24">
        <v>16010004</v>
      </c>
      <c r="B1342" s="25" t="s">
        <v>650</v>
      </c>
      <c r="C1342" s="25" t="s">
        <v>24</v>
      </c>
      <c r="D1342" s="21">
        <v>95</v>
      </c>
      <c r="E1342" s="11"/>
      <c r="F1342" s="21"/>
      <c r="G1342" s="11"/>
      <c r="H1342" s="11"/>
      <c r="I1342" s="11"/>
      <c r="J1342" s="11"/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  <c r="Z1342" s="11"/>
      <c r="AA1342" s="11"/>
      <c r="AB1342" s="11"/>
      <c r="AC1342" s="11"/>
      <c r="AD1342" s="11"/>
      <c r="AE1342" s="11"/>
      <c r="AF1342" s="11"/>
      <c r="AG1342" s="11"/>
      <c r="AH1342" s="11"/>
      <c r="AI1342" s="11"/>
      <c r="AJ1342" s="11"/>
      <c r="AK1342" s="11"/>
      <c r="AL1342" s="11"/>
      <c r="AM1342" s="11"/>
      <c r="AN1342" s="11"/>
      <c r="AO1342" s="11"/>
      <c r="AP1342" s="11"/>
      <c r="AQ1342" s="11"/>
      <c r="AR1342" s="11"/>
      <c r="AS1342" s="11"/>
      <c r="AT1342" s="11"/>
    </row>
    <row r="1343" spans="1:46" ht="15" x14ac:dyDescent="0.25">
      <c r="A1343" s="24">
        <v>16010004</v>
      </c>
      <c r="B1343" s="25" t="s">
        <v>650</v>
      </c>
      <c r="C1343" s="25" t="s">
        <v>26</v>
      </c>
      <c r="D1343" s="21">
        <v>20</v>
      </c>
      <c r="E1343" s="11"/>
      <c r="F1343" s="21"/>
      <c r="G1343" s="11"/>
      <c r="H1343" s="11"/>
      <c r="I1343" s="11"/>
      <c r="J1343" s="11"/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  <c r="Z1343" s="11"/>
      <c r="AA1343" s="11"/>
      <c r="AB1343" s="11"/>
      <c r="AC1343" s="11"/>
      <c r="AD1343" s="11"/>
      <c r="AE1343" s="11"/>
      <c r="AF1343" s="11"/>
      <c r="AG1343" s="11"/>
      <c r="AH1343" s="11"/>
      <c r="AI1343" s="11"/>
      <c r="AJ1343" s="11"/>
      <c r="AK1343" s="11"/>
      <c r="AL1343" s="11"/>
      <c r="AM1343" s="11"/>
      <c r="AN1343" s="11"/>
      <c r="AO1343" s="11"/>
      <c r="AP1343" s="11"/>
      <c r="AQ1343" s="11"/>
      <c r="AR1343" s="11"/>
      <c r="AS1343" s="11"/>
      <c r="AT1343" s="11"/>
    </row>
    <row r="1344" spans="1:46" ht="15" x14ac:dyDescent="0.25">
      <c r="A1344" s="16">
        <v>16010004</v>
      </c>
      <c r="B1344" s="11" t="s">
        <v>650</v>
      </c>
      <c r="C1344" s="11" t="s">
        <v>1843</v>
      </c>
      <c r="D1344" s="11">
        <f>G1344</f>
        <v>49</v>
      </c>
      <c r="E1344" s="11"/>
      <c r="F1344" s="11"/>
      <c r="G1344" s="11">
        <v>49</v>
      </c>
      <c r="H1344" s="11" t="s">
        <v>2790</v>
      </c>
      <c r="I1344" s="11" t="s">
        <v>2681</v>
      </c>
      <c r="J1344" s="11"/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  <c r="Z1344" s="11"/>
      <c r="AA1344" s="11"/>
      <c r="AB1344" s="11"/>
      <c r="AC1344" s="11"/>
      <c r="AD1344" s="11"/>
      <c r="AE1344" s="11"/>
      <c r="AF1344" s="11"/>
      <c r="AG1344" s="11"/>
      <c r="AH1344" s="11"/>
      <c r="AI1344" s="11"/>
      <c r="AJ1344" s="11"/>
      <c r="AK1344" s="11"/>
      <c r="AL1344" s="11"/>
      <c r="AM1344" s="11"/>
      <c r="AN1344" s="11"/>
      <c r="AO1344" s="11"/>
      <c r="AP1344" s="11"/>
      <c r="AQ1344" s="11"/>
      <c r="AR1344" s="11"/>
      <c r="AS1344" s="11"/>
      <c r="AT1344" s="11"/>
    </row>
    <row r="1345" spans="1:46" ht="15" x14ac:dyDescent="0.25">
      <c r="A1345" s="16">
        <v>16010005</v>
      </c>
      <c r="B1345" s="11" t="s">
        <v>651</v>
      </c>
      <c r="C1345" s="11" t="s">
        <v>1843</v>
      </c>
      <c r="D1345" s="11">
        <f>G1345</f>
        <v>40</v>
      </c>
      <c r="E1345" s="11"/>
      <c r="F1345" s="11"/>
      <c r="G1345" s="11">
        <v>40</v>
      </c>
      <c r="H1345" s="11" t="s">
        <v>2791</v>
      </c>
      <c r="I1345" s="11"/>
      <c r="J1345" s="11"/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  <c r="Z1345" s="11"/>
      <c r="AA1345" s="11"/>
      <c r="AB1345" s="11"/>
      <c r="AC1345" s="11"/>
      <c r="AD1345" s="11"/>
      <c r="AE1345" s="11"/>
      <c r="AF1345" s="11"/>
      <c r="AG1345" s="11"/>
      <c r="AH1345" s="11"/>
      <c r="AI1345" s="11"/>
      <c r="AJ1345" s="11"/>
      <c r="AK1345" s="11"/>
      <c r="AL1345" s="11"/>
      <c r="AM1345" s="11"/>
      <c r="AN1345" s="11"/>
      <c r="AO1345" s="11"/>
      <c r="AP1345" s="11"/>
      <c r="AQ1345" s="11"/>
      <c r="AR1345" s="11"/>
      <c r="AS1345" s="11"/>
      <c r="AT1345" s="11"/>
    </row>
    <row r="1346" spans="1:46" ht="15" x14ac:dyDescent="0.25">
      <c r="A1346" s="3">
        <v>16010006</v>
      </c>
      <c r="B1346" s="11" t="s">
        <v>652</v>
      </c>
      <c r="C1346" s="11" t="s">
        <v>1843</v>
      </c>
      <c r="D1346" s="1">
        <f>G1346</f>
        <v>61</v>
      </c>
      <c r="F1346" s="1"/>
      <c r="G1346" s="1">
        <v>61</v>
      </c>
      <c r="H1346" s="1" t="s">
        <v>2467</v>
      </c>
      <c r="I1346" s="1" t="s">
        <v>2468</v>
      </c>
    </row>
    <row r="1347" spans="1:46" ht="15" x14ac:dyDescent="0.25">
      <c r="A1347" s="3">
        <v>16010007</v>
      </c>
      <c r="B1347" s="11" t="s">
        <v>2494</v>
      </c>
      <c r="C1347" s="11" t="s">
        <v>1843</v>
      </c>
      <c r="D1347" s="1">
        <f>G1347</f>
        <v>17</v>
      </c>
      <c r="F1347" s="1"/>
      <c r="G1347" s="1">
        <v>17</v>
      </c>
      <c r="H1347" s="1" t="s">
        <v>2495</v>
      </c>
    </row>
    <row r="1348" spans="1:46" ht="15" x14ac:dyDescent="0.25">
      <c r="A1348" s="24">
        <v>16020101</v>
      </c>
      <c r="B1348" s="25" t="s">
        <v>655</v>
      </c>
      <c r="C1348" s="25" t="s">
        <v>17</v>
      </c>
      <c r="D1348" s="4">
        <v>14</v>
      </c>
      <c r="H1348" s="1" t="s">
        <v>3168</v>
      </c>
    </row>
    <row r="1349" spans="1:46" ht="15" x14ac:dyDescent="0.25">
      <c r="A1349" s="16">
        <v>16020101</v>
      </c>
      <c r="B1349" s="11" t="s">
        <v>671</v>
      </c>
      <c r="C1349" s="11" t="s">
        <v>1860</v>
      </c>
      <c r="D1349" s="1">
        <f>ROUND(E1349*F1349,0)</f>
        <v>53</v>
      </c>
      <c r="E1349" s="1">
        <v>1.02</v>
      </c>
      <c r="F1349" s="4">
        <f>5.08*5.08*2</f>
        <v>51.6128</v>
      </c>
      <c r="H1349" s="1" t="s">
        <v>3168</v>
      </c>
      <c r="I1349" s="1" t="s">
        <v>3169</v>
      </c>
    </row>
    <row r="1350" spans="1:46" ht="15" x14ac:dyDescent="0.25">
      <c r="A1350" s="3">
        <v>16020101</v>
      </c>
      <c r="B1350" s="11" t="s">
        <v>676</v>
      </c>
      <c r="C1350" s="11" t="s">
        <v>1865</v>
      </c>
      <c r="D1350" s="1">
        <f>ROUND(E1350*F1350*1.33,0)</f>
        <v>67</v>
      </c>
      <c r="E1350" s="1">
        <v>0.6</v>
      </c>
      <c r="F1350" s="1">
        <v>84</v>
      </c>
      <c r="H1350" s="1" t="s">
        <v>3174</v>
      </c>
      <c r="I1350" s="1" t="s">
        <v>2999</v>
      </c>
    </row>
    <row r="1351" spans="1:46" ht="15" x14ac:dyDescent="0.25">
      <c r="A1351" s="16">
        <v>16020101</v>
      </c>
      <c r="B1351" s="11" t="s">
        <v>659</v>
      </c>
      <c r="C1351" s="11" t="s">
        <v>1849</v>
      </c>
      <c r="D1351" s="1">
        <f>ROUND(E1351*F1351,0)</f>
        <v>115</v>
      </c>
      <c r="E1351" s="1">
        <v>1.02</v>
      </c>
      <c r="F1351" s="4">
        <f>7.5*7.5*2</f>
        <v>112.5</v>
      </c>
      <c r="H1351" s="1" t="s">
        <v>3168</v>
      </c>
      <c r="I1351" s="1" t="s">
        <v>3169</v>
      </c>
    </row>
    <row r="1352" spans="1:46" ht="15" x14ac:dyDescent="0.25">
      <c r="A1352" s="16">
        <v>16020101</v>
      </c>
      <c r="B1352" s="11" t="s">
        <v>657</v>
      </c>
      <c r="C1352" s="11" t="s">
        <v>1847</v>
      </c>
      <c r="D1352" s="1">
        <f>ROUND(E1352*F1352,0)</f>
        <v>57</v>
      </c>
      <c r="E1352" s="1">
        <v>1.02</v>
      </c>
      <c r="F1352" s="4">
        <f>7.5*7.5*2/2</f>
        <v>56.25</v>
      </c>
      <c r="G1352" s="19"/>
      <c r="H1352" s="1" t="s">
        <v>3168</v>
      </c>
      <c r="I1352" s="1" t="s">
        <v>3169</v>
      </c>
    </row>
    <row r="1353" spans="1:46" ht="15" x14ac:dyDescent="0.25">
      <c r="A1353" s="16">
        <v>16020101</v>
      </c>
      <c r="B1353" s="11" t="s">
        <v>655</v>
      </c>
      <c r="C1353" s="11" t="s">
        <v>1846</v>
      </c>
      <c r="D1353" s="1">
        <f>ROUND(E1353*F1353,0)</f>
        <v>29</v>
      </c>
      <c r="E1353" s="1">
        <v>1.02</v>
      </c>
      <c r="F1353" s="4">
        <f>7.5*7.5*2/4</f>
        <v>28.125</v>
      </c>
      <c r="H1353" s="1" t="s">
        <v>3168</v>
      </c>
      <c r="I1353" s="1" t="s">
        <v>3169</v>
      </c>
    </row>
    <row r="1354" spans="1:46" s="11" customFormat="1" ht="15" x14ac:dyDescent="0.25">
      <c r="A1354" s="16">
        <v>16020102</v>
      </c>
      <c r="B1354" s="11" t="s">
        <v>656</v>
      </c>
      <c r="C1354" s="11" t="s">
        <v>1846</v>
      </c>
      <c r="D1354" s="1">
        <f>ROUND(E1354*F1354,0)</f>
        <v>29</v>
      </c>
      <c r="E1354" s="1">
        <v>1.02</v>
      </c>
      <c r="F1354" s="4">
        <f>7.5*7.5*2/4</f>
        <v>28.125</v>
      </c>
      <c r="G1354" s="1"/>
      <c r="H1354" s="1" t="s">
        <v>3168</v>
      </c>
      <c r="I1354" s="1" t="s">
        <v>3169</v>
      </c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</row>
    <row r="1355" spans="1:46" ht="15" x14ac:dyDescent="0.25">
      <c r="A1355" s="16">
        <v>16020102</v>
      </c>
      <c r="B1355" s="11" t="s">
        <v>660</v>
      </c>
      <c r="C1355" s="11" t="s">
        <v>1850</v>
      </c>
      <c r="D1355" s="1">
        <f>ROUND(E1355*F1355,0)</f>
        <v>57</v>
      </c>
      <c r="E1355" s="1">
        <v>1.02</v>
      </c>
      <c r="F1355" s="4">
        <f>7.5*7.5*2/2</f>
        <v>56.25</v>
      </c>
      <c r="H1355" s="1" t="s">
        <v>3168</v>
      </c>
      <c r="I1355" s="1" t="s">
        <v>3169</v>
      </c>
    </row>
    <row r="1356" spans="1:46" ht="15" x14ac:dyDescent="0.25">
      <c r="A1356" s="5">
        <v>16020103</v>
      </c>
      <c r="B1356" s="11" t="s">
        <v>658</v>
      </c>
      <c r="C1356" s="11" t="s">
        <v>32</v>
      </c>
      <c r="D1356" s="4">
        <f>G1356</f>
        <v>1</v>
      </c>
      <c r="F1356" s="1"/>
      <c r="G1356" s="4">
        <v>1</v>
      </c>
      <c r="H1356" s="1" t="s">
        <v>2544</v>
      </c>
    </row>
    <row r="1357" spans="1:46" ht="15" x14ac:dyDescent="0.25">
      <c r="A1357" s="16">
        <v>16020103</v>
      </c>
      <c r="B1357" s="11" t="s">
        <v>663</v>
      </c>
      <c r="C1357" s="11" t="s">
        <v>1852</v>
      </c>
      <c r="D1357" s="1">
        <f>ROUND(E1357*F1357,0)</f>
        <v>124</v>
      </c>
      <c r="E1357" s="10">
        <f>259/235.6</f>
        <v>1.099320882852292</v>
      </c>
      <c r="F1357" s="4">
        <f>7.5*7.5*2</f>
        <v>112.5</v>
      </c>
      <c r="H1357" s="1" t="s">
        <v>2544</v>
      </c>
      <c r="I1357" s="1" t="s">
        <v>3169</v>
      </c>
    </row>
    <row r="1358" spans="1:46" ht="15" x14ac:dyDescent="0.25">
      <c r="A1358" s="16">
        <v>16020103</v>
      </c>
      <c r="B1358" s="11" t="s">
        <v>661</v>
      </c>
      <c r="C1358" s="11" t="s">
        <v>1850</v>
      </c>
      <c r="D1358" s="1">
        <f>ROUND(E1358*F1358,0)</f>
        <v>62</v>
      </c>
      <c r="E1358" s="10">
        <f>259/235.6</f>
        <v>1.099320882852292</v>
      </c>
      <c r="F1358" s="4">
        <f>7.5*7.5*2/2</f>
        <v>56.25</v>
      </c>
      <c r="H1358" s="1" t="s">
        <v>2544</v>
      </c>
      <c r="I1358" s="1" t="s">
        <v>3169</v>
      </c>
    </row>
    <row r="1359" spans="1:46" ht="15" x14ac:dyDescent="0.25">
      <c r="A1359" s="16">
        <v>16020103</v>
      </c>
      <c r="B1359" s="11" t="s">
        <v>658</v>
      </c>
      <c r="C1359" s="11" t="s">
        <v>1848</v>
      </c>
      <c r="D1359" s="1">
        <f>ROUND(E1359*F1359,0)</f>
        <v>31</v>
      </c>
      <c r="E1359" s="10">
        <f>259/235.6</f>
        <v>1.099320882852292</v>
      </c>
      <c r="F1359" s="4">
        <f>7.5*7.5*2/4</f>
        <v>28.125</v>
      </c>
      <c r="H1359" s="1" t="s">
        <v>2544</v>
      </c>
      <c r="I1359" s="1" t="s">
        <v>3169</v>
      </c>
    </row>
    <row r="1360" spans="1:46" ht="15" x14ac:dyDescent="0.25">
      <c r="A1360" s="16">
        <v>16020104</v>
      </c>
      <c r="B1360" s="11" t="s">
        <v>664</v>
      </c>
      <c r="C1360" s="11" t="s">
        <v>1854</v>
      </c>
      <c r="D1360" s="1">
        <f>ROUND(E1360*F1360,0)</f>
        <v>115</v>
      </c>
      <c r="E1360" s="1">
        <v>1.02</v>
      </c>
      <c r="F1360" s="4">
        <f>7.5*7.5*2</f>
        <v>112.5</v>
      </c>
      <c r="H1360" s="1" t="s">
        <v>3168</v>
      </c>
      <c r="I1360" s="1" t="s">
        <v>3169</v>
      </c>
    </row>
    <row r="1361" spans="1:46" ht="15" x14ac:dyDescent="0.25">
      <c r="A1361" s="16">
        <v>16020105</v>
      </c>
      <c r="B1361" s="11" t="s">
        <v>665</v>
      </c>
      <c r="C1361" s="11" t="s">
        <v>1854</v>
      </c>
      <c r="D1361" s="1">
        <f>ROUND(E1361*F1361*1.25,0)</f>
        <v>110</v>
      </c>
      <c r="E1361" s="1">
        <v>1.05</v>
      </c>
      <c r="F1361" s="4">
        <v>84</v>
      </c>
      <c r="H1361" s="1" t="s">
        <v>3175</v>
      </c>
      <c r="I1361" s="1" t="s">
        <v>2955</v>
      </c>
    </row>
    <row r="1362" spans="1:46" ht="15" x14ac:dyDescent="0.25">
      <c r="A1362" s="16">
        <v>16020105</v>
      </c>
      <c r="B1362" s="11" t="s">
        <v>662</v>
      </c>
      <c r="C1362" s="11" t="s">
        <v>1851</v>
      </c>
      <c r="D1362" s="1">
        <f>ROUND(E1362*F1362*1.25,0)</f>
        <v>28</v>
      </c>
      <c r="E1362" s="1">
        <v>1.05</v>
      </c>
      <c r="F1362" s="4">
        <v>21</v>
      </c>
      <c r="H1362" s="1" t="s">
        <v>3175</v>
      </c>
    </row>
    <row r="1363" spans="1:46" ht="15" x14ac:dyDescent="0.25">
      <c r="A1363" s="16">
        <v>16020106</v>
      </c>
      <c r="B1363" s="11" t="s">
        <v>668</v>
      </c>
      <c r="C1363" s="11" t="s">
        <v>1857</v>
      </c>
      <c r="D1363" s="1">
        <f>ROUND(E1363*F1363,0)</f>
        <v>115</v>
      </c>
      <c r="E1363" s="1">
        <v>1.02</v>
      </c>
      <c r="F1363" s="4">
        <f>7.5*7.5*2</f>
        <v>112.5</v>
      </c>
      <c r="H1363" s="1" t="s">
        <v>3168</v>
      </c>
      <c r="I1363" s="1" t="s">
        <v>3169</v>
      </c>
    </row>
    <row r="1364" spans="1:46" ht="15" x14ac:dyDescent="0.25">
      <c r="A1364" s="16">
        <v>16020106</v>
      </c>
      <c r="B1364" s="11" t="s">
        <v>666</v>
      </c>
      <c r="C1364" s="11" t="s">
        <v>1855</v>
      </c>
      <c r="D1364" s="1">
        <f>ROUND(E1364*F1364,0)</f>
        <v>57</v>
      </c>
      <c r="E1364" s="1">
        <v>1.02</v>
      </c>
      <c r="F1364" s="4">
        <f>7.5*7.5*2/2</f>
        <v>56.25</v>
      </c>
      <c r="H1364" s="1" t="s">
        <v>3168</v>
      </c>
      <c r="I1364" s="1" t="s">
        <v>3169</v>
      </c>
    </row>
    <row r="1365" spans="1:46" ht="15" x14ac:dyDescent="0.25">
      <c r="A1365" s="16">
        <v>16020106</v>
      </c>
      <c r="B1365" s="11" t="s">
        <v>2610</v>
      </c>
      <c r="C1365" s="11" t="s">
        <v>1853</v>
      </c>
      <c r="D1365" s="1">
        <f>ROUND(E1365*F1365,0)</f>
        <v>29</v>
      </c>
      <c r="E1365" s="1">
        <v>1.02</v>
      </c>
      <c r="F1365" s="4">
        <f>7.5*7.5*2/4</f>
        <v>28.125</v>
      </c>
      <c r="H1365" s="1" t="s">
        <v>3168</v>
      </c>
      <c r="I1365" s="1" t="s">
        <v>3169</v>
      </c>
    </row>
    <row r="1366" spans="1:46" ht="15" x14ac:dyDescent="0.25">
      <c r="A1366" s="16">
        <v>16020106</v>
      </c>
      <c r="B1366" s="11" t="s">
        <v>666</v>
      </c>
      <c r="C1366" s="11" t="s">
        <v>25</v>
      </c>
      <c r="D1366" s="4">
        <v>5</v>
      </c>
    </row>
    <row r="1367" spans="1:46" ht="15" x14ac:dyDescent="0.25">
      <c r="A1367" s="16">
        <v>16020107</v>
      </c>
      <c r="B1367" s="11" t="s">
        <v>3082</v>
      </c>
      <c r="C1367" s="11" t="s">
        <v>11</v>
      </c>
      <c r="D1367" s="1">
        <f>ROUND(E1367*F1367,0)</f>
        <v>29</v>
      </c>
      <c r="E1367" s="1">
        <v>1.02</v>
      </c>
      <c r="F1367" s="4">
        <f>7.5*7.5*2/4</f>
        <v>28.125</v>
      </c>
      <c r="H1367" s="1" t="s">
        <v>3168</v>
      </c>
      <c r="I1367" s="1" t="s">
        <v>3169</v>
      </c>
      <c r="J1367" s="1" t="s">
        <v>3132</v>
      </c>
    </row>
    <row r="1368" spans="1:46" ht="15" x14ac:dyDescent="0.25">
      <c r="A1368" s="16">
        <v>16020107</v>
      </c>
      <c r="B1368" s="11" t="s">
        <v>3082</v>
      </c>
      <c r="C1368" s="11" t="s">
        <v>13</v>
      </c>
      <c r="D1368" s="1">
        <f>ROUND(E1368*F1368,0)</f>
        <v>115</v>
      </c>
      <c r="E1368" s="1">
        <v>1.02</v>
      </c>
      <c r="F1368" s="4">
        <f>7.5*7.5*2</f>
        <v>112.5</v>
      </c>
      <c r="H1368" s="1" t="s">
        <v>3168</v>
      </c>
      <c r="I1368" s="1" t="s">
        <v>3169</v>
      </c>
      <c r="J1368" s="1" t="s">
        <v>3132</v>
      </c>
    </row>
    <row r="1369" spans="1:46" ht="15" x14ac:dyDescent="0.25">
      <c r="A1369" s="5">
        <v>16020108</v>
      </c>
      <c r="B1369" s="11" t="s">
        <v>654</v>
      </c>
      <c r="C1369" s="11" t="s">
        <v>32</v>
      </c>
      <c r="D1369" s="4">
        <f>G1369</f>
        <v>1</v>
      </c>
      <c r="F1369" s="1"/>
      <c r="G1369" s="4">
        <v>1</v>
      </c>
      <c r="H1369" s="1" t="s">
        <v>3175</v>
      </c>
      <c r="I1369" s="1" t="s">
        <v>2420</v>
      </c>
    </row>
    <row r="1370" spans="1:46" ht="15" x14ac:dyDescent="0.25">
      <c r="A1370" s="24">
        <v>16020108</v>
      </c>
      <c r="B1370" s="25" t="s">
        <v>654</v>
      </c>
      <c r="C1370" s="25" t="s">
        <v>26</v>
      </c>
      <c r="D1370" s="21">
        <v>20</v>
      </c>
      <c r="E1370" s="11"/>
      <c r="F1370" s="21"/>
      <c r="G1370" s="11"/>
      <c r="H1370" s="11"/>
      <c r="I1370" s="11"/>
      <c r="J1370" s="11"/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  <c r="Z1370" s="11"/>
      <c r="AA1370" s="11"/>
      <c r="AB1370" s="11"/>
      <c r="AC1370" s="11"/>
      <c r="AD1370" s="11"/>
      <c r="AE1370" s="11"/>
      <c r="AF1370" s="11"/>
      <c r="AG1370" s="11"/>
      <c r="AH1370" s="11"/>
      <c r="AI1370" s="11"/>
      <c r="AJ1370" s="11"/>
      <c r="AK1370" s="11"/>
      <c r="AL1370" s="11"/>
      <c r="AM1370" s="11"/>
      <c r="AN1370" s="11"/>
      <c r="AO1370" s="11"/>
      <c r="AP1370" s="11"/>
      <c r="AQ1370" s="11"/>
      <c r="AR1370" s="11"/>
      <c r="AS1370" s="11"/>
      <c r="AT1370" s="11"/>
    </row>
    <row r="1371" spans="1:46" ht="15" x14ac:dyDescent="0.25">
      <c r="A1371" s="3">
        <v>16020108</v>
      </c>
      <c r="B1371" s="11" t="s">
        <v>654</v>
      </c>
      <c r="C1371" s="11" t="s">
        <v>1845</v>
      </c>
      <c r="D1371" s="1">
        <f t="shared" ref="D1371:D1388" si="39">ROUND(E1371*F1371*1.25,0)</f>
        <v>28</v>
      </c>
      <c r="E1371" s="1">
        <v>1.05</v>
      </c>
      <c r="F1371" s="4">
        <v>21</v>
      </c>
      <c r="H1371" s="1" t="s">
        <v>3175</v>
      </c>
      <c r="I1371" s="1" t="s">
        <v>2950</v>
      </c>
    </row>
    <row r="1372" spans="1:46" ht="15" x14ac:dyDescent="0.25">
      <c r="A1372" s="3">
        <v>16020108</v>
      </c>
      <c r="B1372" s="11" t="s">
        <v>654</v>
      </c>
      <c r="C1372" s="11" t="s">
        <v>24</v>
      </c>
      <c r="D1372" s="4">
        <f t="shared" si="39"/>
        <v>110</v>
      </c>
      <c r="E1372" s="1">
        <v>1.05</v>
      </c>
      <c r="F1372" s="4">
        <v>84</v>
      </c>
      <c r="H1372" s="1" t="s">
        <v>3175</v>
      </c>
      <c r="I1372" s="1" t="s">
        <v>2999</v>
      </c>
    </row>
    <row r="1373" spans="1:46" ht="15" x14ac:dyDescent="0.25">
      <c r="A1373" s="16">
        <v>16020108</v>
      </c>
      <c r="B1373" s="11" t="s">
        <v>674</v>
      </c>
      <c r="C1373" s="11" t="s">
        <v>1864</v>
      </c>
      <c r="D1373" s="1">
        <f t="shared" si="39"/>
        <v>28</v>
      </c>
      <c r="E1373" s="1">
        <v>1.05</v>
      </c>
      <c r="F1373" s="4">
        <v>21</v>
      </c>
      <c r="H1373" s="1" t="s">
        <v>3175</v>
      </c>
      <c r="I1373" s="1" t="s">
        <v>2950</v>
      </c>
    </row>
    <row r="1374" spans="1:46" ht="15" x14ac:dyDescent="0.25">
      <c r="A1374" s="16">
        <v>16020108</v>
      </c>
      <c r="B1374" s="11" t="s">
        <v>672</v>
      </c>
      <c r="C1374" s="11" t="s">
        <v>1861</v>
      </c>
      <c r="D1374" s="1">
        <f t="shared" si="39"/>
        <v>110</v>
      </c>
      <c r="E1374" s="1">
        <v>1.05</v>
      </c>
      <c r="F1374" s="4">
        <v>84</v>
      </c>
      <c r="H1374" s="1" t="s">
        <v>3175</v>
      </c>
      <c r="I1374" s="1" t="s">
        <v>2955</v>
      </c>
    </row>
    <row r="1375" spans="1:46" ht="15" x14ac:dyDescent="0.25">
      <c r="A1375" s="16">
        <v>16020108</v>
      </c>
      <c r="B1375" s="11" t="s">
        <v>670</v>
      </c>
      <c r="C1375" s="11" t="s">
        <v>1859</v>
      </c>
      <c r="D1375" s="1">
        <f t="shared" si="39"/>
        <v>55</v>
      </c>
      <c r="E1375" s="1">
        <v>1.05</v>
      </c>
      <c r="F1375" s="4">
        <v>42</v>
      </c>
      <c r="H1375" s="1" t="s">
        <v>3175</v>
      </c>
      <c r="I1375" s="1" t="s">
        <v>2548</v>
      </c>
    </row>
    <row r="1376" spans="1:46" ht="15" x14ac:dyDescent="0.25">
      <c r="A1376" s="16">
        <v>16020108</v>
      </c>
      <c r="B1376" s="11" t="s">
        <v>667</v>
      </c>
      <c r="C1376" s="11" t="s">
        <v>1856</v>
      </c>
      <c r="D1376" s="1">
        <f t="shared" si="39"/>
        <v>28</v>
      </c>
      <c r="E1376" s="1">
        <v>1.05</v>
      </c>
      <c r="F1376" s="4">
        <v>21</v>
      </c>
      <c r="H1376" s="1" t="s">
        <v>3175</v>
      </c>
      <c r="I1376" s="1" t="s">
        <v>2519</v>
      </c>
      <c r="J1376" s="2"/>
    </row>
    <row r="1377" spans="1:10" ht="15" x14ac:dyDescent="0.25">
      <c r="A1377" s="16">
        <v>16020109</v>
      </c>
      <c r="B1377" s="11" t="s">
        <v>677</v>
      </c>
      <c r="C1377" s="11" t="s">
        <v>1868</v>
      </c>
      <c r="D1377" s="1">
        <f t="shared" si="39"/>
        <v>20</v>
      </c>
      <c r="E1377" s="1">
        <v>1.05</v>
      </c>
      <c r="F1377" s="4">
        <v>15</v>
      </c>
      <c r="H1377" s="1" t="s">
        <v>3175</v>
      </c>
      <c r="I1377" s="1" t="s">
        <v>2999</v>
      </c>
    </row>
    <row r="1378" spans="1:10" ht="15" x14ac:dyDescent="0.25">
      <c r="A1378" s="16">
        <v>16020109</v>
      </c>
      <c r="B1378" s="11" t="s">
        <v>675</v>
      </c>
      <c r="C1378" s="11" t="s">
        <v>1864</v>
      </c>
      <c r="D1378" s="1">
        <f t="shared" si="39"/>
        <v>28</v>
      </c>
      <c r="E1378" s="1">
        <v>1.05</v>
      </c>
      <c r="F1378" s="4">
        <v>21</v>
      </c>
      <c r="H1378" s="1" t="s">
        <v>3175</v>
      </c>
      <c r="I1378" s="1" t="s">
        <v>2950</v>
      </c>
    </row>
    <row r="1379" spans="1:10" ht="15" x14ac:dyDescent="0.25">
      <c r="A1379" s="16">
        <v>16020109</v>
      </c>
      <c r="B1379" s="11" t="s">
        <v>677</v>
      </c>
      <c r="C1379" s="11" t="s">
        <v>1866</v>
      </c>
      <c r="D1379" s="1">
        <f t="shared" si="39"/>
        <v>55</v>
      </c>
      <c r="E1379" s="1">
        <v>1.05</v>
      </c>
      <c r="F1379" s="4">
        <v>42</v>
      </c>
      <c r="H1379" s="1" t="s">
        <v>3175</v>
      </c>
      <c r="I1379" s="1" t="s">
        <v>3147</v>
      </c>
    </row>
    <row r="1380" spans="1:10" ht="15" x14ac:dyDescent="0.25">
      <c r="A1380" s="3">
        <v>16020109</v>
      </c>
      <c r="B1380" s="11" t="s">
        <v>653</v>
      </c>
      <c r="C1380" s="11" t="s">
        <v>1844</v>
      </c>
      <c r="D1380" s="1">
        <f t="shared" si="39"/>
        <v>110</v>
      </c>
      <c r="E1380" s="1">
        <v>1.05</v>
      </c>
      <c r="F1380" s="4">
        <v>84</v>
      </c>
      <c r="H1380" s="1" t="s">
        <v>3175</v>
      </c>
      <c r="I1380" s="1" t="s">
        <v>2955</v>
      </c>
    </row>
    <row r="1381" spans="1:10" ht="15" x14ac:dyDescent="0.25">
      <c r="A1381" s="3">
        <v>16020109</v>
      </c>
      <c r="B1381" s="11" t="s">
        <v>677</v>
      </c>
      <c r="C1381" s="11" t="s">
        <v>1869</v>
      </c>
      <c r="D1381" s="4">
        <f t="shared" si="39"/>
        <v>171</v>
      </c>
      <c r="E1381" s="1">
        <v>1.05</v>
      </c>
      <c r="F1381" s="4">
        <v>130</v>
      </c>
      <c r="H1381" s="1" t="s">
        <v>3175</v>
      </c>
      <c r="I1381" s="1" t="s">
        <v>2999</v>
      </c>
    </row>
    <row r="1382" spans="1:10" ht="15" x14ac:dyDescent="0.25">
      <c r="A1382" s="16">
        <v>16020109</v>
      </c>
      <c r="B1382" s="11" t="s">
        <v>677</v>
      </c>
      <c r="C1382" s="11" t="s">
        <v>21</v>
      </c>
      <c r="D1382" s="1">
        <f t="shared" si="39"/>
        <v>28</v>
      </c>
      <c r="E1382" s="1">
        <v>1.05</v>
      </c>
      <c r="F1382" s="4">
        <v>21</v>
      </c>
      <c r="H1382" s="1" t="s">
        <v>3175</v>
      </c>
      <c r="I1382" s="1" t="s">
        <v>2950</v>
      </c>
    </row>
    <row r="1383" spans="1:10" ht="15" x14ac:dyDescent="0.25">
      <c r="A1383" s="3">
        <v>16020109</v>
      </c>
      <c r="B1383" s="11" t="s">
        <v>677</v>
      </c>
      <c r="C1383" s="11" t="s">
        <v>1867</v>
      </c>
      <c r="D1383" s="4">
        <f t="shared" si="39"/>
        <v>110</v>
      </c>
      <c r="E1383" s="1">
        <v>1.05</v>
      </c>
      <c r="F1383" s="4">
        <v>84</v>
      </c>
      <c r="H1383" s="1" t="s">
        <v>3175</v>
      </c>
      <c r="I1383" s="1" t="s">
        <v>2999</v>
      </c>
    </row>
    <row r="1384" spans="1:10" ht="15" x14ac:dyDescent="0.25">
      <c r="A1384" s="16">
        <v>16020109</v>
      </c>
      <c r="B1384" s="11" t="s">
        <v>673</v>
      </c>
      <c r="C1384" s="11" t="s">
        <v>1863</v>
      </c>
      <c r="D1384" s="1">
        <f t="shared" si="39"/>
        <v>110</v>
      </c>
      <c r="E1384" s="1">
        <v>1.05</v>
      </c>
      <c r="F1384" s="4">
        <v>84</v>
      </c>
      <c r="H1384" s="1" t="s">
        <v>3175</v>
      </c>
      <c r="I1384" s="1" t="s">
        <v>2955</v>
      </c>
    </row>
    <row r="1385" spans="1:10" ht="15" x14ac:dyDescent="0.25">
      <c r="A1385" s="16">
        <v>16020109</v>
      </c>
      <c r="B1385" s="11" t="s">
        <v>673</v>
      </c>
      <c r="C1385" s="11" t="s">
        <v>1862</v>
      </c>
      <c r="D1385" s="1">
        <f t="shared" si="39"/>
        <v>55</v>
      </c>
      <c r="E1385" s="1">
        <v>1.05</v>
      </c>
      <c r="F1385" s="4">
        <v>42</v>
      </c>
      <c r="H1385" s="1" t="s">
        <v>3175</v>
      </c>
    </row>
    <row r="1386" spans="1:10" ht="15" x14ac:dyDescent="0.25">
      <c r="A1386" s="16">
        <v>16020109</v>
      </c>
      <c r="B1386" s="11" t="s">
        <v>669</v>
      </c>
      <c r="C1386" s="11" t="s">
        <v>1858</v>
      </c>
      <c r="D1386" s="1">
        <f t="shared" si="39"/>
        <v>28</v>
      </c>
      <c r="E1386" s="1">
        <v>1.05</v>
      </c>
      <c r="F1386" s="4">
        <v>21</v>
      </c>
      <c r="H1386" s="1" t="s">
        <v>3175</v>
      </c>
    </row>
    <row r="1387" spans="1:10" ht="15" x14ac:dyDescent="0.25">
      <c r="A1387" s="16">
        <v>16020110</v>
      </c>
      <c r="B1387" s="11" t="s">
        <v>3083</v>
      </c>
      <c r="C1387" s="11" t="s">
        <v>12</v>
      </c>
      <c r="D1387" s="1">
        <f t="shared" si="39"/>
        <v>55</v>
      </c>
      <c r="E1387" s="1">
        <v>1.05</v>
      </c>
      <c r="F1387" s="4">
        <v>42</v>
      </c>
      <c r="G1387" s="4"/>
      <c r="H1387" s="1" t="s">
        <v>3175</v>
      </c>
      <c r="J1387" s="1" t="s">
        <v>3132</v>
      </c>
    </row>
    <row r="1388" spans="1:10" ht="15" x14ac:dyDescent="0.25">
      <c r="A1388" s="16">
        <v>16020110</v>
      </c>
      <c r="B1388" s="11" t="s">
        <v>3083</v>
      </c>
      <c r="C1388" s="11" t="s">
        <v>11</v>
      </c>
      <c r="D1388" s="1">
        <f t="shared" si="39"/>
        <v>28</v>
      </c>
      <c r="E1388" s="1">
        <v>1.05</v>
      </c>
      <c r="F1388" s="4">
        <v>21</v>
      </c>
      <c r="G1388" s="4"/>
      <c r="H1388" s="1" t="s">
        <v>3175</v>
      </c>
      <c r="J1388" s="1" t="s">
        <v>3132</v>
      </c>
    </row>
    <row r="1389" spans="1:10" ht="15" x14ac:dyDescent="0.25">
      <c r="A1389" s="24">
        <v>16020201</v>
      </c>
      <c r="B1389" s="25" t="s">
        <v>678</v>
      </c>
      <c r="C1389" s="25" t="s">
        <v>17</v>
      </c>
      <c r="D1389" s="4">
        <v>14</v>
      </c>
      <c r="H1389" s="1" t="s">
        <v>3168</v>
      </c>
    </row>
    <row r="1390" spans="1:10" ht="15" x14ac:dyDescent="0.25">
      <c r="A1390" s="24">
        <v>16020201</v>
      </c>
      <c r="B1390" s="25" t="s">
        <v>678</v>
      </c>
      <c r="C1390" s="25" t="s">
        <v>18</v>
      </c>
      <c r="D1390" s="4">
        <v>57</v>
      </c>
      <c r="H1390" s="1" t="s">
        <v>3168</v>
      </c>
    </row>
    <row r="1391" spans="1:10" ht="15" x14ac:dyDescent="0.25">
      <c r="A1391" s="3">
        <v>16020201</v>
      </c>
      <c r="B1391" s="11" t="s">
        <v>680</v>
      </c>
      <c r="C1391" s="11" t="s">
        <v>1873</v>
      </c>
      <c r="D1391" s="1">
        <f>ROUND(E1391*F1391*1.33,0)</f>
        <v>67</v>
      </c>
      <c r="E1391" s="1">
        <v>0.6</v>
      </c>
      <c r="F1391" s="1">
        <v>84</v>
      </c>
      <c r="H1391" s="1" t="s">
        <v>3174</v>
      </c>
      <c r="I1391" s="1" t="s">
        <v>2999</v>
      </c>
    </row>
    <row r="1392" spans="1:10" ht="15" x14ac:dyDescent="0.25">
      <c r="A1392" s="3">
        <v>16020201</v>
      </c>
      <c r="B1392" s="11" t="s">
        <v>678</v>
      </c>
      <c r="C1392" s="11" t="s">
        <v>27</v>
      </c>
      <c r="D1392" s="4">
        <f>ROUND(E1392*F1392*1.25,0)</f>
        <v>98</v>
      </c>
      <c r="E1392" s="1">
        <v>0.6</v>
      </c>
      <c r="F1392" s="1">
        <v>130</v>
      </c>
      <c r="H1392" s="1" t="s">
        <v>3174</v>
      </c>
      <c r="I1392" s="1" t="s">
        <v>2999</v>
      </c>
    </row>
    <row r="1393" spans="1:10" ht="15" x14ac:dyDescent="0.25">
      <c r="A1393" s="16">
        <v>16020201</v>
      </c>
      <c r="B1393" s="11" t="s">
        <v>679</v>
      </c>
      <c r="C1393" s="11" t="s">
        <v>1871</v>
      </c>
      <c r="D1393" s="1">
        <f>ROUND(E1393*F1393,0)</f>
        <v>57</v>
      </c>
      <c r="E1393" s="1">
        <v>1.02</v>
      </c>
      <c r="F1393" s="4">
        <f>7.5*7.5*2/2</f>
        <v>56.25</v>
      </c>
      <c r="H1393" s="1" t="s">
        <v>3168</v>
      </c>
      <c r="I1393" s="1" t="s">
        <v>3169</v>
      </c>
    </row>
    <row r="1394" spans="1:10" ht="15" x14ac:dyDescent="0.25">
      <c r="A1394" s="16">
        <v>16020201</v>
      </c>
      <c r="B1394" s="11" t="s">
        <v>678</v>
      </c>
      <c r="C1394" s="11" t="s">
        <v>1870</v>
      </c>
      <c r="D1394" s="1">
        <f>ROUND(E1394*F1394,0)</f>
        <v>29</v>
      </c>
      <c r="E1394" s="1">
        <v>1.02</v>
      </c>
      <c r="F1394" s="4">
        <f>7.5*7.5*2/4</f>
        <v>28.125</v>
      </c>
      <c r="H1394" s="1" t="s">
        <v>3168</v>
      </c>
      <c r="I1394" s="1" t="s">
        <v>3169</v>
      </c>
    </row>
    <row r="1395" spans="1:10" ht="15" x14ac:dyDescent="0.25">
      <c r="A1395" s="16">
        <v>16020201</v>
      </c>
      <c r="B1395" s="11" t="s">
        <v>680</v>
      </c>
      <c r="C1395" s="11" t="s">
        <v>1872</v>
      </c>
      <c r="D1395" s="1">
        <f>ROUND(E1395*F1395,0)</f>
        <v>115</v>
      </c>
      <c r="E1395" s="1">
        <v>1.02</v>
      </c>
      <c r="F1395" s="4">
        <f>7.5*7.5*2</f>
        <v>112.5</v>
      </c>
      <c r="H1395" s="1" t="s">
        <v>3168</v>
      </c>
      <c r="I1395" s="1" t="s">
        <v>3169</v>
      </c>
    </row>
    <row r="1396" spans="1:10" ht="15" x14ac:dyDescent="0.25">
      <c r="A1396" s="16">
        <v>16020202</v>
      </c>
      <c r="B1396" s="11" t="s">
        <v>3084</v>
      </c>
      <c r="C1396" s="11" t="s">
        <v>17</v>
      </c>
      <c r="D1396" s="1">
        <f>ROUND(E1396*F1396,0)</f>
        <v>17</v>
      </c>
      <c r="E1396" s="1">
        <v>1.02</v>
      </c>
      <c r="F1396" s="4">
        <f>2.54*2.54*2.54</f>
        <v>16.387063999999999</v>
      </c>
      <c r="G1396" s="4"/>
      <c r="H1396" s="1" t="s">
        <v>3168</v>
      </c>
      <c r="J1396" s="1" t="s">
        <v>3132</v>
      </c>
    </row>
    <row r="1397" spans="1:10" ht="15" x14ac:dyDescent="0.25">
      <c r="A1397" s="16">
        <v>16020202</v>
      </c>
      <c r="B1397" s="11" t="s">
        <v>3084</v>
      </c>
      <c r="C1397" s="11" t="s">
        <v>12</v>
      </c>
      <c r="D1397" s="1">
        <f>ROUND(E1397*F1397,0)</f>
        <v>57</v>
      </c>
      <c r="E1397" s="1">
        <v>1.02</v>
      </c>
      <c r="F1397" s="4">
        <f>7.5*7.5*2/2</f>
        <v>56.25</v>
      </c>
      <c r="G1397" s="4"/>
      <c r="H1397" s="1" t="s">
        <v>3168</v>
      </c>
      <c r="I1397" s="1" t="s">
        <v>3169</v>
      </c>
      <c r="J1397" s="1" t="s">
        <v>3132</v>
      </c>
    </row>
    <row r="1398" spans="1:10" ht="15" x14ac:dyDescent="0.25">
      <c r="A1398" s="16">
        <v>16020202</v>
      </c>
      <c r="B1398" s="11" t="s">
        <v>3084</v>
      </c>
      <c r="C1398" s="11" t="s">
        <v>26</v>
      </c>
      <c r="D1398" s="1">
        <f>ROUND(E1398*F1398*1.25,0)</f>
        <v>11</v>
      </c>
      <c r="E1398" s="1">
        <v>0.6</v>
      </c>
      <c r="F1398" s="1">
        <v>15</v>
      </c>
      <c r="G1398" s="4"/>
      <c r="H1398" s="1" t="s">
        <v>3174</v>
      </c>
      <c r="I1398" s="1" t="s">
        <v>2999</v>
      </c>
      <c r="J1398" s="1" t="s">
        <v>3132</v>
      </c>
    </row>
    <row r="1399" spans="1:10" ht="15" x14ac:dyDescent="0.25">
      <c r="A1399" s="16">
        <v>16020202</v>
      </c>
      <c r="B1399" s="11" t="s">
        <v>3084</v>
      </c>
      <c r="C1399" s="11" t="s">
        <v>11</v>
      </c>
      <c r="D1399" s="1">
        <f>ROUND(E1399*F1399,0)</f>
        <v>29</v>
      </c>
      <c r="E1399" s="1">
        <v>1.02</v>
      </c>
      <c r="F1399" s="4">
        <f>7.5*7.5*2/4</f>
        <v>28.125</v>
      </c>
      <c r="G1399" s="4"/>
      <c r="H1399" s="1" t="s">
        <v>3168</v>
      </c>
      <c r="I1399" s="1" t="s">
        <v>3169</v>
      </c>
      <c r="J1399" s="1" t="s">
        <v>3132</v>
      </c>
    </row>
    <row r="1400" spans="1:10" ht="15" x14ac:dyDescent="0.25">
      <c r="A1400" s="3">
        <v>16020202</v>
      </c>
      <c r="B1400" s="11" t="s">
        <v>3084</v>
      </c>
      <c r="C1400" s="11" t="s">
        <v>24</v>
      </c>
      <c r="D1400" s="1">
        <f>ROUND(E1400*F1400*1.33,0)</f>
        <v>67</v>
      </c>
      <c r="E1400" s="1">
        <v>0.6</v>
      </c>
      <c r="F1400" s="1">
        <v>84</v>
      </c>
      <c r="G1400" s="4"/>
      <c r="H1400" s="1" t="s">
        <v>3174</v>
      </c>
      <c r="I1400" s="1" t="s">
        <v>2999</v>
      </c>
      <c r="J1400" s="1" t="s">
        <v>3132</v>
      </c>
    </row>
    <row r="1401" spans="1:10" ht="15" x14ac:dyDescent="0.25">
      <c r="A1401" s="3">
        <v>16020202</v>
      </c>
      <c r="B1401" s="11" t="s">
        <v>3084</v>
      </c>
      <c r="C1401" s="11" t="s">
        <v>27</v>
      </c>
      <c r="D1401" s="4">
        <f>ROUND(E1401*F1401*1.25,0)</f>
        <v>98</v>
      </c>
      <c r="E1401" s="1">
        <v>0.6</v>
      </c>
      <c r="F1401" s="1">
        <v>130</v>
      </c>
      <c r="G1401" s="4"/>
      <c r="H1401" s="1" t="s">
        <v>3174</v>
      </c>
      <c r="I1401" s="1" t="s">
        <v>2999</v>
      </c>
      <c r="J1401" s="1" t="s">
        <v>3132</v>
      </c>
    </row>
    <row r="1402" spans="1:10" ht="15" x14ac:dyDescent="0.25">
      <c r="A1402" s="16">
        <v>16020202</v>
      </c>
      <c r="B1402" s="11" t="s">
        <v>3084</v>
      </c>
      <c r="C1402" s="11" t="s">
        <v>13</v>
      </c>
      <c r="D1402" s="1">
        <f>ROUND(E1402*F1402,0)</f>
        <v>115</v>
      </c>
      <c r="E1402" s="1">
        <v>1.02</v>
      </c>
      <c r="F1402" s="4">
        <f>7.5*7.5*2</f>
        <v>112.5</v>
      </c>
      <c r="G1402" s="4"/>
      <c r="H1402" s="1" t="s">
        <v>3168</v>
      </c>
      <c r="I1402" s="1" t="s">
        <v>3169</v>
      </c>
      <c r="J1402" s="1" t="s">
        <v>3132</v>
      </c>
    </row>
    <row r="1403" spans="1:10" ht="15" x14ac:dyDescent="0.25">
      <c r="A1403" s="24">
        <v>16020203</v>
      </c>
      <c r="B1403" s="25" t="s">
        <v>3085</v>
      </c>
      <c r="C1403" s="25" t="s">
        <v>17</v>
      </c>
      <c r="D1403" s="4">
        <v>14</v>
      </c>
      <c r="H1403" s="1" t="s">
        <v>3175</v>
      </c>
    </row>
    <row r="1404" spans="1:10" ht="15" x14ac:dyDescent="0.25">
      <c r="A1404" s="3">
        <v>16020203</v>
      </c>
      <c r="B1404" s="11" t="s">
        <v>3085</v>
      </c>
      <c r="C1404" s="11" t="s">
        <v>27</v>
      </c>
      <c r="D1404" s="4">
        <f t="shared" ref="D1404:D1413" si="40">ROUND(E1404*F1404*1.25,0)</f>
        <v>171</v>
      </c>
      <c r="E1404" s="1">
        <v>1.05</v>
      </c>
      <c r="F1404" s="4">
        <v>130</v>
      </c>
      <c r="G1404" s="4"/>
      <c r="H1404" s="1" t="s">
        <v>3175</v>
      </c>
      <c r="I1404" s="1" t="s">
        <v>2999</v>
      </c>
    </row>
    <row r="1405" spans="1:10" ht="15" x14ac:dyDescent="0.25">
      <c r="A1405" s="16">
        <v>16020203</v>
      </c>
      <c r="B1405" s="11" t="s">
        <v>3085</v>
      </c>
      <c r="C1405" s="11" t="s">
        <v>12</v>
      </c>
      <c r="D1405" s="1">
        <f t="shared" si="40"/>
        <v>55</v>
      </c>
      <c r="E1405" s="1">
        <v>1.05</v>
      </c>
      <c r="F1405" s="4">
        <v>42</v>
      </c>
      <c r="G1405" s="4"/>
      <c r="H1405" s="1" t="s">
        <v>3175</v>
      </c>
      <c r="J1405" s="1" t="s">
        <v>3132</v>
      </c>
    </row>
    <row r="1406" spans="1:10" ht="15" x14ac:dyDescent="0.25">
      <c r="A1406" s="16">
        <v>16020203</v>
      </c>
      <c r="B1406" s="11" t="s">
        <v>3085</v>
      </c>
      <c r="C1406" s="11" t="s">
        <v>11</v>
      </c>
      <c r="D1406" s="1">
        <f t="shared" si="40"/>
        <v>28</v>
      </c>
      <c r="E1406" s="1">
        <v>1.05</v>
      </c>
      <c r="F1406" s="4">
        <v>21</v>
      </c>
      <c r="G1406" s="4"/>
      <c r="H1406" s="1" t="s">
        <v>3175</v>
      </c>
      <c r="J1406" s="1" t="s">
        <v>3132</v>
      </c>
    </row>
    <row r="1407" spans="1:10" ht="15" x14ac:dyDescent="0.25">
      <c r="A1407" s="16">
        <v>16020203</v>
      </c>
      <c r="B1407" s="11" t="s">
        <v>3085</v>
      </c>
      <c r="C1407" s="11" t="s">
        <v>13</v>
      </c>
      <c r="D1407" s="1">
        <f t="shared" si="40"/>
        <v>110</v>
      </c>
      <c r="E1407" s="1">
        <v>1.05</v>
      </c>
      <c r="F1407" s="4">
        <v>84</v>
      </c>
      <c r="G1407" s="4"/>
      <c r="H1407" s="1" t="s">
        <v>3175</v>
      </c>
      <c r="I1407" s="1" t="s">
        <v>2955</v>
      </c>
    </row>
    <row r="1408" spans="1:10" ht="15" x14ac:dyDescent="0.25">
      <c r="A1408" s="16">
        <v>16020204</v>
      </c>
      <c r="B1408" s="11" t="s">
        <v>3086</v>
      </c>
      <c r="C1408" s="11" t="s">
        <v>26</v>
      </c>
      <c r="D1408" s="1">
        <f t="shared" si="40"/>
        <v>20</v>
      </c>
      <c r="E1408" s="1">
        <v>1.05</v>
      </c>
      <c r="F1408" s="4">
        <v>15</v>
      </c>
      <c r="G1408" s="4"/>
      <c r="H1408" s="1" t="s">
        <v>3175</v>
      </c>
      <c r="I1408" s="1" t="s">
        <v>2999</v>
      </c>
    </row>
    <row r="1409" spans="1:10" ht="15" x14ac:dyDescent="0.25">
      <c r="A1409" s="3">
        <v>16020204</v>
      </c>
      <c r="B1409" s="11" t="s">
        <v>3086</v>
      </c>
      <c r="C1409" s="11" t="s">
        <v>24</v>
      </c>
      <c r="D1409" s="4">
        <f t="shared" si="40"/>
        <v>110</v>
      </c>
      <c r="E1409" s="1">
        <v>1.05</v>
      </c>
      <c r="F1409" s="4">
        <v>84</v>
      </c>
      <c r="G1409" s="4"/>
      <c r="H1409" s="1" t="s">
        <v>3175</v>
      </c>
      <c r="I1409" s="1" t="s">
        <v>2999</v>
      </c>
    </row>
    <row r="1410" spans="1:10" ht="15" x14ac:dyDescent="0.25">
      <c r="A1410" s="3">
        <v>16020204</v>
      </c>
      <c r="B1410" s="11" t="s">
        <v>3086</v>
      </c>
      <c r="C1410" s="11" t="s">
        <v>27</v>
      </c>
      <c r="D1410" s="4">
        <f t="shared" si="40"/>
        <v>171</v>
      </c>
      <c r="E1410" s="1">
        <v>1.05</v>
      </c>
      <c r="F1410" s="4">
        <v>130</v>
      </c>
      <c r="G1410" s="4"/>
      <c r="H1410" s="1" t="s">
        <v>3175</v>
      </c>
      <c r="I1410" s="1" t="s">
        <v>2999</v>
      </c>
    </row>
    <row r="1411" spans="1:10" ht="15" x14ac:dyDescent="0.25">
      <c r="A1411" s="16">
        <v>16020204</v>
      </c>
      <c r="B1411" s="11" t="s">
        <v>3086</v>
      </c>
      <c r="C1411" s="11" t="s">
        <v>13</v>
      </c>
      <c r="D1411" s="1">
        <f t="shared" si="40"/>
        <v>110</v>
      </c>
      <c r="E1411" s="1">
        <v>1.05</v>
      </c>
      <c r="F1411" s="4">
        <v>84</v>
      </c>
      <c r="G1411" s="4"/>
      <c r="H1411" s="1" t="s">
        <v>3175</v>
      </c>
      <c r="I1411" s="1" t="s">
        <v>2955</v>
      </c>
    </row>
    <row r="1412" spans="1:10" ht="15" x14ac:dyDescent="0.25">
      <c r="A1412" s="16">
        <v>16020204</v>
      </c>
      <c r="B1412" s="11" t="s">
        <v>3086</v>
      </c>
      <c r="C1412" s="11" t="s">
        <v>11</v>
      </c>
      <c r="D1412" s="1">
        <f t="shared" si="40"/>
        <v>28</v>
      </c>
      <c r="E1412" s="1">
        <v>1.05</v>
      </c>
      <c r="F1412" s="4">
        <v>21</v>
      </c>
      <c r="G1412" s="4"/>
      <c r="H1412" s="1" t="s">
        <v>3175</v>
      </c>
      <c r="J1412" s="1" t="s">
        <v>3132</v>
      </c>
    </row>
    <row r="1413" spans="1:10" ht="15" x14ac:dyDescent="0.25">
      <c r="A1413" s="3">
        <v>16020302</v>
      </c>
      <c r="B1413" s="11" t="s">
        <v>681</v>
      </c>
      <c r="C1413" s="11" t="s">
        <v>27</v>
      </c>
      <c r="D1413" s="4">
        <f t="shared" si="40"/>
        <v>98</v>
      </c>
      <c r="E1413" s="1">
        <v>0.6</v>
      </c>
      <c r="F1413" s="1">
        <v>130</v>
      </c>
      <c r="G1413" s="4"/>
      <c r="H1413" s="1" t="s">
        <v>3174</v>
      </c>
      <c r="I1413" s="1" t="s">
        <v>2999</v>
      </c>
    </row>
    <row r="1414" spans="1:10" ht="15" x14ac:dyDescent="0.25">
      <c r="A1414" s="16">
        <v>16020302</v>
      </c>
      <c r="B1414" s="11" t="s">
        <v>683</v>
      </c>
      <c r="C1414" s="11" t="s">
        <v>1877</v>
      </c>
      <c r="D1414" s="1">
        <f>ROUND(E1414*F1414,0)</f>
        <v>115</v>
      </c>
      <c r="E1414" s="1">
        <v>1.02</v>
      </c>
      <c r="F1414" s="4">
        <f>7.5*7.5*2</f>
        <v>112.5</v>
      </c>
      <c r="H1414" s="1" t="s">
        <v>3168</v>
      </c>
      <c r="I1414" s="1" t="s">
        <v>3169</v>
      </c>
    </row>
    <row r="1415" spans="1:10" ht="15" x14ac:dyDescent="0.25">
      <c r="A1415" s="16">
        <v>16020302</v>
      </c>
      <c r="B1415" s="11" t="s">
        <v>681</v>
      </c>
      <c r="C1415" s="11" t="s">
        <v>1874</v>
      </c>
      <c r="D1415" s="1">
        <f>ROUND(E1415*F1415,0)</f>
        <v>29</v>
      </c>
      <c r="E1415" s="1">
        <v>1.02</v>
      </c>
      <c r="F1415" s="4">
        <f>7.5*7.5*2/4</f>
        <v>28.125</v>
      </c>
      <c r="H1415" s="1" t="s">
        <v>3168</v>
      </c>
      <c r="I1415" s="1" t="s">
        <v>3169</v>
      </c>
    </row>
    <row r="1416" spans="1:10" ht="15" x14ac:dyDescent="0.25">
      <c r="A1416" s="16">
        <v>16020302</v>
      </c>
      <c r="B1416" s="11" t="s">
        <v>681</v>
      </c>
      <c r="C1416" s="11" t="s">
        <v>1875</v>
      </c>
      <c r="D1416" s="1">
        <f>ROUND(E1416*F1416,0)</f>
        <v>57</v>
      </c>
      <c r="E1416" s="1">
        <v>1.02</v>
      </c>
      <c r="F1416" s="4">
        <f>7.5*7.5*2/2</f>
        <v>56.25</v>
      </c>
      <c r="H1416" s="1" t="s">
        <v>3168</v>
      </c>
      <c r="I1416" s="1" t="s">
        <v>3169</v>
      </c>
    </row>
    <row r="1417" spans="1:10" ht="15" x14ac:dyDescent="0.25">
      <c r="A1417" s="16">
        <v>16020303</v>
      </c>
      <c r="B1417" s="11" t="s">
        <v>3087</v>
      </c>
      <c r="C1417" s="11" t="s">
        <v>13</v>
      </c>
      <c r="D1417" s="1">
        <f>ROUND(E1417*F1417,0)</f>
        <v>115</v>
      </c>
      <c r="E1417" s="1">
        <v>1.02</v>
      </c>
      <c r="F1417" s="4">
        <f>7.5*7.5*2</f>
        <v>112.5</v>
      </c>
      <c r="H1417" s="1" t="s">
        <v>3168</v>
      </c>
      <c r="I1417" s="1" t="s">
        <v>3169</v>
      </c>
      <c r="J1417" s="1" t="s">
        <v>3132</v>
      </c>
    </row>
    <row r="1418" spans="1:10" ht="15" x14ac:dyDescent="0.25">
      <c r="A1418" s="16">
        <v>16020304</v>
      </c>
      <c r="B1418" s="11" t="s">
        <v>686</v>
      </c>
      <c r="C1418" s="11" t="s">
        <v>1880</v>
      </c>
      <c r="D1418" s="1">
        <f>ROUND(E1418*F1418*1.25,0)</f>
        <v>11</v>
      </c>
      <c r="E1418" s="1">
        <v>0.6</v>
      </c>
      <c r="F1418" s="1">
        <v>15</v>
      </c>
      <c r="G1418" s="4"/>
      <c r="H1418" s="1" t="s">
        <v>3174</v>
      </c>
      <c r="I1418" s="1" t="s">
        <v>2999</v>
      </c>
    </row>
    <row r="1419" spans="1:10" ht="15" x14ac:dyDescent="0.25">
      <c r="A1419" s="24">
        <v>16020304</v>
      </c>
      <c r="B1419" s="25" t="s">
        <v>682</v>
      </c>
      <c r="C1419" s="25" t="s">
        <v>17</v>
      </c>
      <c r="D1419" s="4">
        <v>14</v>
      </c>
      <c r="H1419" s="1" t="s">
        <v>3168</v>
      </c>
    </row>
    <row r="1420" spans="1:10" ht="15" x14ac:dyDescent="0.25">
      <c r="A1420" s="16">
        <v>16020304</v>
      </c>
      <c r="B1420" s="11" t="s">
        <v>682</v>
      </c>
      <c r="C1420" s="11" t="s">
        <v>1876</v>
      </c>
      <c r="D1420" s="1">
        <f>ROUND(E1420*F1420,0)</f>
        <v>29</v>
      </c>
      <c r="E1420" s="1">
        <v>1.02</v>
      </c>
      <c r="F1420" s="4">
        <f>7.5*7.5*2/4</f>
        <v>28.125</v>
      </c>
      <c r="H1420" s="1" t="s">
        <v>3168</v>
      </c>
      <c r="I1420" s="1" t="s">
        <v>3169</v>
      </c>
    </row>
    <row r="1421" spans="1:10" ht="15" x14ac:dyDescent="0.25">
      <c r="A1421" s="16">
        <v>16020304</v>
      </c>
      <c r="B1421" s="11" t="s">
        <v>684</v>
      </c>
      <c r="C1421" s="11" t="s">
        <v>1878</v>
      </c>
      <c r="D1421" s="1">
        <f>ROUND(E1421*F1421,0)</f>
        <v>57</v>
      </c>
      <c r="E1421" s="1">
        <v>1.02</v>
      </c>
      <c r="F1421" s="4">
        <f>7.5*7.5*2/2</f>
        <v>56.25</v>
      </c>
      <c r="H1421" s="1" t="s">
        <v>3168</v>
      </c>
      <c r="I1421" s="1" t="s">
        <v>3169</v>
      </c>
    </row>
    <row r="1422" spans="1:10" ht="15" x14ac:dyDescent="0.25">
      <c r="A1422" s="3">
        <v>16020304</v>
      </c>
      <c r="B1422" s="11" t="s">
        <v>686</v>
      </c>
      <c r="C1422" s="11" t="s">
        <v>2446</v>
      </c>
      <c r="D1422" s="1">
        <f>ROUND(E1422*F1422*1.33,0)</f>
        <v>67</v>
      </c>
      <c r="E1422" s="1">
        <v>0.6</v>
      </c>
      <c r="F1422" s="1">
        <v>84</v>
      </c>
      <c r="G1422" s="4"/>
      <c r="H1422" s="1" t="s">
        <v>3174</v>
      </c>
      <c r="I1422" s="1" t="s">
        <v>2999</v>
      </c>
    </row>
    <row r="1423" spans="1:10" ht="15" x14ac:dyDescent="0.25">
      <c r="A1423" s="16">
        <v>16020304</v>
      </c>
      <c r="B1423" s="11" t="s">
        <v>685</v>
      </c>
      <c r="C1423" s="11" t="s">
        <v>1879</v>
      </c>
      <c r="D1423" s="1">
        <f>ROUND(E1423*F1423,0)</f>
        <v>115</v>
      </c>
      <c r="E1423" s="1">
        <v>1.02</v>
      </c>
      <c r="F1423" s="4">
        <f>7.5*7.5*2</f>
        <v>112.5</v>
      </c>
      <c r="H1423" s="1" t="s">
        <v>3168</v>
      </c>
      <c r="I1423" s="1" t="s">
        <v>3169</v>
      </c>
    </row>
    <row r="1424" spans="1:10" ht="15" x14ac:dyDescent="0.25">
      <c r="A1424" s="24">
        <v>16020403</v>
      </c>
      <c r="B1424" s="25" t="s">
        <v>687</v>
      </c>
      <c r="C1424" s="25" t="s">
        <v>17</v>
      </c>
      <c r="D1424" s="4">
        <v>14</v>
      </c>
      <c r="H1424" s="1" t="s">
        <v>3168</v>
      </c>
    </row>
    <row r="1425" spans="1:9" ht="15" x14ac:dyDescent="0.25">
      <c r="A1425" s="16">
        <v>16020403</v>
      </c>
      <c r="B1425" s="11" t="s">
        <v>692</v>
      </c>
      <c r="C1425" s="11" t="s">
        <v>1886</v>
      </c>
      <c r="D1425" s="1">
        <f>ROUND(E1425*F1425,0)</f>
        <v>17</v>
      </c>
      <c r="E1425" s="1">
        <v>1.02</v>
      </c>
      <c r="F1425" s="4">
        <f>2.54*2.54*2.54</f>
        <v>16.387063999999999</v>
      </c>
      <c r="G1425" s="4"/>
      <c r="H1425" s="1" t="s">
        <v>3168</v>
      </c>
    </row>
    <row r="1426" spans="1:9" ht="15" x14ac:dyDescent="0.25">
      <c r="A1426" s="3">
        <v>16020403</v>
      </c>
      <c r="B1426" s="11" t="s">
        <v>687</v>
      </c>
      <c r="C1426" s="11" t="s">
        <v>29</v>
      </c>
      <c r="D1426" s="1">
        <v>28</v>
      </c>
      <c r="F1426" s="1"/>
      <c r="G1426" s="1">
        <v>28</v>
      </c>
      <c r="H1426" s="1" t="s">
        <v>3170</v>
      </c>
    </row>
    <row r="1427" spans="1:9" ht="15" x14ac:dyDescent="0.25">
      <c r="A1427" s="16">
        <v>16020403</v>
      </c>
      <c r="B1427" s="11" t="s">
        <v>689</v>
      </c>
      <c r="C1427" s="11" t="s">
        <v>1882</v>
      </c>
      <c r="D1427" s="1">
        <f>ROUND(E1427*F1427,0)</f>
        <v>57</v>
      </c>
      <c r="E1427" s="1">
        <v>1.02</v>
      </c>
      <c r="F1427" s="4">
        <f>7.5*7.5*2/2</f>
        <v>56.25</v>
      </c>
      <c r="H1427" s="1" t="s">
        <v>3168</v>
      </c>
      <c r="I1427" s="1" t="s">
        <v>3169</v>
      </c>
    </row>
    <row r="1428" spans="1:9" ht="15" x14ac:dyDescent="0.25">
      <c r="A1428" s="24">
        <v>16020403</v>
      </c>
      <c r="B1428" s="25" t="s">
        <v>687</v>
      </c>
      <c r="C1428" s="25" t="s">
        <v>24</v>
      </c>
      <c r="D1428" s="1">
        <f>ROUND(E1428*F1428*1.33,0)</f>
        <v>67</v>
      </c>
      <c r="E1428" s="1">
        <v>0.6</v>
      </c>
      <c r="F1428" s="1">
        <v>84</v>
      </c>
      <c r="H1428" s="1" t="s">
        <v>3168</v>
      </c>
    </row>
    <row r="1429" spans="1:9" ht="15" x14ac:dyDescent="0.25">
      <c r="A1429" s="16">
        <v>16020403</v>
      </c>
      <c r="B1429" s="11" t="s">
        <v>694</v>
      </c>
      <c r="C1429" s="11" t="s">
        <v>1888</v>
      </c>
      <c r="D1429" s="1">
        <f>ROUND(E1429*F1429*1.25,0)</f>
        <v>11</v>
      </c>
      <c r="E1429" s="1">
        <v>0.6</v>
      </c>
      <c r="F1429" s="1">
        <v>15</v>
      </c>
      <c r="G1429" s="4"/>
      <c r="H1429" s="1" t="s">
        <v>3174</v>
      </c>
      <c r="I1429" s="1" t="s">
        <v>2999</v>
      </c>
    </row>
    <row r="1430" spans="1:9" ht="15" x14ac:dyDescent="0.25">
      <c r="A1430" s="16">
        <v>16020403</v>
      </c>
      <c r="B1430" s="11" t="s">
        <v>687</v>
      </c>
      <c r="C1430" s="11" t="s">
        <v>1881</v>
      </c>
      <c r="D1430" s="1">
        <f>ROUND(E1430*F1430,0)</f>
        <v>29</v>
      </c>
      <c r="E1430" s="1">
        <v>1.02</v>
      </c>
      <c r="F1430" s="4">
        <f>7.5*7.5*2/4</f>
        <v>28.125</v>
      </c>
      <c r="H1430" s="1" t="s">
        <v>3168</v>
      </c>
      <c r="I1430" s="1" t="s">
        <v>3169</v>
      </c>
    </row>
    <row r="1431" spans="1:9" ht="15" x14ac:dyDescent="0.25">
      <c r="A1431" s="16">
        <v>16020403</v>
      </c>
      <c r="B1431" s="11" t="s">
        <v>689</v>
      </c>
      <c r="C1431" s="11" t="s">
        <v>1883</v>
      </c>
      <c r="D1431" s="1">
        <f>ROUND(E1431*F1431,0)</f>
        <v>115</v>
      </c>
      <c r="E1431" s="1">
        <v>1.02</v>
      </c>
      <c r="F1431" s="4">
        <f>7.5*7.5*2</f>
        <v>112.5</v>
      </c>
      <c r="H1431" s="1" t="s">
        <v>3168</v>
      </c>
      <c r="I1431" s="1" t="s">
        <v>3169</v>
      </c>
    </row>
    <row r="1432" spans="1:9" ht="15" x14ac:dyDescent="0.25">
      <c r="A1432" s="16">
        <v>16020404</v>
      </c>
      <c r="B1432" s="11" t="s">
        <v>688</v>
      </c>
      <c r="C1432" s="11" t="s">
        <v>1881</v>
      </c>
      <c r="D1432" s="1">
        <f>ROUND(E1432*F1432*1.25,0)</f>
        <v>28</v>
      </c>
      <c r="E1432" s="1">
        <v>1.05</v>
      </c>
      <c r="F1432" s="4">
        <v>21</v>
      </c>
      <c r="H1432" s="1" t="s">
        <v>3175</v>
      </c>
    </row>
    <row r="1433" spans="1:9" ht="15" x14ac:dyDescent="0.25">
      <c r="A1433" s="3">
        <v>16020404</v>
      </c>
      <c r="B1433" s="11" t="s">
        <v>693</v>
      </c>
      <c r="C1433" s="11" t="s">
        <v>1887</v>
      </c>
      <c r="D1433" s="4">
        <f>ROUND(E1433*F1433*1.25,0)</f>
        <v>110</v>
      </c>
      <c r="E1433" s="1">
        <v>1.05</v>
      </c>
      <c r="F1433" s="4">
        <v>84</v>
      </c>
      <c r="H1433" s="1" t="s">
        <v>3175</v>
      </c>
      <c r="I1433" s="1" t="s">
        <v>2999</v>
      </c>
    </row>
    <row r="1434" spans="1:9" ht="15" x14ac:dyDescent="0.25">
      <c r="A1434" s="16">
        <v>16020404</v>
      </c>
      <c r="B1434" s="11" t="s">
        <v>691</v>
      </c>
      <c r="C1434" s="11" t="s">
        <v>1885</v>
      </c>
      <c r="D1434" s="1">
        <f>ROUND(E1434*F1434*1.25,0)</f>
        <v>110</v>
      </c>
      <c r="E1434" s="1">
        <v>1.05</v>
      </c>
      <c r="F1434" s="4">
        <v>84</v>
      </c>
      <c r="H1434" s="1" t="s">
        <v>3175</v>
      </c>
      <c r="I1434" s="1" t="s">
        <v>2955</v>
      </c>
    </row>
    <row r="1435" spans="1:9" ht="15" x14ac:dyDescent="0.25">
      <c r="A1435" s="24">
        <v>16020405</v>
      </c>
      <c r="B1435" s="25" t="s">
        <v>690</v>
      </c>
      <c r="C1435" s="25" t="s">
        <v>13</v>
      </c>
      <c r="D1435" s="4">
        <v>110</v>
      </c>
      <c r="H1435" s="1" t="s">
        <v>3175</v>
      </c>
    </row>
    <row r="1436" spans="1:9" ht="15" x14ac:dyDescent="0.25">
      <c r="A1436" s="3">
        <v>16020405</v>
      </c>
      <c r="B1436" s="11" t="s">
        <v>695</v>
      </c>
      <c r="C1436" s="11" t="s">
        <v>1889</v>
      </c>
      <c r="D1436" s="4">
        <f>ROUND(E1436*F1436*1.25,0)</f>
        <v>110</v>
      </c>
      <c r="E1436" s="1">
        <v>1.05</v>
      </c>
      <c r="F1436" s="4">
        <v>84</v>
      </c>
      <c r="H1436" s="1" t="s">
        <v>3175</v>
      </c>
      <c r="I1436" s="1" t="s">
        <v>2999</v>
      </c>
    </row>
    <row r="1437" spans="1:9" ht="15" x14ac:dyDescent="0.25">
      <c r="A1437" s="24">
        <v>16020405</v>
      </c>
      <c r="B1437" s="25" t="s">
        <v>690</v>
      </c>
      <c r="C1437" s="25" t="s">
        <v>12</v>
      </c>
      <c r="D1437" s="4">
        <v>55</v>
      </c>
      <c r="H1437" s="1" t="s">
        <v>3175</v>
      </c>
    </row>
    <row r="1438" spans="1:9" ht="15" x14ac:dyDescent="0.25">
      <c r="A1438" s="16">
        <v>16020405</v>
      </c>
      <c r="B1438" s="11" t="s">
        <v>690</v>
      </c>
      <c r="C1438" s="11" t="s">
        <v>1884</v>
      </c>
      <c r="D1438" s="1">
        <f>ROUND(E1438*F1438*1.25,0)</f>
        <v>28</v>
      </c>
      <c r="E1438" s="1">
        <v>1.05</v>
      </c>
      <c r="F1438" s="4">
        <v>21</v>
      </c>
      <c r="H1438" s="1" t="s">
        <v>3175</v>
      </c>
    </row>
    <row r="1439" spans="1:9" ht="15" x14ac:dyDescent="0.25">
      <c r="A1439" s="3">
        <v>16020501</v>
      </c>
      <c r="B1439" s="11" t="s">
        <v>696</v>
      </c>
      <c r="C1439" s="11" t="s">
        <v>1890</v>
      </c>
      <c r="D1439" s="1">
        <v>28</v>
      </c>
      <c r="F1439" s="1"/>
      <c r="G1439" s="1">
        <v>28</v>
      </c>
      <c r="H1439" s="1" t="s">
        <v>3170</v>
      </c>
    </row>
    <row r="1440" spans="1:9" ht="15" x14ac:dyDescent="0.25">
      <c r="A1440" s="3">
        <v>16020502</v>
      </c>
      <c r="B1440" s="11" t="s">
        <v>697</v>
      </c>
      <c r="C1440" s="11" t="s">
        <v>1890</v>
      </c>
      <c r="D1440" s="1">
        <v>28</v>
      </c>
      <c r="F1440" s="1"/>
      <c r="G1440" s="1">
        <v>28</v>
      </c>
      <c r="H1440" s="1" t="s">
        <v>3170</v>
      </c>
    </row>
    <row r="1441" spans="1:46" ht="15" x14ac:dyDescent="0.25">
      <c r="A1441" s="16">
        <v>16030101</v>
      </c>
      <c r="B1441" s="11" t="s">
        <v>734</v>
      </c>
      <c r="C1441" s="11" t="s">
        <v>1927</v>
      </c>
      <c r="D1441" s="1">
        <f>ROUND(E1441*F1441*1.25,0)</f>
        <v>11</v>
      </c>
      <c r="E1441" s="1">
        <v>0.56000000000000005</v>
      </c>
      <c r="F1441" s="1">
        <v>15</v>
      </c>
      <c r="G1441" s="4"/>
      <c r="H1441" s="1" t="s">
        <v>3174</v>
      </c>
      <c r="I1441" s="1" t="s">
        <v>2999</v>
      </c>
    </row>
    <row r="1442" spans="1:46" ht="15" x14ac:dyDescent="0.25">
      <c r="A1442" s="3">
        <v>16030102</v>
      </c>
      <c r="B1442" s="11" t="s">
        <v>2651</v>
      </c>
      <c r="C1442" s="11" t="s">
        <v>24</v>
      </c>
      <c r="D1442" s="1">
        <f>ROUND(E1442*F1442*1.33,0)</f>
        <v>63</v>
      </c>
      <c r="E1442" s="1">
        <v>0.56000000000000005</v>
      </c>
      <c r="F1442" s="1">
        <v>84</v>
      </c>
      <c r="G1442" s="4"/>
      <c r="H1442" s="1" t="s">
        <v>3174</v>
      </c>
      <c r="I1442" s="1" t="s">
        <v>2999</v>
      </c>
    </row>
    <row r="1443" spans="1:46" ht="15" x14ac:dyDescent="0.25">
      <c r="A1443" s="16">
        <v>16030103</v>
      </c>
      <c r="B1443" s="11" t="s">
        <v>715</v>
      </c>
      <c r="C1443" s="11" t="s">
        <v>1909</v>
      </c>
      <c r="D1443" s="1">
        <f>ROUND(E1443*F1443,0)</f>
        <v>16</v>
      </c>
      <c r="E1443" s="1">
        <v>0.95</v>
      </c>
      <c r="F1443" s="4">
        <f>2.54*2.54*2.54</f>
        <v>16.387063999999999</v>
      </c>
      <c r="G1443" s="4"/>
      <c r="H1443" s="1" t="s">
        <v>3173</v>
      </c>
    </row>
    <row r="1444" spans="1:46" ht="15" x14ac:dyDescent="0.25">
      <c r="A1444" s="5">
        <v>16030103</v>
      </c>
      <c r="B1444" s="11" t="s">
        <v>699</v>
      </c>
      <c r="C1444" s="11" t="s">
        <v>4</v>
      </c>
      <c r="D1444" s="1">
        <f>ROUND(E1444*F1444,0)</f>
        <v>26</v>
      </c>
      <c r="E1444" s="1">
        <v>0.95</v>
      </c>
      <c r="F1444" s="1">
        <f>18*1.5</f>
        <v>27</v>
      </c>
      <c r="H1444" s="1" t="s">
        <v>3173</v>
      </c>
      <c r="I1444" s="1" t="s">
        <v>3171</v>
      </c>
    </row>
    <row r="1445" spans="1:46" ht="15" x14ac:dyDescent="0.25">
      <c r="A1445" s="3">
        <v>16030103</v>
      </c>
      <c r="B1445" s="11" t="s">
        <v>699</v>
      </c>
      <c r="C1445" s="11" t="s">
        <v>2674</v>
      </c>
      <c r="D1445" s="1">
        <v>28</v>
      </c>
      <c r="F1445" s="1"/>
      <c r="G1445" s="1">
        <v>28</v>
      </c>
      <c r="H1445" s="1" t="s">
        <v>3170</v>
      </c>
    </row>
    <row r="1446" spans="1:46" s="11" customFormat="1" ht="15" x14ac:dyDescent="0.25">
      <c r="A1446" s="16">
        <v>16030103</v>
      </c>
      <c r="B1446" s="11" t="s">
        <v>700</v>
      </c>
      <c r="C1446" s="11" t="s">
        <v>1893</v>
      </c>
      <c r="D1446" s="1">
        <f>ROUND(E1446*F1446,0)</f>
        <v>53</v>
      </c>
      <c r="E1446" s="1">
        <v>0.95</v>
      </c>
      <c r="F1446" s="4">
        <f>7.5*7.5*2/2</f>
        <v>56.25</v>
      </c>
      <c r="G1446" s="1"/>
      <c r="H1446" s="1" t="s">
        <v>3173</v>
      </c>
      <c r="I1446" s="1" t="s">
        <v>3169</v>
      </c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</row>
    <row r="1447" spans="1:46" ht="15" x14ac:dyDescent="0.25">
      <c r="A1447" s="16">
        <v>16030103</v>
      </c>
      <c r="B1447" s="11" t="s">
        <v>703</v>
      </c>
      <c r="C1447" s="11" t="s">
        <v>1896</v>
      </c>
      <c r="D1447" s="1">
        <f>ROUND(E1447*F1447,0)</f>
        <v>107</v>
      </c>
      <c r="E1447" s="1">
        <v>0.95</v>
      </c>
      <c r="F1447" s="4">
        <f>7.5*7.5*2</f>
        <v>112.5</v>
      </c>
      <c r="H1447" s="1" t="s">
        <v>3173</v>
      </c>
      <c r="I1447" s="1" t="s">
        <v>3169</v>
      </c>
    </row>
    <row r="1448" spans="1:46" ht="15" x14ac:dyDescent="0.25">
      <c r="A1448" s="16">
        <v>16030103</v>
      </c>
      <c r="B1448" s="11" t="s">
        <v>699</v>
      </c>
      <c r="C1448" s="11" t="s">
        <v>1892</v>
      </c>
      <c r="D1448" s="1">
        <f>ROUND(E1448*F1448,0)</f>
        <v>27</v>
      </c>
      <c r="E1448" s="1">
        <v>0.95</v>
      </c>
      <c r="F1448" s="4">
        <f>7.5*7.5*2/4</f>
        <v>28.125</v>
      </c>
      <c r="H1448" s="1" t="s">
        <v>3173</v>
      </c>
      <c r="I1448" s="1" t="s">
        <v>3169</v>
      </c>
    </row>
    <row r="1449" spans="1:46" ht="15" x14ac:dyDescent="0.25">
      <c r="A1449" s="5">
        <v>16030104</v>
      </c>
      <c r="B1449" s="11" t="s">
        <v>698</v>
      </c>
      <c r="C1449" s="11" t="s">
        <v>32</v>
      </c>
      <c r="D1449" s="4">
        <f>G1449</f>
        <v>1</v>
      </c>
      <c r="F1449" s="1"/>
      <c r="G1449" s="4">
        <v>1</v>
      </c>
      <c r="H1449" s="1" t="s">
        <v>3172</v>
      </c>
      <c r="I1449" s="1" t="s">
        <v>2420</v>
      </c>
    </row>
    <row r="1450" spans="1:46" ht="15" x14ac:dyDescent="0.25">
      <c r="A1450" s="16">
        <v>16030104</v>
      </c>
      <c r="B1450" s="11" t="s">
        <v>719</v>
      </c>
      <c r="C1450" s="11" t="s">
        <v>1913</v>
      </c>
      <c r="D1450" s="1">
        <f>ROUND(E1450*F1450,0)</f>
        <v>16</v>
      </c>
      <c r="E1450" s="1">
        <v>0.99</v>
      </c>
      <c r="F1450" s="4">
        <f>2.54*2.54*2.54</f>
        <v>16.387063999999999</v>
      </c>
      <c r="G1450" s="4"/>
      <c r="H1450" s="1" t="s">
        <v>3172</v>
      </c>
    </row>
    <row r="1451" spans="1:46" ht="15" x14ac:dyDescent="0.25">
      <c r="A1451" s="3">
        <v>16030104</v>
      </c>
      <c r="B1451" s="11" t="s">
        <v>748</v>
      </c>
      <c r="C1451" s="11" t="s">
        <v>1940</v>
      </c>
      <c r="D1451" s="1">
        <v>28</v>
      </c>
      <c r="F1451" s="1"/>
      <c r="G1451" s="1">
        <v>28</v>
      </c>
      <c r="H1451" s="1" t="s">
        <v>3170</v>
      </c>
    </row>
    <row r="1452" spans="1:46" ht="15" x14ac:dyDescent="0.25">
      <c r="A1452" s="16">
        <v>16030104</v>
      </c>
      <c r="B1452" s="11" t="s">
        <v>724</v>
      </c>
      <c r="C1452" s="11" t="s">
        <v>1918</v>
      </c>
      <c r="D1452" s="1">
        <f>ROUND(E1452*F1452,0)</f>
        <v>51</v>
      </c>
      <c r="E1452" s="1">
        <v>0.99</v>
      </c>
      <c r="F1452" s="4">
        <f>5.08*5.08*2</f>
        <v>51.6128</v>
      </c>
      <c r="H1452" s="1" t="s">
        <v>3172</v>
      </c>
      <c r="I1452" s="1" t="s">
        <v>3169</v>
      </c>
    </row>
    <row r="1453" spans="1:46" ht="15" x14ac:dyDescent="0.25">
      <c r="A1453" s="24">
        <v>16030104</v>
      </c>
      <c r="B1453" s="25" t="s">
        <v>698</v>
      </c>
      <c r="C1453" s="25" t="s">
        <v>4</v>
      </c>
      <c r="D1453" s="4">
        <v>102</v>
      </c>
      <c r="H1453" s="1" t="s">
        <v>3172</v>
      </c>
    </row>
    <row r="1454" spans="1:46" ht="15" x14ac:dyDescent="0.25">
      <c r="A1454" s="16">
        <v>16030104</v>
      </c>
      <c r="B1454" s="11" t="s">
        <v>743</v>
      </c>
      <c r="C1454" s="11" t="s">
        <v>1936</v>
      </c>
      <c r="D1454" s="1">
        <f>ROUND(E1454*F1454*1.25,0)</f>
        <v>11</v>
      </c>
      <c r="E1454" s="1">
        <v>0.56000000000000005</v>
      </c>
      <c r="F1454" s="1">
        <v>15</v>
      </c>
      <c r="G1454" s="4"/>
      <c r="H1454" s="1" t="s">
        <v>3174</v>
      </c>
      <c r="I1454" s="1" t="s">
        <v>2999</v>
      </c>
    </row>
    <row r="1455" spans="1:46" ht="15" x14ac:dyDescent="0.25">
      <c r="A1455" s="3">
        <v>16030104</v>
      </c>
      <c r="B1455" s="11" t="s">
        <v>698</v>
      </c>
      <c r="C1455" s="11" t="s">
        <v>1891</v>
      </c>
      <c r="D1455" s="1">
        <f>ROUND(E1455*F1455,0)</f>
        <v>28</v>
      </c>
      <c r="E1455" s="1">
        <v>0.99</v>
      </c>
      <c r="F1455" s="4">
        <f>7.5*7.5*2/4</f>
        <v>28.125</v>
      </c>
      <c r="H1455" s="1" t="s">
        <v>3172</v>
      </c>
      <c r="I1455" s="1" t="s">
        <v>3169</v>
      </c>
    </row>
    <row r="1456" spans="1:46" ht="15" x14ac:dyDescent="0.25">
      <c r="A1456" s="3">
        <v>16030104</v>
      </c>
      <c r="B1456" s="11" t="s">
        <v>736</v>
      </c>
      <c r="C1456" s="11" t="s">
        <v>1929</v>
      </c>
      <c r="D1456" s="1">
        <f>ROUND(E1456*F1456*1.33,0)</f>
        <v>63</v>
      </c>
      <c r="E1456" s="1">
        <v>0.56000000000000005</v>
      </c>
      <c r="F1456" s="1">
        <v>84</v>
      </c>
      <c r="G1456" s="4"/>
      <c r="H1456" s="1" t="s">
        <v>3174</v>
      </c>
      <c r="I1456" s="1" t="s">
        <v>2999</v>
      </c>
    </row>
    <row r="1457" spans="1:46" ht="15" x14ac:dyDescent="0.25">
      <c r="A1457" s="16">
        <v>16030104</v>
      </c>
      <c r="B1457" s="11" t="s">
        <v>702</v>
      </c>
      <c r="C1457" s="11" t="s">
        <v>1895</v>
      </c>
      <c r="D1457" s="1">
        <f>ROUND(E1457*F1457,0)</f>
        <v>56</v>
      </c>
      <c r="E1457" s="1">
        <v>0.99</v>
      </c>
      <c r="F1457" s="4">
        <f>7.5*7.5*2/2</f>
        <v>56.25</v>
      </c>
      <c r="H1457" s="1" t="s">
        <v>3172</v>
      </c>
      <c r="I1457" s="1" t="s">
        <v>3169</v>
      </c>
    </row>
    <row r="1458" spans="1:46" ht="15" x14ac:dyDescent="0.25">
      <c r="A1458" s="16">
        <v>16030104</v>
      </c>
      <c r="B1458" s="11" t="s">
        <v>705</v>
      </c>
      <c r="C1458" s="11" t="s">
        <v>1898</v>
      </c>
      <c r="D1458" s="1">
        <f>ROUND(E1458*F1458,0)</f>
        <v>111</v>
      </c>
      <c r="E1458" s="1">
        <v>0.99</v>
      </c>
      <c r="F1458" s="4">
        <f>7.5*7.5*2</f>
        <v>112.5</v>
      </c>
      <c r="H1458" s="1" t="s">
        <v>3172</v>
      </c>
      <c r="I1458" s="1" t="s">
        <v>3169</v>
      </c>
    </row>
    <row r="1459" spans="1:46" ht="15" x14ac:dyDescent="0.25">
      <c r="A1459" s="16">
        <v>16030104</v>
      </c>
      <c r="B1459" s="11" t="s">
        <v>2473</v>
      </c>
      <c r="C1459" s="11" t="s">
        <v>1892</v>
      </c>
      <c r="D1459" s="1">
        <f>ROUND(E1459*F1459,0)</f>
        <v>28</v>
      </c>
      <c r="E1459" s="1">
        <v>0.99</v>
      </c>
      <c r="F1459" s="4">
        <f>7.5*7.5*2/4</f>
        <v>28.125</v>
      </c>
      <c r="H1459" s="1" t="s">
        <v>3172</v>
      </c>
      <c r="I1459" s="1" t="s">
        <v>3169</v>
      </c>
    </row>
    <row r="1460" spans="1:46" ht="15" x14ac:dyDescent="0.25">
      <c r="A1460" s="3">
        <v>16030105</v>
      </c>
      <c r="B1460" s="11" t="s">
        <v>701</v>
      </c>
      <c r="C1460" s="11" t="s">
        <v>32</v>
      </c>
      <c r="D1460" s="4">
        <f>G1460</f>
        <v>1</v>
      </c>
      <c r="F1460" s="1"/>
      <c r="G1460" s="4">
        <v>1</v>
      </c>
      <c r="H1460" s="1" t="s">
        <v>2998</v>
      </c>
      <c r="I1460" s="1" t="s">
        <v>2420</v>
      </c>
    </row>
    <row r="1461" spans="1:46" ht="15" x14ac:dyDescent="0.25">
      <c r="A1461" s="24">
        <v>16030105</v>
      </c>
      <c r="B1461" s="25" t="s">
        <v>701</v>
      </c>
      <c r="C1461" s="25" t="s">
        <v>2674</v>
      </c>
      <c r="D1461" s="21">
        <v>53</v>
      </c>
      <c r="E1461" s="11"/>
      <c r="F1461" s="21"/>
      <c r="G1461" s="11"/>
      <c r="H1461" s="11"/>
      <c r="I1461" s="11"/>
      <c r="J1461" s="11"/>
      <c r="K1461" s="11"/>
      <c r="L1461" s="11"/>
      <c r="M1461" s="11"/>
      <c r="N1461" s="11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  <c r="Z1461" s="11"/>
      <c r="AA1461" s="11"/>
      <c r="AB1461" s="11"/>
      <c r="AC1461" s="11"/>
      <c r="AD1461" s="11"/>
      <c r="AE1461" s="11"/>
      <c r="AF1461" s="11"/>
      <c r="AG1461" s="11"/>
      <c r="AH1461" s="11"/>
      <c r="AI1461" s="11"/>
      <c r="AJ1461" s="11"/>
      <c r="AK1461" s="11"/>
      <c r="AL1461" s="11"/>
      <c r="AM1461" s="11"/>
      <c r="AN1461" s="11"/>
      <c r="AO1461" s="11"/>
      <c r="AP1461" s="11"/>
      <c r="AQ1461" s="11"/>
      <c r="AR1461" s="11"/>
      <c r="AS1461" s="11"/>
      <c r="AT1461" s="11"/>
    </row>
    <row r="1462" spans="1:46" ht="15" x14ac:dyDescent="0.25">
      <c r="A1462" s="3">
        <v>16030105</v>
      </c>
      <c r="B1462" s="11" t="s">
        <v>737</v>
      </c>
      <c r="C1462" s="11" t="s">
        <v>1930</v>
      </c>
      <c r="D1462" s="1">
        <f>ROUND(E1462*F1462*1.25,0)</f>
        <v>105</v>
      </c>
      <c r="E1462" s="1">
        <v>1</v>
      </c>
      <c r="F1462" s="4">
        <v>84</v>
      </c>
      <c r="H1462" s="1" t="s">
        <v>2998</v>
      </c>
      <c r="I1462" s="1" t="s">
        <v>2695</v>
      </c>
    </row>
    <row r="1463" spans="1:46" ht="15" x14ac:dyDescent="0.25">
      <c r="A1463" s="16">
        <v>16030105</v>
      </c>
      <c r="B1463" s="11" t="s">
        <v>744</v>
      </c>
      <c r="C1463" s="11" t="s">
        <v>1936</v>
      </c>
      <c r="D1463" s="1">
        <f>ROUND(E1463*F1463*1.25,0)</f>
        <v>19</v>
      </c>
      <c r="E1463" s="1">
        <v>1</v>
      </c>
      <c r="F1463" s="4">
        <v>15</v>
      </c>
      <c r="H1463" s="1" t="s">
        <v>2998</v>
      </c>
      <c r="I1463" s="1" t="s">
        <v>2999</v>
      </c>
    </row>
    <row r="1464" spans="1:46" ht="15" x14ac:dyDescent="0.25">
      <c r="A1464" s="16">
        <v>16030105</v>
      </c>
      <c r="B1464" s="11" t="s">
        <v>726</v>
      </c>
      <c r="C1464" s="11" t="s">
        <v>1920</v>
      </c>
      <c r="D1464" s="1">
        <f>ROUND(E1464*F1464*1.25,0)</f>
        <v>53</v>
      </c>
      <c r="E1464" s="1">
        <v>1</v>
      </c>
      <c r="F1464" s="4">
        <v>42</v>
      </c>
      <c r="H1464" s="1" t="s">
        <v>2998</v>
      </c>
      <c r="I1464" s="1" t="s">
        <v>3147</v>
      </c>
    </row>
    <row r="1465" spans="1:46" ht="15" x14ac:dyDescent="0.25">
      <c r="A1465" s="16">
        <v>16030105</v>
      </c>
      <c r="B1465" s="11" t="s">
        <v>722</v>
      </c>
      <c r="C1465" s="11" t="s">
        <v>1916</v>
      </c>
      <c r="D1465" s="1">
        <f>ROUND(E1465*F1465*1.25,0)</f>
        <v>26</v>
      </c>
      <c r="E1465" s="1">
        <v>1</v>
      </c>
      <c r="F1465" s="4">
        <v>21</v>
      </c>
      <c r="H1465" s="1" t="s">
        <v>2998</v>
      </c>
      <c r="I1465" s="1" t="s">
        <v>2950</v>
      </c>
    </row>
    <row r="1466" spans="1:46" ht="15.75" customHeight="1" x14ac:dyDescent="0.25">
      <c r="A1466" s="3">
        <v>16030105</v>
      </c>
      <c r="B1466" s="11" t="s">
        <v>740</v>
      </c>
      <c r="C1466" s="11" t="s">
        <v>1933</v>
      </c>
      <c r="D1466" s="4">
        <v>110</v>
      </c>
      <c r="E1466" s="1">
        <v>1</v>
      </c>
      <c r="F1466" s="4">
        <v>84</v>
      </c>
      <c r="H1466" s="1" t="s">
        <v>2998</v>
      </c>
      <c r="I1466" s="1" t="s">
        <v>2999</v>
      </c>
    </row>
    <row r="1467" spans="1:46" ht="15.75" customHeight="1" x14ac:dyDescent="0.25">
      <c r="A1467" s="21">
        <v>16030105</v>
      </c>
      <c r="B1467" s="11" t="s">
        <v>706</v>
      </c>
      <c r="C1467" s="11" t="s">
        <v>1900</v>
      </c>
      <c r="D1467" s="1">
        <f>ROUND(E1467*F1467*1.25,0)</f>
        <v>105</v>
      </c>
      <c r="E1467" s="1">
        <v>1</v>
      </c>
      <c r="F1467" s="4">
        <v>84</v>
      </c>
      <c r="H1467" s="1" t="s">
        <v>2998</v>
      </c>
      <c r="I1467" s="1" t="s">
        <v>2955</v>
      </c>
    </row>
    <row r="1468" spans="1:46" s="11" customFormat="1" ht="15.75" customHeight="1" x14ac:dyDescent="0.25">
      <c r="A1468" s="21">
        <v>16030105</v>
      </c>
      <c r="B1468" s="11" t="s">
        <v>706</v>
      </c>
      <c r="C1468" s="11" t="s">
        <v>1899</v>
      </c>
      <c r="D1468" s="1">
        <f>ROUND(E1468*F1468*1.25,0)</f>
        <v>53</v>
      </c>
      <c r="E1468" s="1">
        <v>1</v>
      </c>
      <c r="F1468" s="4">
        <v>42</v>
      </c>
      <c r="G1468" s="1"/>
      <c r="H1468" s="1" t="s">
        <v>2998</v>
      </c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</row>
    <row r="1469" spans="1:46" ht="15.75" customHeight="1" x14ac:dyDescent="0.25">
      <c r="A1469" s="21">
        <v>16030105</v>
      </c>
      <c r="B1469" s="11" t="s">
        <v>701</v>
      </c>
      <c r="C1469" s="11" t="s">
        <v>1894</v>
      </c>
      <c r="D1469" s="1">
        <f>ROUND(E1469*F1469*1.25,0)</f>
        <v>26</v>
      </c>
      <c r="E1469" s="1">
        <v>1</v>
      </c>
      <c r="F1469" s="4">
        <v>21</v>
      </c>
      <c r="H1469" s="1" t="s">
        <v>2998</v>
      </c>
    </row>
    <row r="1470" spans="1:46" ht="15.75" customHeight="1" x14ac:dyDescent="0.25">
      <c r="A1470" s="21">
        <v>16030106</v>
      </c>
      <c r="B1470" s="11" t="s">
        <v>732</v>
      </c>
      <c r="C1470" s="11" t="s">
        <v>1925</v>
      </c>
      <c r="D1470" s="1">
        <f>ROUND(E1470*F1470*1.25,0)</f>
        <v>53</v>
      </c>
      <c r="E1470" s="1">
        <v>1</v>
      </c>
      <c r="F1470" s="4">
        <v>42</v>
      </c>
      <c r="H1470" s="1" t="s">
        <v>2998</v>
      </c>
      <c r="I1470" s="1" t="s">
        <v>3147</v>
      </c>
    </row>
    <row r="1471" spans="1:46" ht="15.75" customHeight="1" x14ac:dyDescent="0.25">
      <c r="A1471" s="26">
        <v>16030106</v>
      </c>
      <c r="B1471" s="25" t="s">
        <v>704</v>
      </c>
      <c r="C1471" s="25" t="s">
        <v>14</v>
      </c>
      <c r="D1471" s="4">
        <v>53</v>
      </c>
      <c r="H1471" s="1" t="s">
        <v>2998</v>
      </c>
    </row>
    <row r="1472" spans="1:46" ht="15.75" customHeight="1" x14ac:dyDescent="0.25">
      <c r="A1472" s="4">
        <v>16030106</v>
      </c>
      <c r="B1472" s="11" t="s">
        <v>742</v>
      </c>
      <c r="C1472" s="11" t="s">
        <v>1935</v>
      </c>
      <c r="D1472" s="4">
        <v>110</v>
      </c>
      <c r="E1472" s="1">
        <v>1</v>
      </c>
      <c r="F1472" s="4">
        <v>84</v>
      </c>
      <c r="H1472" s="1" t="s">
        <v>2998</v>
      </c>
      <c r="I1472" s="1" t="s">
        <v>2999</v>
      </c>
    </row>
    <row r="1473" spans="1:46" s="11" customFormat="1" ht="15.75" customHeight="1" x14ac:dyDescent="0.25">
      <c r="A1473" s="21">
        <v>16030106</v>
      </c>
      <c r="B1473" s="11" t="s">
        <v>727</v>
      </c>
      <c r="C1473" s="11" t="s">
        <v>1921</v>
      </c>
      <c r="D1473" s="1">
        <f>ROUND(E1473*F1473*1.25,0)</f>
        <v>26</v>
      </c>
      <c r="E1473" s="1">
        <v>1</v>
      </c>
      <c r="F1473" s="4">
        <v>21</v>
      </c>
      <c r="G1473" s="1"/>
      <c r="H1473" s="1" t="s">
        <v>2998</v>
      </c>
      <c r="I1473" s="1" t="s">
        <v>2950</v>
      </c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</row>
    <row r="1474" spans="1:46" ht="15.75" customHeight="1" x14ac:dyDescent="0.25">
      <c r="A1474" s="21">
        <v>16030106</v>
      </c>
      <c r="B1474" s="11" t="s">
        <v>708</v>
      </c>
      <c r="C1474" s="11" t="s">
        <v>1902</v>
      </c>
      <c r="D1474" s="1">
        <f>ROUND(E1474*F1474*1.25,0)</f>
        <v>53</v>
      </c>
      <c r="E1474" s="1">
        <v>1</v>
      </c>
      <c r="F1474" s="4">
        <v>42</v>
      </c>
      <c r="H1474" s="1" t="s">
        <v>2998</v>
      </c>
    </row>
    <row r="1475" spans="1:46" ht="15.75" customHeight="1" x14ac:dyDescent="0.25">
      <c r="A1475" s="21">
        <v>16030106</v>
      </c>
      <c r="B1475" s="11" t="s">
        <v>708</v>
      </c>
      <c r="C1475" s="11" t="s">
        <v>1903</v>
      </c>
      <c r="D1475" s="1">
        <f>ROUND(E1475*F1475*1.25,0)</f>
        <v>105</v>
      </c>
      <c r="E1475" s="1">
        <v>1</v>
      </c>
      <c r="F1475" s="4">
        <v>84</v>
      </c>
      <c r="H1475" s="1" t="s">
        <v>2998</v>
      </c>
      <c r="I1475" s="1" t="s">
        <v>2955</v>
      </c>
    </row>
    <row r="1476" spans="1:46" ht="15.75" customHeight="1" x14ac:dyDescent="0.25">
      <c r="A1476" s="21">
        <v>16030106</v>
      </c>
      <c r="B1476" s="11" t="s">
        <v>704</v>
      </c>
      <c r="C1476" s="11" t="s">
        <v>1897</v>
      </c>
      <c r="D1476" s="1">
        <f>ROUND(E1476*F1476*1.25,0)</f>
        <v>26</v>
      </c>
      <c r="E1476" s="1">
        <v>1</v>
      </c>
      <c r="F1476" s="4">
        <v>21</v>
      </c>
      <c r="H1476" s="1" t="s">
        <v>2998</v>
      </c>
    </row>
    <row r="1477" spans="1:46" ht="15.75" customHeight="1" x14ac:dyDescent="0.25">
      <c r="A1477" s="21">
        <v>16030107</v>
      </c>
      <c r="B1477" s="11" t="s">
        <v>747</v>
      </c>
      <c r="C1477" s="11" t="s">
        <v>1939</v>
      </c>
      <c r="D1477" s="1">
        <f>ROUND(E1477*F1477*1.25,0)</f>
        <v>11</v>
      </c>
      <c r="E1477" s="1">
        <v>0.56000000000000005</v>
      </c>
      <c r="F1477" s="1">
        <v>15</v>
      </c>
      <c r="G1477" s="4"/>
      <c r="H1477" s="1" t="s">
        <v>3174</v>
      </c>
      <c r="I1477" s="1" t="s">
        <v>2999</v>
      </c>
    </row>
    <row r="1478" spans="1:46" ht="15.75" customHeight="1" x14ac:dyDescent="0.25">
      <c r="A1478" s="21">
        <v>16030107</v>
      </c>
      <c r="B1478" s="11" t="s">
        <v>707</v>
      </c>
      <c r="C1478" s="11" t="s">
        <v>13</v>
      </c>
      <c r="D1478" s="1">
        <f>ROUND(E1478*F1478,0)</f>
        <v>111</v>
      </c>
      <c r="E1478" s="1">
        <v>0.99</v>
      </c>
      <c r="F1478" s="4">
        <f>7.5*7.5*2</f>
        <v>112.5</v>
      </c>
      <c r="H1478" s="1" t="s">
        <v>3172</v>
      </c>
      <c r="I1478" s="1" t="s">
        <v>3169</v>
      </c>
    </row>
    <row r="1479" spans="1:46" ht="15.75" customHeight="1" x14ac:dyDescent="0.25">
      <c r="A1479" s="21">
        <v>16030107</v>
      </c>
      <c r="B1479" s="11" t="s">
        <v>707</v>
      </c>
      <c r="C1479" s="11" t="s">
        <v>1901</v>
      </c>
      <c r="D1479" s="1">
        <f>ROUND(E1479*F1479,0)</f>
        <v>28</v>
      </c>
      <c r="E1479" s="1">
        <v>0.99</v>
      </c>
      <c r="F1479" s="4">
        <f>7.5*7.5*2/4</f>
        <v>28.125</v>
      </c>
      <c r="H1479" s="1" t="s">
        <v>3172</v>
      </c>
      <c r="I1479" s="1" t="s">
        <v>3169</v>
      </c>
    </row>
    <row r="1480" spans="1:46" ht="15.75" customHeight="1" x14ac:dyDescent="0.25">
      <c r="A1480" s="4">
        <v>16030108</v>
      </c>
      <c r="B1480" s="11" t="s">
        <v>746</v>
      </c>
      <c r="C1480" s="11" t="s">
        <v>1938</v>
      </c>
      <c r="D1480" s="1">
        <f>ROUND(E1480*F1480*1.25,0)</f>
        <v>4</v>
      </c>
      <c r="E1480" s="1">
        <v>0.56000000000000005</v>
      </c>
      <c r="F1480" s="1">
        <v>5</v>
      </c>
      <c r="H1480" s="1" t="s">
        <v>3174</v>
      </c>
    </row>
    <row r="1481" spans="1:46" ht="15.75" customHeight="1" x14ac:dyDescent="0.25">
      <c r="A1481" s="21">
        <v>16030108</v>
      </c>
      <c r="B1481" s="11" t="s">
        <v>749</v>
      </c>
      <c r="C1481" s="11" t="s">
        <v>1941</v>
      </c>
      <c r="D1481" s="1">
        <f>ROUND(E1481*F1481*1.25,0)</f>
        <v>11</v>
      </c>
      <c r="E1481" s="1">
        <v>0.56000000000000005</v>
      </c>
      <c r="F1481" s="1">
        <v>15</v>
      </c>
      <c r="G1481" s="4"/>
      <c r="H1481" s="1" t="s">
        <v>3174</v>
      </c>
      <c r="I1481" s="1" t="s">
        <v>2999</v>
      </c>
    </row>
    <row r="1482" spans="1:46" ht="15.75" customHeight="1" x14ac:dyDescent="0.25">
      <c r="A1482" s="4">
        <v>16030108</v>
      </c>
      <c r="B1482" s="11" t="s">
        <v>709</v>
      </c>
      <c r="C1482" s="11" t="s">
        <v>27</v>
      </c>
      <c r="D1482" s="4">
        <f>ROUND(E1482*F1482*1.25,0)</f>
        <v>91</v>
      </c>
      <c r="E1482" s="1">
        <v>0.56000000000000005</v>
      </c>
      <c r="F1482" s="1">
        <v>130</v>
      </c>
      <c r="G1482" s="4"/>
      <c r="H1482" s="1" t="s">
        <v>3174</v>
      </c>
      <c r="I1482" s="1" t="s">
        <v>2999</v>
      </c>
      <c r="J1482" s="1" t="s">
        <v>3132</v>
      </c>
    </row>
    <row r="1483" spans="1:46" ht="15.75" customHeight="1" x14ac:dyDescent="0.25">
      <c r="A1483" s="21">
        <v>16030108</v>
      </c>
      <c r="B1483" s="11" t="s">
        <v>711</v>
      </c>
      <c r="C1483" s="11" t="s">
        <v>1905</v>
      </c>
      <c r="D1483" s="1">
        <f>ROUND(E1483*F1483,0)</f>
        <v>56</v>
      </c>
      <c r="E1483" s="1">
        <v>0.99</v>
      </c>
      <c r="F1483" s="4">
        <f>7.5*7.5*2/2</f>
        <v>56.25</v>
      </c>
      <c r="H1483" s="1" t="s">
        <v>3172</v>
      </c>
      <c r="I1483" s="1" t="s">
        <v>3169</v>
      </c>
    </row>
    <row r="1484" spans="1:46" ht="15.75" customHeight="1" x14ac:dyDescent="0.25">
      <c r="A1484" s="21">
        <v>16030108</v>
      </c>
      <c r="B1484" s="11" t="s">
        <v>714</v>
      </c>
      <c r="C1484" s="11" t="s">
        <v>1908</v>
      </c>
      <c r="D1484" s="1">
        <f>ROUND(E1484*F1484,0)</f>
        <v>111</v>
      </c>
      <c r="E1484" s="1">
        <v>0.99</v>
      </c>
      <c r="F1484" s="4">
        <f>7.5*7.5*2</f>
        <v>112.5</v>
      </c>
      <c r="H1484" s="1" t="s">
        <v>3172</v>
      </c>
      <c r="I1484" s="1" t="s">
        <v>3169</v>
      </c>
    </row>
    <row r="1485" spans="1:46" ht="15.75" customHeight="1" x14ac:dyDescent="0.25">
      <c r="A1485" s="21">
        <v>16030108</v>
      </c>
      <c r="B1485" s="11" t="s">
        <v>709</v>
      </c>
      <c r="C1485" s="11" t="s">
        <v>1904</v>
      </c>
      <c r="D1485" s="1">
        <f>ROUND(E1485*F1485,0)</f>
        <v>28</v>
      </c>
      <c r="E1485" s="1">
        <v>0.99</v>
      </c>
      <c r="F1485" s="4">
        <f>7.5*7.5*2/4</f>
        <v>28.125</v>
      </c>
      <c r="H1485" s="1" t="s">
        <v>3172</v>
      </c>
      <c r="I1485" s="1" t="s">
        <v>3169</v>
      </c>
    </row>
    <row r="1486" spans="1:46" ht="15.75" customHeight="1" x14ac:dyDescent="0.25">
      <c r="A1486" s="21">
        <v>16030109</v>
      </c>
      <c r="B1486" s="11" t="s">
        <v>751</v>
      </c>
      <c r="C1486" s="11" t="s">
        <v>1943</v>
      </c>
      <c r="D1486" s="1">
        <f>ROUND(E1486*F1486*1.25,0)</f>
        <v>11</v>
      </c>
      <c r="E1486" s="1">
        <v>0.56000000000000005</v>
      </c>
      <c r="F1486" s="1">
        <v>15</v>
      </c>
      <c r="G1486" s="4"/>
      <c r="H1486" s="1" t="s">
        <v>3174</v>
      </c>
      <c r="I1486" s="1" t="s">
        <v>2999</v>
      </c>
    </row>
    <row r="1487" spans="1:46" ht="15.75" customHeight="1" x14ac:dyDescent="0.25">
      <c r="A1487" s="26">
        <v>16030109</v>
      </c>
      <c r="B1487" s="25" t="s">
        <v>710</v>
      </c>
      <c r="C1487" s="25" t="s">
        <v>24</v>
      </c>
      <c r="D1487" s="1">
        <f>ROUND(E1487*F1487*1.33,0)</f>
        <v>63</v>
      </c>
      <c r="E1487" s="1">
        <v>0.56000000000000005</v>
      </c>
      <c r="F1487" s="1">
        <v>84</v>
      </c>
      <c r="G1487" s="11"/>
      <c r="H1487" s="11"/>
      <c r="I1487" s="11"/>
      <c r="J1487" s="11"/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  <c r="Z1487" s="11"/>
      <c r="AA1487" s="11"/>
      <c r="AB1487" s="11"/>
      <c r="AC1487" s="11"/>
      <c r="AD1487" s="11"/>
      <c r="AE1487" s="11"/>
      <c r="AF1487" s="11"/>
      <c r="AG1487" s="11"/>
      <c r="AH1487" s="11"/>
      <c r="AI1487" s="11"/>
      <c r="AJ1487" s="11"/>
      <c r="AK1487" s="11"/>
      <c r="AL1487" s="11"/>
      <c r="AM1487" s="11"/>
      <c r="AN1487" s="11"/>
      <c r="AO1487" s="11"/>
      <c r="AP1487" s="11"/>
      <c r="AQ1487" s="11"/>
      <c r="AR1487" s="11"/>
      <c r="AS1487" s="11"/>
      <c r="AT1487" s="11"/>
    </row>
    <row r="1488" spans="1:46" ht="15.75" customHeight="1" x14ac:dyDescent="0.25">
      <c r="A1488" s="4">
        <v>16030109</v>
      </c>
      <c r="B1488" s="11" t="s">
        <v>710</v>
      </c>
      <c r="C1488" s="11" t="s">
        <v>27</v>
      </c>
      <c r="D1488" s="4">
        <f>ROUND(E1488*F1488*1.25,0)</f>
        <v>91</v>
      </c>
      <c r="E1488" s="1">
        <v>0.56000000000000005</v>
      </c>
      <c r="F1488" s="1">
        <v>130</v>
      </c>
      <c r="G1488" s="4"/>
      <c r="H1488" s="1" t="s">
        <v>3174</v>
      </c>
      <c r="I1488" s="1" t="s">
        <v>2999</v>
      </c>
    </row>
    <row r="1489" spans="1:46" ht="15.75" customHeight="1" x14ac:dyDescent="0.25">
      <c r="A1489" s="21">
        <v>16030109</v>
      </c>
      <c r="B1489" s="11" t="s">
        <v>713</v>
      </c>
      <c r="C1489" s="11" t="s">
        <v>1907</v>
      </c>
      <c r="D1489" s="1">
        <f>ROUND(E1489*F1489,0)</f>
        <v>56</v>
      </c>
      <c r="E1489" s="1">
        <v>0.99</v>
      </c>
      <c r="F1489" s="4">
        <f>7.5*7.5*2/2</f>
        <v>56.25</v>
      </c>
      <c r="H1489" s="1" t="s">
        <v>3172</v>
      </c>
      <c r="I1489" s="1" t="s">
        <v>3169</v>
      </c>
    </row>
    <row r="1490" spans="1:46" ht="15.75" customHeight="1" x14ac:dyDescent="0.25">
      <c r="A1490" s="21">
        <v>16030109</v>
      </c>
      <c r="B1490" s="11" t="s">
        <v>718</v>
      </c>
      <c r="C1490" s="11" t="s">
        <v>1912</v>
      </c>
      <c r="D1490" s="1">
        <f>ROUND(E1490*F1490,0)</f>
        <v>111</v>
      </c>
      <c r="E1490" s="1">
        <v>0.99</v>
      </c>
      <c r="F1490" s="4">
        <f>7.5*7.5*2</f>
        <v>112.5</v>
      </c>
      <c r="H1490" s="1" t="s">
        <v>3172</v>
      </c>
      <c r="I1490" s="1" t="s">
        <v>3169</v>
      </c>
    </row>
    <row r="1491" spans="1:46" ht="15.75" customHeight="1" x14ac:dyDescent="0.25">
      <c r="A1491" s="21">
        <v>16030109</v>
      </c>
      <c r="B1491" s="11" t="s">
        <v>710</v>
      </c>
      <c r="C1491" s="11" t="s">
        <v>1904</v>
      </c>
      <c r="D1491" s="1">
        <f>ROUND(E1491*F1491,0)</f>
        <v>28</v>
      </c>
      <c r="E1491" s="1">
        <v>0.99</v>
      </c>
      <c r="F1491" s="4">
        <f>7.5*7.5*2/4</f>
        <v>28.125</v>
      </c>
      <c r="H1491" s="1" t="s">
        <v>3172</v>
      </c>
      <c r="I1491" s="1" t="s">
        <v>3169</v>
      </c>
    </row>
    <row r="1492" spans="1:46" ht="15.75" customHeight="1" x14ac:dyDescent="0.25">
      <c r="A1492" s="26">
        <v>16030110</v>
      </c>
      <c r="B1492" s="25" t="s">
        <v>712</v>
      </c>
      <c r="C1492" s="25" t="s">
        <v>26</v>
      </c>
      <c r="D1492" s="21">
        <v>15</v>
      </c>
      <c r="E1492" s="11"/>
      <c r="F1492" s="21"/>
      <c r="G1492" s="11"/>
      <c r="H1492" s="11"/>
      <c r="I1492" s="11"/>
      <c r="J1492" s="11"/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  <c r="Y1492" s="11"/>
      <c r="Z1492" s="11"/>
      <c r="AA1492" s="11"/>
      <c r="AB1492" s="11"/>
      <c r="AC1492" s="11"/>
      <c r="AD1492" s="11"/>
      <c r="AE1492" s="11"/>
      <c r="AF1492" s="11"/>
      <c r="AG1492" s="11"/>
      <c r="AH1492" s="11"/>
      <c r="AI1492" s="11"/>
      <c r="AJ1492" s="11"/>
      <c r="AK1492" s="11"/>
      <c r="AL1492" s="11"/>
      <c r="AM1492" s="11"/>
      <c r="AN1492" s="11"/>
      <c r="AO1492" s="11"/>
      <c r="AP1492" s="11"/>
      <c r="AQ1492" s="11"/>
      <c r="AR1492" s="11"/>
      <c r="AS1492" s="11"/>
      <c r="AT1492" s="11"/>
    </row>
    <row r="1493" spans="1:46" ht="15.75" customHeight="1" x14ac:dyDescent="0.25">
      <c r="A1493" s="21">
        <v>16030110</v>
      </c>
      <c r="B1493" s="11" t="s">
        <v>721</v>
      </c>
      <c r="C1493" s="11" t="s">
        <v>1915</v>
      </c>
      <c r="D1493" s="1">
        <f>ROUND(E1493*F1493*1.25,0)</f>
        <v>105</v>
      </c>
      <c r="E1493" s="1">
        <v>1</v>
      </c>
      <c r="F1493" s="4">
        <v>84</v>
      </c>
      <c r="H1493" s="1" t="s">
        <v>2998</v>
      </c>
      <c r="I1493" s="1" t="s">
        <v>2955</v>
      </c>
    </row>
    <row r="1494" spans="1:46" ht="15.75" customHeight="1" x14ac:dyDescent="0.25">
      <c r="A1494" s="21">
        <v>16030110</v>
      </c>
      <c r="B1494" s="11" t="s">
        <v>716</v>
      </c>
      <c r="C1494" s="11" t="s">
        <v>1910</v>
      </c>
      <c r="D1494" s="1">
        <f>ROUND(E1494*F1494*1.25,0)</f>
        <v>53</v>
      </c>
      <c r="E1494" s="1">
        <v>1</v>
      </c>
      <c r="F1494" s="4">
        <v>42</v>
      </c>
      <c r="H1494" s="1" t="s">
        <v>2998</v>
      </c>
    </row>
    <row r="1495" spans="1:46" ht="15.75" customHeight="1" x14ac:dyDescent="0.25">
      <c r="A1495" s="21">
        <v>16030110</v>
      </c>
      <c r="B1495" s="11" t="s">
        <v>712</v>
      </c>
      <c r="C1495" s="11" t="s">
        <v>1906</v>
      </c>
      <c r="D1495" s="1">
        <f>ROUND(E1495*F1495*1.25,0)</f>
        <v>26</v>
      </c>
      <c r="E1495" s="1">
        <v>1</v>
      </c>
      <c r="F1495" s="4">
        <v>21</v>
      </c>
      <c r="H1495" s="1" t="s">
        <v>2998</v>
      </c>
    </row>
    <row r="1496" spans="1:46" ht="15.75" customHeight="1" x14ac:dyDescent="0.25">
      <c r="A1496" s="16">
        <v>16030111</v>
      </c>
      <c r="B1496" s="11" t="s">
        <v>753</v>
      </c>
      <c r="C1496" s="11" t="s">
        <v>1945</v>
      </c>
      <c r="D1496" s="1">
        <f>ROUND(E1496*F1496,0)</f>
        <v>15</v>
      </c>
      <c r="E1496" s="1">
        <v>1</v>
      </c>
      <c r="F1496" s="4">
        <v>15</v>
      </c>
      <c r="H1496" s="1" t="s">
        <v>2998</v>
      </c>
      <c r="I1496" s="1" t="s">
        <v>2999</v>
      </c>
    </row>
    <row r="1497" spans="1:46" ht="15.75" customHeight="1" x14ac:dyDescent="0.25">
      <c r="A1497" s="3">
        <v>16030111</v>
      </c>
      <c r="B1497" s="11" t="s">
        <v>750</v>
      </c>
      <c r="C1497" s="11" t="s">
        <v>1942</v>
      </c>
      <c r="D1497" s="4">
        <v>110</v>
      </c>
      <c r="E1497" s="1">
        <v>1</v>
      </c>
      <c r="F1497" s="4">
        <v>84</v>
      </c>
      <c r="H1497" s="1" t="s">
        <v>2998</v>
      </c>
      <c r="I1497" s="1" t="s">
        <v>2999</v>
      </c>
    </row>
    <row r="1498" spans="1:46" ht="15.75" customHeight="1" x14ac:dyDescent="0.25">
      <c r="A1498" s="16">
        <v>16030111</v>
      </c>
      <c r="B1498" s="11" t="s">
        <v>717</v>
      </c>
      <c r="C1498" s="11" t="s">
        <v>1911</v>
      </c>
      <c r="D1498" s="1">
        <f>ROUND(E1498*F1498*1.25,0)</f>
        <v>26</v>
      </c>
      <c r="E1498" s="1">
        <v>1</v>
      </c>
      <c r="F1498" s="4">
        <v>21</v>
      </c>
      <c r="H1498" s="1" t="s">
        <v>2998</v>
      </c>
      <c r="I1498" s="1" t="s">
        <v>2701</v>
      </c>
    </row>
    <row r="1499" spans="1:46" ht="15.75" customHeight="1" x14ac:dyDescent="0.25">
      <c r="A1499" s="16">
        <v>16030111</v>
      </c>
      <c r="B1499" s="11" t="s">
        <v>725</v>
      </c>
      <c r="C1499" s="11" t="s">
        <v>1919</v>
      </c>
      <c r="D1499" s="1">
        <f>ROUND(E1499*F1499*1.25,0)</f>
        <v>105</v>
      </c>
      <c r="E1499" s="1">
        <v>1</v>
      </c>
      <c r="F1499" s="4">
        <v>84</v>
      </c>
      <c r="H1499" s="1" t="s">
        <v>2998</v>
      </c>
      <c r="I1499" s="1" t="s">
        <v>2955</v>
      </c>
    </row>
    <row r="1500" spans="1:46" ht="15.75" customHeight="1" x14ac:dyDescent="0.25">
      <c r="A1500" s="16">
        <v>16030111</v>
      </c>
      <c r="B1500" s="11" t="s">
        <v>723</v>
      </c>
      <c r="C1500" s="11" t="s">
        <v>1917</v>
      </c>
      <c r="D1500" s="1">
        <f>ROUND(E1500*F1500*1.25,0)</f>
        <v>53</v>
      </c>
      <c r="E1500" s="1">
        <v>1</v>
      </c>
      <c r="F1500" s="4">
        <v>42</v>
      </c>
      <c r="H1500" s="1" t="s">
        <v>2998</v>
      </c>
      <c r="I1500" s="1" t="s">
        <v>2700</v>
      </c>
    </row>
    <row r="1501" spans="1:46" s="11" customFormat="1" ht="15.75" customHeight="1" x14ac:dyDescent="0.25">
      <c r="A1501" s="3">
        <v>16030112</v>
      </c>
      <c r="B1501" s="11" t="s">
        <v>754</v>
      </c>
      <c r="C1501" s="11" t="s">
        <v>1946</v>
      </c>
      <c r="D1501" s="1">
        <f>ROUND(E1501*F1501*1.25,0)</f>
        <v>4</v>
      </c>
      <c r="E1501" s="1">
        <v>0.56000000000000005</v>
      </c>
      <c r="F1501" s="1">
        <v>5</v>
      </c>
      <c r="G1501" s="1"/>
      <c r="H1501" s="1" t="s">
        <v>3174</v>
      </c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</row>
    <row r="1502" spans="1:46" ht="15.75" customHeight="1" x14ac:dyDescent="0.25">
      <c r="A1502" s="21">
        <v>16030112</v>
      </c>
      <c r="B1502" s="11" t="s">
        <v>739</v>
      </c>
      <c r="C1502" s="11" t="s">
        <v>1932</v>
      </c>
      <c r="D1502" s="1">
        <f>ROUND(E1502*F1502,0)</f>
        <v>51</v>
      </c>
      <c r="E1502" s="1">
        <v>0.99</v>
      </c>
      <c r="F1502" s="4">
        <f>5.08*5.08*2</f>
        <v>51.6128</v>
      </c>
      <c r="H1502" s="1" t="s">
        <v>3172</v>
      </c>
      <c r="I1502" s="1" t="s">
        <v>3169</v>
      </c>
    </row>
    <row r="1503" spans="1:46" ht="15.75" customHeight="1" x14ac:dyDescent="0.25">
      <c r="A1503" s="21">
        <v>16030112</v>
      </c>
      <c r="B1503" s="11" t="s">
        <v>735</v>
      </c>
      <c r="C1503" s="11" t="s">
        <v>1928</v>
      </c>
      <c r="D1503" s="1">
        <f>ROUND(E1503*F1503,0)</f>
        <v>16</v>
      </c>
      <c r="E1503" s="1">
        <v>0.99</v>
      </c>
      <c r="F1503" s="4">
        <f>2.54*2.54*2.54</f>
        <v>16.387063999999999</v>
      </c>
      <c r="G1503" s="4"/>
      <c r="H1503" s="1" t="s">
        <v>3172</v>
      </c>
    </row>
    <row r="1504" spans="1:46" ht="15.75" customHeight="1" x14ac:dyDescent="0.25">
      <c r="A1504" s="21">
        <v>16030112</v>
      </c>
      <c r="B1504" s="11" t="s">
        <v>729</v>
      </c>
      <c r="C1504" s="11" t="s">
        <v>1923</v>
      </c>
      <c r="D1504" s="1">
        <f>ROUND(E1504*F1504,0)</f>
        <v>56</v>
      </c>
      <c r="E1504" s="1">
        <v>0.99</v>
      </c>
      <c r="F1504" s="4">
        <f>7.5*7.5*2/2</f>
        <v>56.25</v>
      </c>
      <c r="H1504" s="1" t="s">
        <v>3172</v>
      </c>
      <c r="I1504" s="1" t="s">
        <v>3169</v>
      </c>
    </row>
    <row r="1505" spans="1:10" ht="15.75" customHeight="1" x14ac:dyDescent="0.25">
      <c r="A1505" s="21">
        <v>16030112</v>
      </c>
      <c r="B1505" s="11" t="s">
        <v>745</v>
      </c>
      <c r="C1505" s="11" t="s">
        <v>1937</v>
      </c>
      <c r="D1505" s="1">
        <f>ROUND(E1505*F1505,0)</f>
        <v>16</v>
      </c>
      <c r="E1505" s="1">
        <v>0.99</v>
      </c>
      <c r="F1505" s="4">
        <f>2.54*2.54*2.54</f>
        <v>16.387063999999999</v>
      </c>
      <c r="G1505" s="4"/>
      <c r="H1505" s="1" t="s">
        <v>3172</v>
      </c>
    </row>
    <row r="1506" spans="1:10" ht="15.75" customHeight="1" x14ac:dyDescent="0.25">
      <c r="A1506" s="4">
        <v>16030112</v>
      </c>
      <c r="B1506" s="11" t="s">
        <v>720</v>
      </c>
      <c r="C1506" s="11" t="s">
        <v>24</v>
      </c>
      <c r="D1506" s="1">
        <f>ROUND(E1506*F1506*1.33,0)</f>
        <v>63</v>
      </c>
      <c r="E1506" s="1">
        <v>0.56000000000000005</v>
      </c>
      <c r="F1506" s="1">
        <v>84</v>
      </c>
      <c r="G1506" s="4"/>
      <c r="H1506" s="1" t="s">
        <v>3174</v>
      </c>
      <c r="I1506" s="1" t="s">
        <v>2999</v>
      </c>
    </row>
    <row r="1507" spans="1:10" ht="15.75" customHeight="1" x14ac:dyDescent="0.25">
      <c r="A1507" s="21">
        <v>16030112</v>
      </c>
      <c r="B1507" s="11" t="s">
        <v>731</v>
      </c>
      <c r="C1507" s="11" t="s">
        <v>1924</v>
      </c>
      <c r="D1507" s="1">
        <f>ROUND(E1507*F1507,0)</f>
        <v>111</v>
      </c>
      <c r="E1507" s="1">
        <v>0.99</v>
      </c>
      <c r="F1507" s="4">
        <f>7.5*7.5*2</f>
        <v>112.5</v>
      </c>
      <c r="H1507" s="1" t="s">
        <v>3172</v>
      </c>
      <c r="I1507" s="1" t="s">
        <v>3169</v>
      </c>
    </row>
    <row r="1508" spans="1:10" ht="15.75" customHeight="1" x14ac:dyDescent="0.25">
      <c r="A1508" s="21">
        <v>16030112</v>
      </c>
      <c r="B1508" s="11" t="s">
        <v>754</v>
      </c>
      <c r="C1508" s="11" t="s">
        <v>1947</v>
      </c>
      <c r="D1508" s="1">
        <f>ROUND(E1508*F1508*1.25,0)</f>
        <v>11</v>
      </c>
      <c r="E1508" s="1">
        <v>0.56000000000000005</v>
      </c>
      <c r="F1508" s="1">
        <v>15</v>
      </c>
      <c r="G1508" s="4"/>
      <c r="H1508" s="1" t="s">
        <v>3174</v>
      </c>
      <c r="I1508" s="1" t="s">
        <v>2999</v>
      </c>
    </row>
    <row r="1509" spans="1:10" ht="15.75" customHeight="1" x14ac:dyDescent="0.25">
      <c r="A1509" s="21">
        <v>16030112</v>
      </c>
      <c r="B1509" s="11" t="s">
        <v>720</v>
      </c>
      <c r="C1509" s="11" t="s">
        <v>1914</v>
      </c>
      <c r="D1509" s="1">
        <f>ROUND(E1509*F1509,0)</f>
        <v>28</v>
      </c>
      <c r="E1509" s="1">
        <v>0.99</v>
      </c>
      <c r="F1509" s="4">
        <f>7.5*7.5*2/4</f>
        <v>28.125</v>
      </c>
      <c r="H1509" s="1" t="s">
        <v>3172</v>
      </c>
      <c r="I1509" s="1" t="s">
        <v>3169</v>
      </c>
    </row>
    <row r="1510" spans="1:10" ht="15.75" customHeight="1" x14ac:dyDescent="0.25">
      <c r="A1510" s="21">
        <v>16030113</v>
      </c>
      <c r="B1510" s="11" t="s">
        <v>738</v>
      </c>
      <c r="C1510" s="11" t="s">
        <v>1931</v>
      </c>
      <c r="D1510" s="1">
        <f>ROUND(E1510*F1510,0)</f>
        <v>16</v>
      </c>
      <c r="E1510" s="1">
        <v>0.99</v>
      </c>
      <c r="F1510" s="4">
        <f>2.54*2.54*2.54</f>
        <v>16.387063999999999</v>
      </c>
      <c r="G1510" s="4"/>
      <c r="H1510" s="1" t="s">
        <v>3172</v>
      </c>
    </row>
    <row r="1511" spans="1:10" ht="15.75" customHeight="1" x14ac:dyDescent="0.25">
      <c r="A1511" s="21">
        <v>16030113</v>
      </c>
      <c r="B1511" s="11" t="s">
        <v>741</v>
      </c>
      <c r="C1511" s="11" t="s">
        <v>1934</v>
      </c>
      <c r="D1511" s="1">
        <f>ROUND(E1511*F1511,0)</f>
        <v>51</v>
      </c>
      <c r="E1511" s="1">
        <v>0.99</v>
      </c>
      <c r="F1511" s="4">
        <f>5.08*5.08*2</f>
        <v>51.6128</v>
      </c>
      <c r="H1511" s="1" t="s">
        <v>3172</v>
      </c>
      <c r="I1511" s="1" t="s">
        <v>3169</v>
      </c>
    </row>
    <row r="1512" spans="1:10" ht="15.75" customHeight="1" x14ac:dyDescent="0.25">
      <c r="A1512" s="26">
        <v>16030113</v>
      </c>
      <c r="B1512" s="25" t="s">
        <v>728</v>
      </c>
      <c r="C1512" s="25" t="s">
        <v>15</v>
      </c>
      <c r="D1512" s="4">
        <v>59</v>
      </c>
      <c r="H1512" s="1" t="s">
        <v>3172</v>
      </c>
    </row>
    <row r="1513" spans="1:10" ht="15.75" customHeight="1" x14ac:dyDescent="0.25">
      <c r="A1513" s="4">
        <v>16030113</v>
      </c>
      <c r="B1513" s="11" t="s">
        <v>728</v>
      </c>
      <c r="C1513" s="11" t="s">
        <v>28</v>
      </c>
      <c r="D1513" s="1">
        <f>ROUND(E1513*F1513*1.25,0)</f>
        <v>231</v>
      </c>
      <c r="E1513" s="1">
        <v>0.56000000000000005</v>
      </c>
      <c r="F1513" s="1">
        <v>330</v>
      </c>
      <c r="G1513" s="4"/>
      <c r="H1513" s="1" t="s">
        <v>3174</v>
      </c>
      <c r="J1513" s="1" t="s">
        <v>3132</v>
      </c>
    </row>
    <row r="1514" spans="1:10" ht="15.75" customHeight="1" x14ac:dyDescent="0.25">
      <c r="A1514" s="4">
        <v>16030113</v>
      </c>
      <c r="B1514" s="11" t="s">
        <v>752</v>
      </c>
      <c r="C1514" s="11" t="s">
        <v>1944</v>
      </c>
      <c r="D1514" s="1">
        <f>ROUND(E1514*F1514*1.33,0)</f>
        <v>63</v>
      </c>
      <c r="E1514" s="1">
        <v>0.56000000000000005</v>
      </c>
      <c r="F1514" s="1">
        <v>84</v>
      </c>
      <c r="G1514" s="4"/>
      <c r="H1514" s="1" t="s">
        <v>3174</v>
      </c>
      <c r="I1514" s="1" t="s">
        <v>2999</v>
      </c>
    </row>
    <row r="1515" spans="1:10" ht="15.75" customHeight="1" x14ac:dyDescent="0.25">
      <c r="A1515" s="21">
        <v>16030113</v>
      </c>
      <c r="B1515" s="11" t="s">
        <v>755</v>
      </c>
      <c r="C1515" s="11" t="s">
        <v>1947</v>
      </c>
      <c r="D1515" s="1">
        <f>ROUND(E1515*F1515*1.25,0)</f>
        <v>11</v>
      </c>
      <c r="E1515" s="1">
        <v>0.56000000000000005</v>
      </c>
      <c r="F1515" s="1">
        <v>15</v>
      </c>
      <c r="G1515" s="4"/>
      <c r="H1515" s="1" t="s">
        <v>3174</v>
      </c>
      <c r="I1515" s="1" t="s">
        <v>2999</v>
      </c>
    </row>
    <row r="1516" spans="1:10" ht="15.75" customHeight="1" x14ac:dyDescent="0.25">
      <c r="A1516" s="21">
        <v>16030113</v>
      </c>
      <c r="B1516" s="11" t="s">
        <v>730</v>
      </c>
      <c r="C1516" s="11" t="s">
        <v>1923</v>
      </c>
      <c r="D1516" s="1">
        <f>ROUND(E1516*F1516,0)</f>
        <v>56</v>
      </c>
      <c r="E1516" s="1">
        <v>0.99</v>
      </c>
      <c r="F1516" s="4">
        <f>7.5*7.5*2/2</f>
        <v>56.25</v>
      </c>
      <c r="H1516" s="1" t="s">
        <v>3172</v>
      </c>
      <c r="I1516" s="1" t="s">
        <v>3169</v>
      </c>
    </row>
    <row r="1517" spans="1:10" ht="15.75" customHeight="1" x14ac:dyDescent="0.25">
      <c r="A1517" s="21">
        <v>16030113</v>
      </c>
      <c r="B1517" s="11" t="s">
        <v>728</v>
      </c>
      <c r="C1517" s="11" t="s">
        <v>1922</v>
      </c>
      <c r="D1517" s="1">
        <f>ROUND(E1517*F1517,0)</f>
        <v>28</v>
      </c>
      <c r="E1517" s="1">
        <v>0.99</v>
      </c>
      <c r="F1517" s="4">
        <f>7.5*7.5*2/4</f>
        <v>28.125</v>
      </c>
      <c r="H1517" s="1" t="s">
        <v>3172</v>
      </c>
      <c r="I1517" s="1" t="s">
        <v>3169</v>
      </c>
    </row>
    <row r="1518" spans="1:10" ht="15.75" customHeight="1" x14ac:dyDescent="0.25">
      <c r="A1518" s="21">
        <v>16030113</v>
      </c>
      <c r="B1518" s="11" t="s">
        <v>733</v>
      </c>
      <c r="C1518" s="11" t="s">
        <v>1926</v>
      </c>
      <c r="D1518" s="1">
        <f>ROUND(E1518*F1518,0)</f>
        <v>111</v>
      </c>
      <c r="E1518" s="1">
        <v>0.99</v>
      </c>
      <c r="F1518" s="4">
        <f>7.5*7.5*2</f>
        <v>112.5</v>
      </c>
      <c r="H1518" s="1" t="s">
        <v>3172</v>
      </c>
      <c r="I1518" s="1" t="s">
        <v>3169</v>
      </c>
    </row>
    <row r="1519" spans="1:10" ht="15.75" customHeight="1" x14ac:dyDescent="0.25">
      <c r="A1519" s="21">
        <v>16030201</v>
      </c>
      <c r="B1519" s="11" t="s">
        <v>2656</v>
      </c>
      <c r="C1519" s="11" t="s">
        <v>26</v>
      </c>
      <c r="D1519" s="1">
        <f>ROUND(E1519*F1519*1.25,0)</f>
        <v>11</v>
      </c>
      <c r="E1519" s="1">
        <v>0.56000000000000005</v>
      </c>
      <c r="F1519" s="1">
        <v>15</v>
      </c>
      <c r="G1519" s="4"/>
      <c r="H1519" s="1" t="s">
        <v>3174</v>
      </c>
      <c r="I1519" s="1" t="s">
        <v>2999</v>
      </c>
    </row>
    <row r="1520" spans="1:10" ht="15.75" customHeight="1" x14ac:dyDescent="0.25">
      <c r="A1520" s="21">
        <v>17010002</v>
      </c>
      <c r="B1520" s="11" t="s">
        <v>756</v>
      </c>
      <c r="C1520" s="11" t="s">
        <v>1949</v>
      </c>
      <c r="D1520" s="1">
        <v>15</v>
      </c>
      <c r="F1520" s="1">
        <v>9</v>
      </c>
      <c r="G1520" s="1">
        <v>15</v>
      </c>
      <c r="H1520" s="1" t="s">
        <v>2705</v>
      </c>
    </row>
    <row r="1521" spans="1:46" ht="15.75" customHeight="1" x14ac:dyDescent="0.25">
      <c r="A1521" s="21">
        <v>17010002</v>
      </c>
      <c r="B1521" s="11" t="s">
        <v>756</v>
      </c>
      <c r="C1521" s="11" t="s">
        <v>1948</v>
      </c>
      <c r="D1521" s="1">
        <v>60</v>
      </c>
      <c r="F1521" s="1"/>
      <c r="G1521" s="1">
        <v>60</v>
      </c>
      <c r="H1521" s="1" t="s">
        <v>2705</v>
      </c>
      <c r="I1521" s="1" t="s">
        <v>2702</v>
      </c>
    </row>
    <row r="1522" spans="1:46" ht="15.75" customHeight="1" x14ac:dyDescent="0.25">
      <c r="A1522" s="4">
        <v>17020001</v>
      </c>
      <c r="B1522" s="11" t="s">
        <v>757</v>
      </c>
      <c r="C1522" s="11" t="s">
        <v>1950</v>
      </c>
      <c r="D1522" s="1">
        <f>ROUND(E1522*F1522,0)</f>
        <v>343</v>
      </c>
      <c r="E1522" s="10">
        <v>1.04</v>
      </c>
      <c r="F1522" s="1">
        <v>330</v>
      </c>
    </row>
    <row r="1523" spans="1:46" ht="15.75" customHeight="1" x14ac:dyDescent="0.25">
      <c r="A1523" s="26">
        <v>17020002</v>
      </c>
      <c r="B1523" s="25" t="s">
        <v>3229</v>
      </c>
      <c r="C1523" s="25" t="s">
        <v>28</v>
      </c>
      <c r="D1523" s="21">
        <v>343</v>
      </c>
      <c r="E1523" s="11"/>
      <c r="F1523" s="21"/>
      <c r="G1523" s="11"/>
      <c r="H1523" s="11"/>
      <c r="I1523" s="11"/>
      <c r="J1523" s="11"/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  <c r="Z1523" s="11"/>
      <c r="AA1523" s="11"/>
      <c r="AB1523" s="11"/>
      <c r="AC1523" s="11"/>
      <c r="AD1523" s="11"/>
      <c r="AE1523" s="11"/>
      <c r="AF1523" s="11"/>
      <c r="AG1523" s="11"/>
      <c r="AH1523" s="11"/>
      <c r="AI1523" s="11"/>
      <c r="AJ1523" s="11"/>
      <c r="AK1523" s="11"/>
      <c r="AL1523" s="11"/>
      <c r="AM1523" s="11"/>
      <c r="AN1523" s="11"/>
      <c r="AO1523" s="11"/>
      <c r="AP1523" s="11"/>
      <c r="AQ1523" s="11"/>
      <c r="AR1523" s="11"/>
      <c r="AS1523" s="11"/>
      <c r="AT1523" s="11"/>
    </row>
    <row r="1524" spans="1:46" ht="15.75" customHeight="1" x14ac:dyDescent="0.25">
      <c r="A1524" s="21">
        <v>17020003</v>
      </c>
      <c r="B1524" s="11" t="s">
        <v>3088</v>
      </c>
      <c r="C1524" s="11" t="s">
        <v>26</v>
      </c>
      <c r="D1524" s="1">
        <f t="shared" ref="D1524:D1530" si="41">ROUND(E1524*F1524,0)</f>
        <v>9</v>
      </c>
      <c r="E1524" s="10">
        <v>1.04</v>
      </c>
      <c r="F1524" s="1">
        <v>9</v>
      </c>
      <c r="G1524" s="4"/>
      <c r="H1524" s="1" t="s">
        <v>3132</v>
      </c>
      <c r="I1524" s="1" t="s">
        <v>3132</v>
      </c>
      <c r="J1524" s="1" t="s">
        <v>3132</v>
      </c>
    </row>
    <row r="1525" spans="1:46" ht="15.75" customHeight="1" x14ac:dyDescent="0.25">
      <c r="A1525" s="4">
        <v>17020003</v>
      </c>
      <c r="B1525" s="11" t="s">
        <v>3088</v>
      </c>
      <c r="C1525" s="11" t="s">
        <v>28</v>
      </c>
      <c r="D1525" s="1">
        <f t="shared" si="41"/>
        <v>343</v>
      </c>
      <c r="E1525" s="10">
        <v>1.04</v>
      </c>
      <c r="F1525" s="1">
        <v>330</v>
      </c>
      <c r="G1525" s="4"/>
      <c r="H1525" s="1" t="s">
        <v>3132</v>
      </c>
      <c r="I1525" s="1" t="s">
        <v>3132</v>
      </c>
      <c r="J1525" s="1" t="s">
        <v>3132</v>
      </c>
    </row>
    <row r="1526" spans="1:46" ht="15.75" customHeight="1" x14ac:dyDescent="0.25">
      <c r="A1526" s="4">
        <v>17020004</v>
      </c>
      <c r="B1526" s="11" t="s">
        <v>758</v>
      </c>
      <c r="C1526" s="11" t="s">
        <v>1950</v>
      </c>
      <c r="D1526" s="1">
        <f t="shared" si="41"/>
        <v>370</v>
      </c>
      <c r="E1526" s="10">
        <f>ROUND(265/237,2)</f>
        <v>1.1200000000000001</v>
      </c>
      <c r="F1526" s="1">
        <v>330</v>
      </c>
    </row>
    <row r="1527" spans="1:46" ht="15.75" customHeight="1" x14ac:dyDescent="0.25">
      <c r="A1527" s="1">
        <v>17020005</v>
      </c>
      <c r="B1527" s="11" t="s">
        <v>759</v>
      </c>
      <c r="C1527" s="11" t="s">
        <v>31</v>
      </c>
      <c r="D1527" s="1">
        <f t="shared" si="41"/>
        <v>280</v>
      </c>
      <c r="E1527" s="10">
        <f>ROUND(265/237,2)</f>
        <v>1.1200000000000001</v>
      </c>
      <c r="F1527" s="1">
        <v>250</v>
      </c>
      <c r="H1527" s="1" t="s">
        <v>2665</v>
      </c>
    </row>
    <row r="1528" spans="1:46" ht="15.75" customHeight="1" x14ac:dyDescent="0.25">
      <c r="A1528" s="4">
        <v>17020005</v>
      </c>
      <c r="B1528" s="11" t="s">
        <v>759</v>
      </c>
      <c r="C1528" s="11" t="s">
        <v>2636</v>
      </c>
      <c r="D1528" s="4">
        <f t="shared" si="41"/>
        <v>1</v>
      </c>
      <c r="E1528" s="10">
        <f>ROUND(265/237,2)</f>
        <v>1.1200000000000001</v>
      </c>
      <c r="F1528" s="1">
        <v>1</v>
      </c>
      <c r="H1528" s="1" t="s">
        <v>2665</v>
      </c>
    </row>
    <row r="1529" spans="1:46" ht="15.75" customHeight="1" x14ac:dyDescent="0.25">
      <c r="A1529" s="4">
        <v>17020005</v>
      </c>
      <c r="B1529" s="11" t="s">
        <v>759</v>
      </c>
      <c r="C1529" s="11" t="s">
        <v>1950</v>
      </c>
      <c r="D1529" s="4">
        <f t="shared" si="41"/>
        <v>370</v>
      </c>
      <c r="E1529" s="10">
        <f>ROUND(265/237,2)</f>
        <v>1.1200000000000001</v>
      </c>
      <c r="F1529" s="1">
        <v>330</v>
      </c>
      <c r="H1529" s="1" t="s">
        <v>2665</v>
      </c>
    </row>
    <row r="1530" spans="1:46" ht="15.75" customHeight="1" x14ac:dyDescent="0.25">
      <c r="A1530" s="4">
        <v>17020006</v>
      </c>
      <c r="B1530" s="11" t="s">
        <v>2613</v>
      </c>
      <c r="C1530" s="11" t="s">
        <v>2636</v>
      </c>
      <c r="D1530" s="4">
        <f t="shared" si="41"/>
        <v>1</v>
      </c>
      <c r="E1530" s="1">
        <f>ROUND(10/15,2)</f>
        <v>0.67</v>
      </c>
      <c r="F1530" s="1">
        <v>1</v>
      </c>
      <c r="H1530" s="1" t="s">
        <v>2930</v>
      </c>
    </row>
    <row r="1531" spans="1:46" ht="15.75" customHeight="1" x14ac:dyDescent="0.25">
      <c r="A1531" s="4">
        <v>17020006</v>
      </c>
      <c r="B1531" s="11" t="s">
        <v>2613</v>
      </c>
      <c r="C1531" s="11" t="s">
        <v>0</v>
      </c>
      <c r="D1531" s="1">
        <v>6</v>
      </c>
      <c r="F1531" s="1"/>
      <c r="G1531" s="1">
        <v>6</v>
      </c>
      <c r="H1531" s="1" t="s">
        <v>2930</v>
      </c>
      <c r="I1531" s="1" t="s">
        <v>2960</v>
      </c>
      <c r="J1531" s="1" t="s">
        <v>3132</v>
      </c>
    </row>
    <row r="1532" spans="1:46" ht="15.75" customHeight="1" x14ac:dyDescent="0.25">
      <c r="A1532" s="26">
        <v>17020006</v>
      </c>
      <c r="B1532" s="25" t="s">
        <v>2613</v>
      </c>
      <c r="C1532" s="25" t="s">
        <v>28</v>
      </c>
      <c r="D1532" s="4">
        <v>249</v>
      </c>
      <c r="H1532" s="1" t="s">
        <v>2930</v>
      </c>
    </row>
    <row r="1533" spans="1:46" ht="15.75" customHeight="1" x14ac:dyDescent="0.25">
      <c r="A1533" s="4">
        <v>17020006</v>
      </c>
      <c r="B1533" s="11" t="s">
        <v>2613</v>
      </c>
      <c r="C1533" s="11" t="s">
        <v>24</v>
      </c>
      <c r="D1533" s="4">
        <f>ROUND(E1533*F1533,0)</f>
        <v>56</v>
      </c>
      <c r="E1533" s="1">
        <f>ROUND(10/15,2)</f>
        <v>0.67</v>
      </c>
      <c r="F1533" s="1">
        <v>84</v>
      </c>
      <c r="H1533" s="1" t="s">
        <v>2930</v>
      </c>
    </row>
    <row r="1534" spans="1:46" ht="15.75" customHeight="1" x14ac:dyDescent="0.25">
      <c r="A1534" s="26">
        <v>17020006</v>
      </c>
      <c r="B1534" s="25" t="s">
        <v>2613</v>
      </c>
      <c r="C1534" s="25" t="s">
        <v>30</v>
      </c>
      <c r="D1534" s="4">
        <v>137</v>
      </c>
      <c r="H1534" s="1" t="s">
        <v>2930</v>
      </c>
    </row>
    <row r="1535" spans="1:46" ht="15.75" customHeight="1" x14ac:dyDescent="0.25">
      <c r="A1535" s="4">
        <v>17020006</v>
      </c>
      <c r="B1535" s="11" t="s">
        <v>2613</v>
      </c>
      <c r="C1535" s="11" t="s">
        <v>25</v>
      </c>
      <c r="D1535" s="1">
        <v>6</v>
      </c>
      <c r="F1535" s="1"/>
      <c r="G1535" s="1">
        <v>6</v>
      </c>
      <c r="H1535" s="1" t="s">
        <v>2930</v>
      </c>
    </row>
    <row r="1536" spans="1:46" ht="15.75" customHeight="1" x14ac:dyDescent="0.25">
      <c r="A1536" s="21">
        <v>17020006</v>
      </c>
      <c r="B1536" s="11" t="s">
        <v>2664</v>
      </c>
      <c r="C1536" s="11" t="s">
        <v>26</v>
      </c>
      <c r="D1536" s="1">
        <v>11</v>
      </c>
      <c r="F1536" s="1">
        <v>8</v>
      </c>
      <c r="G1536" s="1">
        <v>11</v>
      </c>
      <c r="H1536" s="1" t="s">
        <v>2930</v>
      </c>
    </row>
    <row r="1537" spans="1:10" ht="15.75" customHeight="1" x14ac:dyDescent="0.25">
      <c r="A1537" s="21">
        <v>17030001</v>
      </c>
      <c r="B1537" s="11" t="s">
        <v>760</v>
      </c>
      <c r="C1537" s="11" t="s">
        <v>13</v>
      </c>
      <c r="D1537" s="1">
        <v>45</v>
      </c>
      <c r="F1537" s="1"/>
      <c r="H1537" s="1" t="s">
        <v>2792</v>
      </c>
      <c r="I1537" s="1" t="s">
        <v>2706</v>
      </c>
    </row>
    <row r="1538" spans="1:10" ht="15.75" customHeight="1" x14ac:dyDescent="0.25">
      <c r="A1538" s="21">
        <v>17030001</v>
      </c>
      <c r="B1538" s="11" t="s">
        <v>760</v>
      </c>
      <c r="C1538" s="11" t="s">
        <v>1951</v>
      </c>
      <c r="D1538" s="1">
        <f>ROUND(E1538*F1538,0)</f>
        <v>12</v>
      </c>
      <c r="E1538" s="10">
        <v>0.56000000000000005</v>
      </c>
      <c r="F1538" s="1">
        <v>21</v>
      </c>
      <c r="H1538" s="1" t="s">
        <v>2792</v>
      </c>
    </row>
    <row r="1539" spans="1:10" ht="15.75" customHeight="1" x14ac:dyDescent="0.25">
      <c r="A1539" s="4">
        <v>17030001</v>
      </c>
      <c r="B1539" s="11" t="s">
        <v>763</v>
      </c>
      <c r="C1539" s="11" t="s">
        <v>1955</v>
      </c>
      <c r="D1539" s="1">
        <f>ROUND(E1539*F1539,0)</f>
        <v>45</v>
      </c>
      <c r="E1539" s="10">
        <f>66/118</f>
        <v>0.55932203389830504</v>
      </c>
      <c r="F1539" s="1">
        <v>80</v>
      </c>
      <c r="H1539" s="1" t="s">
        <v>2792</v>
      </c>
    </row>
    <row r="1540" spans="1:10" ht="15.75" customHeight="1" x14ac:dyDescent="0.25">
      <c r="A1540" s="26">
        <v>17030002</v>
      </c>
      <c r="B1540" s="25" t="s">
        <v>761</v>
      </c>
      <c r="C1540" s="25" t="s">
        <v>26</v>
      </c>
      <c r="D1540" s="4">
        <v>12</v>
      </c>
      <c r="H1540" s="1" t="s">
        <v>2792</v>
      </c>
    </row>
    <row r="1541" spans="1:10" ht="15.75" customHeight="1" x14ac:dyDescent="0.25">
      <c r="A1541" s="21">
        <v>17030002</v>
      </c>
      <c r="B1541" s="11" t="s">
        <v>761</v>
      </c>
      <c r="C1541" s="11" t="s">
        <v>12</v>
      </c>
      <c r="D1541" s="1">
        <f t="shared" ref="D1541:D1550" si="42">ROUND(E1541*F1541,0)</f>
        <v>17</v>
      </c>
      <c r="E1541" s="1">
        <v>0.56000000000000005</v>
      </c>
      <c r="F1541" s="1">
        <v>30</v>
      </c>
      <c r="G1541" s="4"/>
      <c r="H1541" s="1" t="s">
        <v>2792</v>
      </c>
      <c r="I1541" s="1" t="s">
        <v>2701</v>
      </c>
      <c r="J1541" s="1" t="s">
        <v>3132</v>
      </c>
    </row>
    <row r="1542" spans="1:10" ht="15.75" customHeight="1" x14ac:dyDescent="0.25">
      <c r="A1542" s="21">
        <v>17030002</v>
      </c>
      <c r="B1542" s="11" t="s">
        <v>761</v>
      </c>
      <c r="C1542" s="11" t="s">
        <v>13</v>
      </c>
      <c r="D1542" s="1">
        <f t="shared" si="42"/>
        <v>17</v>
      </c>
      <c r="E1542" s="1">
        <v>0.56000000000000005</v>
      </c>
      <c r="F1542" s="1">
        <v>30</v>
      </c>
      <c r="G1542" s="4"/>
      <c r="H1542" s="1" t="s">
        <v>2792</v>
      </c>
      <c r="I1542" s="1" t="s">
        <v>2702</v>
      </c>
      <c r="J1542" s="1" t="s">
        <v>3132</v>
      </c>
    </row>
    <row r="1543" spans="1:10" ht="15.75" customHeight="1" x14ac:dyDescent="0.25">
      <c r="A1543" s="4">
        <v>17030002</v>
      </c>
      <c r="B1543" s="11" t="s">
        <v>761</v>
      </c>
      <c r="C1543" s="11" t="s">
        <v>1952</v>
      </c>
      <c r="D1543" s="4">
        <f t="shared" si="42"/>
        <v>73</v>
      </c>
      <c r="E1543" s="10">
        <v>0.56000000000000005</v>
      </c>
      <c r="F1543" s="1">
        <v>130</v>
      </c>
      <c r="H1543" s="1" t="s">
        <v>2792</v>
      </c>
    </row>
    <row r="1544" spans="1:10" ht="15.75" customHeight="1" x14ac:dyDescent="0.25">
      <c r="A1544" s="1">
        <v>17030002</v>
      </c>
      <c r="B1544" s="11" t="s">
        <v>761</v>
      </c>
      <c r="C1544" s="11" t="s">
        <v>30</v>
      </c>
      <c r="D1544" s="1">
        <f t="shared" si="42"/>
        <v>99</v>
      </c>
      <c r="E1544" s="10">
        <v>0.56000000000000005</v>
      </c>
      <c r="F1544" s="1">
        <v>177.5</v>
      </c>
      <c r="H1544" s="1" t="s">
        <v>2793</v>
      </c>
    </row>
    <row r="1545" spans="1:10" ht="15.75" customHeight="1" x14ac:dyDescent="0.25">
      <c r="A1545" s="4">
        <v>17030002</v>
      </c>
      <c r="B1545" s="11" t="s">
        <v>761</v>
      </c>
      <c r="C1545" s="11" t="s">
        <v>31</v>
      </c>
      <c r="D1545" s="1">
        <f t="shared" si="42"/>
        <v>140</v>
      </c>
      <c r="E1545" s="1">
        <v>0.56000000000000005</v>
      </c>
      <c r="F1545" s="1">
        <v>250</v>
      </c>
      <c r="H1545" s="1" t="s">
        <v>2792</v>
      </c>
    </row>
    <row r="1546" spans="1:10" ht="15.75" customHeight="1" x14ac:dyDescent="0.25">
      <c r="A1546" s="4">
        <v>17030002</v>
      </c>
      <c r="B1546" s="11" t="s">
        <v>766</v>
      </c>
      <c r="C1546" s="11" t="s">
        <v>1957</v>
      </c>
      <c r="D1546" s="1">
        <f t="shared" si="42"/>
        <v>45</v>
      </c>
      <c r="E1546" s="10">
        <v>0.56000000000000005</v>
      </c>
      <c r="F1546" s="1">
        <v>80</v>
      </c>
      <c r="H1546" s="5" t="s">
        <v>2792</v>
      </c>
    </row>
    <row r="1547" spans="1:10" ht="15.75" customHeight="1" x14ac:dyDescent="0.25">
      <c r="A1547" s="1">
        <v>17030003</v>
      </c>
      <c r="B1547" s="11" t="s">
        <v>762</v>
      </c>
      <c r="C1547" s="11" t="s">
        <v>30</v>
      </c>
      <c r="D1547" s="1">
        <f t="shared" si="42"/>
        <v>99</v>
      </c>
      <c r="E1547" s="10">
        <v>0.56000000000000005</v>
      </c>
      <c r="F1547" s="1">
        <v>177.5</v>
      </c>
      <c r="H1547" s="1" t="s">
        <v>2794</v>
      </c>
    </row>
    <row r="1548" spans="1:10" ht="15.75" customHeight="1" x14ac:dyDescent="0.25">
      <c r="A1548" s="4">
        <v>17030003</v>
      </c>
      <c r="B1548" s="11" t="s">
        <v>762</v>
      </c>
      <c r="C1548" s="11" t="s">
        <v>1954</v>
      </c>
      <c r="D1548" s="1">
        <f t="shared" si="42"/>
        <v>185</v>
      </c>
      <c r="E1548" s="10">
        <v>0.56000000000000005</v>
      </c>
      <c r="F1548" s="1">
        <v>330</v>
      </c>
      <c r="H1548" s="5" t="s">
        <v>2794</v>
      </c>
    </row>
    <row r="1549" spans="1:10" ht="15.75" customHeight="1" x14ac:dyDescent="0.25">
      <c r="A1549" s="21">
        <v>17030003</v>
      </c>
      <c r="B1549" s="11" t="s">
        <v>762</v>
      </c>
      <c r="C1549" s="11" t="s">
        <v>1953</v>
      </c>
      <c r="D1549" s="1">
        <f t="shared" si="42"/>
        <v>12</v>
      </c>
      <c r="E1549" s="10">
        <v>0.56000000000000005</v>
      </c>
      <c r="F1549" s="1">
        <v>21</v>
      </c>
      <c r="H1549" s="1" t="s">
        <v>2794</v>
      </c>
    </row>
    <row r="1550" spans="1:10" ht="15.75" customHeight="1" x14ac:dyDescent="0.25">
      <c r="A1550" s="4">
        <v>17030003</v>
      </c>
      <c r="B1550" s="11" t="s">
        <v>765</v>
      </c>
      <c r="C1550" s="11" t="s">
        <v>1957</v>
      </c>
      <c r="D1550" s="1">
        <f t="shared" si="42"/>
        <v>45</v>
      </c>
      <c r="E1550" s="10">
        <v>0.56000000000000005</v>
      </c>
      <c r="F1550" s="1">
        <v>80</v>
      </c>
      <c r="H1550" s="5" t="s">
        <v>2794</v>
      </c>
    </row>
    <row r="1551" spans="1:10" ht="15.75" customHeight="1" x14ac:dyDescent="0.25">
      <c r="A1551" s="4">
        <v>17030004</v>
      </c>
      <c r="B1551" s="11" t="s">
        <v>764</v>
      </c>
      <c r="C1551" s="11" t="s">
        <v>1956</v>
      </c>
      <c r="D1551" s="1">
        <f>G1551</f>
        <v>95</v>
      </c>
      <c r="E1551" s="10"/>
      <c r="F1551" s="1"/>
      <c r="G1551" s="1">
        <v>95</v>
      </c>
      <c r="H1551" s="1" t="s">
        <v>2707</v>
      </c>
    </row>
    <row r="1552" spans="1:10" ht="15.75" customHeight="1" x14ac:dyDescent="0.25">
      <c r="A1552" s="1">
        <v>17040001</v>
      </c>
      <c r="B1552" s="11" t="s">
        <v>767</v>
      </c>
      <c r="C1552" s="11" t="s">
        <v>30</v>
      </c>
      <c r="D1552" s="4">
        <f>ROUND(E1552*F1552,0)</f>
        <v>183</v>
      </c>
      <c r="E1552" s="10">
        <f>244/236.5</f>
        <v>1.0317124735729386</v>
      </c>
      <c r="F1552" s="1">
        <v>177.5</v>
      </c>
      <c r="H1552" s="5" t="s">
        <v>2485</v>
      </c>
      <c r="I1552" s="1" t="s">
        <v>2484</v>
      </c>
    </row>
    <row r="1553" spans="1:46" ht="15.75" customHeight="1" x14ac:dyDescent="0.25">
      <c r="A1553" s="4">
        <v>17040001</v>
      </c>
      <c r="B1553" s="11" t="s">
        <v>767</v>
      </c>
      <c r="C1553" s="11" t="s">
        <v>1958</v>
      </c>
      <c r="D1553" s="4">
        <f>ROUND(E1553*F1553,0)</f>
        <v>340</v>
      </c>
      <c r="E1553" s="10">
        <f>244/236.5</f>
        <v>1.0317124735729386</v>
      </c>
      <c r="F1553" s="1">
        <v>330</v>
      </c>
      <c r="H1553" s="1" t="s">
        <v>2485</v>
      </c>
      <c r="I1553" s="1" t="s">
        <v>2484</v>
      </c>
    </row>
    <row r="1554" spans="1:46" ht="15.75" customHeight="1" x14ac:dyDescent="0.25">
      <c r="A1554" s="4">
        <v>17040002</v>
      </c>
      <c r="B1554" s="11" t="s">
        <v>768</v>
      </c>
      <c r="C1554" s="11" t="s">
        <v>1958</v>
      </c>
      <c r="D1554" s="4">
        <f>ROUND(E1554*F1554,0)</f>
        <v>340</v>
      </c>
      <c r="E1554" s="10">
        <f>244/236.5</f>
        <v>1.0317124735729386</v>
      </c>
      <c r="F1554" s="1">
        <v>330</v>
      </c>
      <c r="H1554" s="1" t="s">
        <v>2483</v>
      </c>
      <c r="I1554" s="1" t="s">
        <v>2484</v>
      </c>
    </row>
    <row r="1555" spans="1:46" ht="15.75" customHeight="1" x14ac:dyDescent="0.25">
      <c r="A1555" s="26">
        <v>17040003</v>
      </c>
      <c r="B1555" s="25" t="s">
        <v>769</v>
      </c>
      <c r="C1555" s="25" t="s">
        <v>27</v>
      </c>
      <c r="D1555" s="4">
        <v>137</v>
      </c>
      <c r="H1555" s="1" t="s">
        <v>2486</v>
      </c>
    </row>
    <row r="1556" spans="1:46" ht="15.75" customHeight="1" x14ac:dyDescent="0.25">
      <c r="A1556" s="26">
        <v>17040003</v>
      </c>
      <c r="B1556" s="25" t="s">
        <v>769</v>
      </c>
      <c r="C1556" s="25" t="s">
        <v>30</v>
      </c>
      <c r="D1556" s="4">
        <v>187</v>
      </c>
      <c r="H1556" s="1" t="s">
        <v>2486</v>
      </c>
    </row>
    <row r="1557" spans="1:46" ht="15.75" customHeight="1" x14ac:dyDescent="0.25">
      <c r="A1557" s="4">
        <v>17040003</v>
      </c>
      <c r="B1557" s="11" t="s">
        <v>769</v>
      </c>
      <c r="C1557" s="11" t="s">
        <v>1958</v>
      </c>
      <c r="D1557" s="4">
        <f>ROUND(E1557*F1557,0)</f>
        <v>343</v>
      </c>
      <c r="E1557" s="10">
        <f>246/236.5</f>
        <v>1.040169133192389</v>
      </c>
      <c r="F1557" s="1">
        <v>330</v>
      </c>
      <c r="H1557" s="5" t="s">
        <v>2486</v>
      </c>
      <c r="I1557" s="1" t="s">
        <v>2487</v>
      </c>
    </row>
    <row r="1558" spans="1:46" ht="15.75" customHeight="1" x14ac:dyDescent="0.25">
      <c r="A1558" s="4">
        <v>17040005</v>
      </c>
      <c r="B1558" s="11" t="s">
        <v>3089</v>
      </c>
      <c r="C1558" s="11" t="s">
        <v>28</v>
      </c>
      <c r="D1558" s="4">
        <f>ROUND(E1558*F1558,0)</f>
        <v>343</v>
      </c>
      <c r="E1558" s="10">
        <f>246/236.5</f>
        <v>1.040169133192389</v>
      </c>
      <c r="F1558" s="1">
        <v>330</v>
      </c>
      <c r="G1558" s="4"/>
      <c r="H1558" s="5" t="s">
        <v>2486</v>
      </c>
      <c r="I1558" s="1" t="s">
        <v>3132</v>
      </c>
      <c r="J1558" s="1" t="s">
        <v>3132</v>
      </c>
    </row>
    <row r="1559" spans="1:46" ht="15.75" customHeight="1" x14ac:dyDescent="0.25">
      <c r="A1559" s="1">
        <v>17040006</v>
      </c>
      <c r="B1559" s="11" t="s">
        <v>2401</v>
      </c>
      <c r="C1559" s="11" t="s">
        <v>28</v>
      </c>
      <c r="D1559" s="4">
        <f>ROUND(E1559*F1559,0)</f>
        <v>340</v>
      </c>
      <c r="E1559" s="10">
        <f>244/236.5</f>
        <v>1.0317124735729386</v>
      </c>
      <c r="F1559" s="1">
        <v>330</v>
      </c>
      <c r="H1559" s="5" t="s">
        <v>2488</v>
      </c>
      <c r="I1559" s="1" t="s">
        <v>2484</v>
      </c>
    </row>
    <row r="1560" spans="1:46" ht="15.75" customHeight="1" x14ac:dyDescent="0.25">
      <c r="A1560" s="4">
        <v>17040007</v>
      </c>
      <c r="B1560" s="11" t="s">
        <v>770</v>
      </c>
      <c r="C1560" s="11" t="s">
        <v>2636</v>
      </c>
      <c r="D1560" s="4">
        <f>ROUND(E1560*F1560,0)</f>
        <v>1</v>
      </c>
      <c r="E1560" s="10">
        <f>249/236.5</f>
        <v>1.0528541226215644</v>
      </c>
      <c r="F1560" s="1">
        <v>1</v>
      </c>
      <c r="H1560" s="1" t="s">
        <v>2464</v>
      </c>
      <c r="I1560" s="1" t="s">
        <v>2445</v>
      </c>
    </row>
    <row r="1561" spans="1:46" ht="15.75" customHeight="1" x14ac:dyDescent="0.25">
      <c r="A1561" s="26">
        <v>17040007</v>
      </c>
      <c r="B1561" s="25" t="s">
        <v>770</v>
      </c>
      <c r="C1561" s="25" t="s">
        <v>11</v>
      </c>
      <c r="D1561" s="4">
        <v>8</v>
      </c>
      <c r="H1561" s="1" t="s">
        <v>2464</v>
      </c>
    </row>
    <row r="1562" spans="1:46" ht="15.75" customHeight="1" x14ac:dyDescent="0.25">
      <c r="A1562" s="4">
        <v>17040007</v>
      </c>
      <c r="B1562" s="11" t="s">
        <v>770</v>
      </c>
      <c r="C1562" s="11" t="s">
        <v>27</v>
      </c>
      <c r="D1562" s="4">
        <f t="shared" ref="D1562:D1568" si="43">ROUND(E1562*F1562,0)</f>
        <v>137</v>
      </c>
      <c r="E1562" s="10">
        <f t="shared" ref="E1562:E1568" si="44">249/236.5</f>
        <v>1.0528541226215644</v>
      </c>
      <c r="F1562" s="1">
        <v>130</v>
      </c>
      <c r="H1562" s="1" t="s">
        <v>2464</v>
      </c>
    </row>
    <row r="1563" spans="1:46" s="11" customFormat="1" ht="15.75" customHeight="1" x14ac:dyDescent="0.25">
      <c r="A1563" s="4">
        <v>17040007</v>
      </c>
      <c r="B1563" s="11" t="s">
        <v>772</v>
      </c>
      <c r="C1563" s="11" t="s">
        <v>1959</v>
      </c>
      <c r="D1563" s="4">
        <f t="shared" si="43"/>
        <v>187</v>
      </c>
      <c r="E1563" s="10">
        <f t="shared" si="44"/>
        <v>1.0528541226215644</v>
      </c>
      <c r="F1563" s="1">
        <v>177.5</v>
      </c>
      <c r="G1563" s="1"/>
      <c r="H1563" s="1" t="s">
        <v>2464</v>
      </c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</row>
    <row r="1564" spans="1:46" ht="15.75" customHeight="1" x14ac:dyDescent="0.25">
      <c r="A1564" s="4">
        <v>17040007</v>
      </c>
      <c r="B1564" s="11" t="s">
        <v>772</v>
      </c>
      <c r="C1564" s="11" t="s">
        <v>1960</v>
      </c>
      <c r="D1564" s="4">
        <f t="shared" si="43"/>
        <v>263</v>
      </c>
      <c r="E1564" s="10">
        <f t="shared" si="44"/>
        <v>1.0528541226215644</v>
      </c>
      <c r="F1564" s="1">
        <v>250</v>
      </c>
      <c r="H1564" s="1" t="s">
        <v>2464</v>
      </c>
    </row>
    <row r="1565" spans="1:46" ht="15.75" customHeight="1" x14ac:dyDescent="0.25">
      <c r="A1565" s="4">
        <v>17040007</v>
      </c>
      <c r="B1565" s="11" t="s">
        <v>770</v>
      </c>
      <c r="C1565" s="11" t="s">
        <v>25</v>
      </c>
      <c r="D1565" s="4">
        <f t="shared" si="43"/>
        <v>5</v>
      </c>
      <c r="E1565" s="10">
        <f t="shared" si="44"/>
        <v>1.0528541226215644</v>
      </c>
      <c r="F1565" s="1">
        <v>5</v>
      </c>
      <c r="H1565" s="1" t="s">
        <v>2464</v>
      </c>
    </row>
    <row r="1566" spans="1:46" ht="15.75" customHeight="1" x14ac:dyDescent="0.25">
      <c r="A1566" s="21">
        <v>17040007</v>
      </c>
      <c r="B1566" s="11" t="s">
        <v>770</v>
      </c>
      <c r="C1566" s="11" t="s">
        <v>26</v>
      </c>
      <c r="D1566" s="4">
        <f t="shared" si="43"/>
        <v>8</v>
      </c>
      <c r="E1566" s="10">
        <f t="shared" si="44"/>
        <v>1.0528541226215644</v>
      </c>
      <c r="F1566" s="1">
        <v>8</v>
      </c>
      <c r="H1566" s="1" t="s">
        <v>2464</v>
      </c>
    </row>
    <row r="1567" spans="1:46" ht="15.75" customHeight="1" x14ac:dyDescent="0.25">
      <c r="A1567" s="4">
        <v>17040007</v>
      </c>
      <c r="B1567" s="11" t="s">
        <v>770</v>
      </c>
      <c r="C1567" s="11" t="s">
        <v>24</v>
      </c>
      <c r="D1567" s="4">
        <f t="shared" si="43"/>
        <v>88</v>
      </c>
      <c r="E1567" s="10">
        <f t="shared" si="44"/>
        <v>1.0528541226215644</v>
      </c>
      <c r="F1567" s="1">
        <v>84</v>
      </c>
      <c r="H1567" s="1" t="s">
        <v>2464</v>
      </c>
      <c r="I1567" s="1" t="s">
        <v>2669</v>
      </c>
    </row>
    <row r="1568" spans="1:46" ht="15.75" customHeight="1" x14ac:dyDescent="0.25">
      <c r="A1568" s="4">
        <v>17040007</v>
      </c>
      <c r="B1568" s="11" t="s">
        <v>770</v>
      </c>
      <c r="C1568" s="11" t="s">
        <v>1958</v>
      </c>
      <c r="D1568" s="4">
        <f t="shared" si="43"/>
        <v>347</v>
      </c>
      <c r="E1568" s="10">
        <f t="shared" si="44"/>
        <v>1.0528541226215644</v>
      </c>
      <c r="F1568" s="1">
        <v>330</v>
      </c>
      <c r="H1568" s="1" t="s">
        <v>2464</v>
      </c>
      <c r="I1568" s="1" t="s">
        <v>2465</v>
      </c>
    </row>
    <row r="1569" spans="1:9" ht="15.75" customHeight="1" x14ac:dyDescent="0.25">
      <c r="A1569" s="26">
        <v>17040008</v>
      </c>
      <c r="B1569" s="25" t="s">
        <v>771</v>
      </c>
      <c r="C1569" s="25" t="s">
        <v>25</v>
      </c>
      <c r="D1569" s="4">
        <v>5</v>
      </c>
      <c r="H1569" s="1" t="s">
        <v>2464</v>
      </c>
    </row>
    <row r="1570" spans="1:9" ht="15.75" customHeight="1" x14ac:dyDescent="0.25">
      <c r="A1570" s="4">
        <v>17040008</v>
      </c>
      <c r="B1570" s="11" t="s">
        <v>773</v>
      </c>
      <c r="C1570" s="11" t="s">
        <v>1961</v>
      </c>
      <c r="D1570" s="1">
        <f>ROUND(E1570*F1570,0)</f>
        <v>183</v>
      </c>
      <c r="E1570" s="10">
        <f>244/236.5</f>
        <v>1.0317124735729386</v>
      </c>
      <c r="F1570" s="1">
        <v>177.5</v>
      </c>
      <c r="H1570" s="1" t="s">
        <v>2464</v>
      </c>
    </row>
    <row r="1571" spans="1:9" ht="15.75" customHeight="1" x14ac:dyDescent="0.25">
      <c r="A1571" s="4">
        <v>17040008</v>
      </c>
      <c r="B1571" s="11" t="s">
        <v>771</v>
      </c>
      <c r="C1571" s="11" t="s">
        <v>1958</v>
      </c>
      <c r="D1571" s="1">
        <f>ROUND(E1571*F1571,0)</f>
        <v>340</v>
      </c>
      <c r="E1571" s="10">
        <f>244/236.5</f>
        <v>1.0317124735729386</v>
      </c>
      <c r="F1571" s="1">
        <v>330</v>
      </c>
      <c r="H1571" s="1" t="s">
        <v>2464</v>
      </c>
    </row>
    <row r="1572" spans="1:9" ht="15.75" customHeight="1" x14ac:dyDescent="0.25">
      <c r="A1572" s="21">
        <v>17040008</v>
      </c>
      <c r="B1572" s="11" t="s">
        <v>771</v>
      </c>
      <c r="C1572" s="11" t="s">
        <v>26</v>
      </c>
      <c r="D1572" s="4">
        <v>15</v>
      </c>
    </row>
    <row r="1573" spans="1:9" ht="15.75" customHeight="1" x14ac:dyDescent="0.25">
      <c r="A1573" s="4">
        <v>17040009</v>
      </c>
      <c r="B1573" s="11" t="s">
        <v>2611</v>
      </c>
      <c r="C1573" s="11" t="s">
        <v>25</v>
      </c>
      <c r="D1573" s="1">
        <v>3</v>
      </c>
      <c r="E1573" s="14">
        <f>ROUND(128/237,2)</f>
        <v>0.54</v>
      </c>
      <c r="F1573" s="1">
        <v>5</v>
      </c>
      <c r="H1573" s="1" t="s">
        <v>2927</v>
      </c>
    </row>
    <row r="1574" spans="1:9" ht="15.75" customHeight="1" x14ac:dyDescent="0.25">
      <c r="A1574" s="4">
        <v>17040009</v>
      </c>
      <c r="B1574" s="11" t="s">
        <v>2611</v>
      </c>
      <c r="C1574" s="11" t="s">
        <v>28</v>
      </c>
      <c r="D1574" s="1">
        <f>ROUND(E1574*F1574,0)</f>
        <v>178</v>
      </c>
      <c r="E1574" s="14">
        <v>0.54</v>
      </c>
      <c r="F1574" s="1">
        <v>330</v>
      </c>
      <c r="H1574" s="1" t="s">
        <v>2927</v>
      </c>
    </row>
    <row r="1575" spans="1:9" ht="15.75" customHeight="1" x14ac:dyDescent="0.25">
      <c r="A1575" s="4">
        <v>17040009</v>
      </c>
      <c r="B1575" s="11" t="s">
        <v>2611</v>
      </c>
      <c r="C1575" s="11" t="s">
        <v>2636</v>
      </c>
      <c r="D1575" s="1">
        <v>1</v>
      </c>
      <c r="E1575" s="14">
        <f>ROUND(128/237,2)</f>
        <v>0.54</v>
      </c>
      <c r="F1575" s="1">
        <v>1</v>
      </c>
      <c r="H1575" s="1" t="s">
        <v>2927</v>
      </c>
    </row>
    <row r="1576" spans="1:9" ht="15.75" customHeight="1" x14ac:dyDescent="0.25">
      <c r="A1576" s="4">
        <v>17040009</v>
      </c>
      <c r="B1576" s="11" t="s">
        <v>2611</v>
      </c>
      <c r="C1576" s="11" t="s">
        <v>30</v>
      </c>
      <c r="D1576" s="1">
        <f>ROUND(E1576*F1576,0)</f>
        <v>96</v>
      </c>
      <c r="E1576" s="14">
        <v>0.54</v>
      </c>
      <c r="F1576" s="1">
        <v>177.5</v>
      </c>
      <c r="H1576" s="1" t="s">
        <v>2927</v>
      </c>
    </row>
    <row r="1577" spans="1:9" ht="15.75" customHeight="1" x14ac:dyDescent="0.25">
      <c r="A1577" s="4">
        <v>17040009</v>
      </c>
      <c r="B1577" s="11" t="s">
        <v>2611</v>
      </c>
      <c r="C1577" s="11" t="s">
        <v>24</v>
      </c>
      <c r="D1577" s="1">
        <f>ROUND(E1577*F1577,0)</f>
        <v>45</v>
      </c>
      <c r="E1577" s="14">
        <v>0.54</v>
      </c>
      <c r="F1577" s="1">
        <v>84</v>
      </c>
      <c r="H1577" s="1" t="s">
        <v>2927</v>
      </c>
    </row>
    <row r="1578" spans="1:9" ht="15.75" customHeight="1" x14ac:dyDescent="0.25">
      <c r="A1578" s="21">
        <v>17040009</v>
      </c>
      <c r="B1578" s="11" t="s">
        <v>2611</v>
      </c>
      <c r="C1578" s="11" t="s">
        <v>26</v>
      </c>
      <c r="D1578" s="4">
        <f>ROUND(E1578*F1578*2,0)</f>
        <v>9</v>
      </c>
      <c r="E1578" s="1">
        <f>ROUND(128/237,2)</f>
        <v>0.54</v>
      </c>
      <c r="F1578" s="1">
        <v>8</v>
      </c>
      <c r="H1578" s="1" t="s">
        <v>2927</v>
      </c>
      <c r="I1578" s="1" t="s">
        <v>3162</v>
      </c>
    </row>
    <row r="1579" spans="1:9" ht="15.75" customHeight="1" x14ac:dyDescent="0.25">
      <c r="A1579" s="4">
        <v>17040010</v>
      </c>
      <c r="B1579" s="11" t="s">
        <v>2624</v>
      </c>
      <c r="C1579" s="11" t="s">
        <v>31</v>
      </c>
      <c r="D1579" s="1">
        <f>ROUND(E1579*F1579,0)</f>
        <v>319</v>
      </c>
      <c r="E1579" s="1">
        <f>306/240</f>
        <v>1.2749999999999999</v>
      </c>
      <c r="F1579" s="1">
        <v>250</v>
      </c>
      <c r="H1579" s="1" t="s">
        <v>3163</v>
      </c>
    </row>
    <row r="1580" spans="1:9" ht="15.75" customHeight="1" x14ac:dyDescent="0.25">
      <c r="A1580" s="26">
        <v>17040010</v>
      </c>
      <c r="B1580" s="25" t="s">
        <v>2624</v>
      </c>
      <c r="C1580" s="25" t="s">
        <v>28</v>
      </c>
      <c r="D1580" s="4">
        <v>442</v>
      </c>
      <c r="H1580" s="1" t="s">
        <v>3163</v>
      </c>
    </row>
    <row r="1581" spans="1:9" ht="15.75" customHeight="1" x14ac:dyDescent="0.25">
      <c r="A1581" s="4">
        <v>17040010</v>
      </c>
      <c r="B1581" s="11" t="s">
        <v>2624</v>
      </c>
      <c r="C1581" s="11" t="s">
        <v>24</v>
      </c>
      <c r="D1581" s="1">
        <f>ROUND(E1581*F1581,0)</f>
        <v>107</v>
      </c>
      <c r="E1581" s="1">
        <f>306/240</f>
        <v>1.2749999999999999</v>
      </c>
      <c r="F1581" s="1">
        <v>84</v>
      </c>
      <c r="H1581" s="1" t="s">
        <v>3163</v>
      </c>
    </row>
    <row r="1582" spans="1:9" ht="15.75" customHeight="1" x14ac:dyDescent="0.25">
      <c r="A1582" s="26">
        <v>17040010</v>
      </c>
      <c r="B1582" s="25" t="s">
        <v>2624</v>
      </c>
      <c r="C1582" s="25" t="s">
        <v>30</v>
      </c>
      <c r="D1582" s="4">
        <v>243</v>
      </c>
      <c r="H1582" s="1" t="s">
        <v>3163</v>
      </c>
    </row>
    <row r="1583" spans="1:9" ht="15.75" customHeight="1" x14ac:dyDescent="0.25">
      <c r="A1583" s="4">
        <v>17040010</v>
      </c>
      <c r="B1583" s="11" t="s">
        <v>2624</v>
      </c>
      <c r="C1583" s="11" t="s">
        <v>25</v>
      </c>
      <c r="D1583" s="1">
        <f>ROUND(E1583*F1583,0)</f>
        <v>6</v>
      </c>
      <c r="E1583" s="1">
        <f>306/240</f>
        <v>1.2749999999999999</v>
      </c>
      <c r="F1583" s="1">
        <v>5</v>
      </c>
      <c r="H1583" s="1" t="s">
        <v>3163</v>
      </c>
    </row>
    <row r="1584" spans="1:9" ht="15.75" customHeight="1" x14ac:dyDescent="0.25">
      <c r="A1584" s="21">
        <v>17040010</v>
      </c>
      <c r="B1584" s="11" t="s">
        <v>2624</v>
      </c>
      <c r="C1584" s="11" t="s">
        <v>26</v>
      </c>
      <c r="D1584" s="1">
        <f>ROUND(E1584*F1584,0)</f>
        <v>10</v>
      </c>
      <c r="E1584" s="1">
        <f>306/240</f>
        <v>1.2749999999999999</v>
      </c>
      <c r="F1584" s="1">
        <v>8</v>
      </c>
      <c r="H1584" s="1" t="s">
        <v>3163</v>
      </c>
    </row>
    <row r="1585" spans="1:46" ht="15.75" customHeight="1" x14ac:dyDescent="0.25">
      <c r="A1585" s="4">
        <v>17050001</v>
      </c>
      <c r="B1585" s="11" t="s">
        <v>774</v>
      </c>
      <c r="C1585" s="11" t="s">
        <v>2636</v>
      </c>
      <c r="D1585" s="1">
        <v>1</v>
      </c>
      <c r="F1585" s="1"/>
      <c r="H1585" s="1" t="s">
        <v>2464</v>
      </c>
      <c r="I1585" s="1" t="s">
        <v>2445</v>
      </c>
    </row>
    <row r="1586" spans="1:46" ht="15.75" customHeight="1" x14ac:dyDescent="0.25">
      <c r="A1586" s="1">
        <v>17050001</v>
      </c>
      <c r="B1586" s="11" t="s">
        <v>774</v>
      </c>
      <c r="C1586" s="11" t="s">
        <v>31</v>
      </c>
      <c r="D1586" s="1">
        <f>ROUND(E1586*F1586,0)</f>
        <v>263</v>
      </c>
      <c r="E1586" s="10">
        <f>249/236.5</f>
        <v>1.0528541226215644</v>
      </c>
      <c r="F1586" s="1">
        <v>250</v>
      </c>
      <c r="H1586" s="1" t="s">
        <v>2464</v>
      </c>
    </row>
    <row r="1587" spans="1:46" s="11" customFormat="1" ht="15.75" customHeight="1" x14ac:dyDescent="0.25">
      <c r="A1587" s="16">
        <v>17050001</v>
      </c>
      <c r="B1587" s="11" t="s">
        <v>774</v>
      </c>
      <c r="C1587" s="11" t="s">
        <v>28</v>
      </c>
      <c r="D1587" s="1">
        <f>ROUND(E1587*F1587,0)</f>
        <v>347</v>
      </c>
      <c r="E1587" s="10">
        <f>249/236.5</f>
        <v>1.0528541226215644</v>
      </c>
      <c r="F1587" s="1">
        <v>330</v>
      </c>
      <c r="G1587" s="4"/>
      <c r="H1587" s="1" t="s">
        <v>2464</v>
      </c>
      <c r="I1587" s="1" t="s">
        <v>3132</v>
      </c>
      <c r="J1587" s="1" t="s">
        <v>3132</v>
      </c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</row>
    <row r="1588" spans="1:46" s="11" customFormat="1" ht="15.75" customHeight="1" x14ac:dyDescent="0.25">
      <c r="A1588" s="24">
        <v>17050001</v>
      </c>
      <c r="B1588" s="25" t="s">
        <v>774</v>
      </c>
      <c r="C1588" s="25" t="s">
        <v>24</v>
      </c>
      <c r="D1588" s="21">
        <v>84</v>
      </c>
      <c r="F1588" s="21"/>
    </row>
    <row r="1589" spans="1:46" s="11" customFormat="1" ht="15.75" customHeight="1" x14ac:dyDescent="0.25">
      <c r="A1589" s="16">
        <v>17050001</v>
      </c>
      <c r="B1589" s="11" t="s">
        <v>2474</v>
      </c>
      <c r="C1589" s="11" t="s">
        <v>1962</v>
      </c>
      <c r="D1589" s="4">
        <f t="shared" ref="D1589:D1608" si="45">ROUND(E1589*F1589,0)</f>
        <v>8</v>
      </c>
      <c r="E1589" s="10">
        <f>249/236.5</f>
        <v>1.0528541226215644</v>
      </c>
      <c r="F1589" s="1">
        <v>8</v>
      </c>
      <c r="G1589" s="1"/>
      <c r="H1589" s="1" t="s">
        <v>2464</v>
      </c>
      <c r="I1589" s="1" t="s">
        <v>2465</v>
      </c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</row>
    <row r="1590" spans="1:46" s="11" customFormat="1" ht="15.75" customHeight="1" x14ac:dyDescent="0.25">
      <c r="A1590" s="16">
        <v>17050002</v>
      </c>
      <c r="B1590" s="11" t="s">
        <v>775</v>
      </c>
      <c r="C1590" s="11" t="s">
        <v>1963</v>
      </c>
      <c r="D1590" s="4">
        <f t="shared" si="45"/>
        <v>347</v>
      </c>
      <c r="E1590" s="10">
        <f>249/236.5</f>
        <v>1.0528541226215644</v>
      </c>
      <c r="F1590" s="1">
        <v>330</v>
      </c>
      <c r="G1590" s="1"/>
      <c r="H1590" s="1" t="s">
        <v>2464</v>
      </c>
      <c r="I1590" s="1" t="s">
        <v>2465</v>
      </c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</row>
    <row r="1591" spans="1:46" s="11" customFormat="1" ht="15.75" customHeight="1" x14ac:dyDescent="0.25">
      <c r="A1591" s="16">
        <v>17050003</v>
      </c>
      <c r="B1591" s="11" t="s">
        <v>776</v>
      </c>
      <c r="C1591" s="11" t="s">
        <v>1963</v>
      </c>
      <c r="D1591" s="4">
        <f t="shared" si="45"/>
        <v>347</v>
      </c>
      <c r="E1591" s="10">
        <f>249/236.5</f>
        <v>1.0528541226215644</v>
      </c>
      <c r="F1591" s="1">
        <v>330</v>
      </c>
      <c r="G1591" s="1"/>
      <c r="H1591" s="1" t="s">
        <v>2464</v>
      </c>
      <c r="I1591" s="1" t="s">
        <v>2465</v>
      </c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</row>
    <row r="1592" spans="1:46" s="11" customFormat="1" ht="15.75" customHeight="1" x14ac:dyDescent="0.25">
      <c r="A1592" s="3">
        <v>17050007</v>
      </c>
      <c r="B1592" s="11" t="s">
        <v>780</v>
      </c>
      <c r="C1592" s="11" t="s">
        <v>1965</v>
      </c>
      <c r="D1592" s="4">
        <f t="shared" si="45"/>
        <v>79</v>
      </c>
      <c r="E1592" s="10">
        <f>150/(5.3*30)</f>
        <v>0.94339622641509435</v>
      </c>
      <c r="F1592" s="1">
        <v>84</v>
      </c>
      <c r="G1592" s="1">
        <v>80</v>
      </c>
      <c r="H1592" s="1" t="s">
        <v>2661</v>
      </c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</row>
    <row r="1593" spans="1:46" ht="15.75" customHeight="1" x14ac:dyDescent="0.25">
      <c r="A1593" s="16">
        <v>17050008</v>
      </c>
      <c r="B1593" s="11" t="s">
        <v>778</v>
      </c>
      <c r="C1593" s="11" t="s">
        <v>1964</v>
      </c>
      <c r="D1593" s="4">
        <f t="shared" si="45"/>
        <v>8</v>
      </c>
      <c r="E1593" s="10">
        <f>150/(5.3*30)</f>
        <v>0.94339622641509435</v>
      </c>
      <c r="F1593" s="1">
        <v>8</v>
      </c>
      <c r="H1593" s="1" t="s">
        <v>2661</v>
      </c>
    </row>
    <row r="1594" spans="1:46" ht="15.75" customHeight="1" x14ac:dyDescent="0.25">
      <c r="A1594" s="3">
        <v>17050008</v>
      </c>
      <c r="B1594" s="11" t="s">
        <v>779</v>
      </c>
      <c r="C1594" s="11" t="s">
        <v>1965</v>
      </c>
      <c r="D1594" s="4">
        <f t="shared" si="45"/>
        <v>79</v>
      </c>
      <c r="E1594" s="10">
        <f>150/(5.3*30)</f>
        <v>0.94339622641509435</v>
      </c>
      <c r="F1594" s="1">
        <v>84</v>
      </c>
      <c r="G1594" s="1">
        <v>80</v>
      </c>
      <c r="H1594" s="1" t="s">
        <v>2661</v>
      </c>
      <c r="I1594" s="1" t="s">
        <v>2662</v>
      </c>
    </row>
    <row r="1595" spans="1:46" ht="15.75" customHeight="1" x14ac:dyDescent="0.25">
      <c r="A1595" s="16">
        <v>17050009</v>
      </c>
      <c r="B1595" s="11" t="s">
        <v>777</v>
      </c>
      <c r="C1595" s="11" t="s">
        <v>1964</v>
      </c>
      <c r="D1595" s="4">
        <f t="shared" si="45"/>
        <v>8</v>
      </c>
      <c r="E1595" s="10">
        <f>150/(5.3*30)</f>
        <v>0.94339622641509435</v>
      </c>
      <c r="F1595" s="1">
        <v>8</v>
      </c>
      <c r="H1595" s="1" t="s">
        <v>2661</v>
      </c>
    </row>
    <row r="1596" spans="1:46" ht="15.75" customHeight="1" x14ac:dyDescent="0.25">
      <c r="A1596" s="3">
        <v>17050009</v>
      </c>
      <c r="B1596" s="11" t="s">
        <v>781</v>
      </c>
      <c r="C1596" s="11" t="s">
        <v>1965</v>
      </c>
      <c r="D1596" s="4">
        <f t="shared" si="45"/>
        <v>79</v>
      </c>
      <c r="E1596" s="10">
        <f>150/(5.3*30)</f>
        <v>0.94339622641509435</v>
      </c>
      <c r="F1596" s="1">
        <v>84</v>
      </c>
      <c r="G1596" s="1">
        <v>80</v>
      </c>
      <c r="H1596" s="1" t="s">
        <v>2661</v>
      </c>
    </row>
    <row r="1597" spans="1:46" ht="15.75" customHeight="1" x14ac:dyDescent="0.25">
      <c r="A1597" s="3">
        <v>18010001</v>
      </c>
      <c r="B1597" s="11" t="s">
        <v>782</v>
      </c>
      <c r="C1597" s="11" t="s">
        <v>24</v>
      </c>
      <c r="D1597" s="4">
        <f t="shared" si="45"/>
        <v>88</v>
      </c>
      <c r="E1597" s="1">
        <v>1.05</v>
      </c>
      <c r="F1597" s="1">
        <v>84</v>
      </c>
      <c r="H1597" s="1" t="s">
        <v>2708</v>
      </c>
      <c r="I1597" s="1" t="s">
        <v>2696</v>
      </c>
    </row>
    <row r="1598" spans="1:46" ht="15.75" customHeight="1" x14ac:dyDescent="0.25">
      <c r="A1598" s="16">
        <v>18010001</v>
      </c>
      <c r="B1598" s="11" t="s">
        <v>782</v>
      </c>
      <c r="C1598" s="11" t="s">
        <v>13</v>
      </c>
      <c r="D1598" s="4">
        <f t="shared" si="45"/>
        <v>189</v>
      </c>
      <c r="E1598" s="1">
        <v>1.05</v>
      </c>
      <c r="F1598" s="1">
        <v>180</v>
      </c>
      <c r="H1598" s="1" t="s">
        <v>2708</v>
      </c>
      <c r="I1598" s="1" t="s">
        <v>2696</v>
      </c>
    </row>
    <row r="1599" spans="1:46" ht="15.75" customHeight="1" x14ac:dyDescent="0.25">
      <c r="A1599" s="3">
        <v>18010001</v>
      </c>
      <c r="B1599" s="11" t="s">
        <v>782</v>
      </c>
      <c r="C1599" s="11" t="s">
        <v>1966</v>
      </c>
      <c r="D1599" s="4">
        <f t="shared" si="45"/>
        <v>137</v>
      </c>
      <c r="E1599" s="1">
        <v>1.05</v>
      </c>
      <c r="F1599" s="1">
        <v>130</v>
      </c>
      <c r="H1599" s="1" t="s">
        <v>2708</v>
      </c>
      <c r="I1599" s="1" t="s">
        <v>2696</v>
      </c>
    </row>
    <row r="1600" spans="1:46" ht="15.75" customHeight="1" x14ac:dyDescent="0.25">
      <c r="A1600" s="16">
        <v>18010002</v>
      </c>
      <c r="B1600" s="11" t="s">
        <v>783</v>
      </c>
      <c r="C1600" s="11" t="s">
        <v>13</v>
      </c>
      <c r="D1600" s="4">
        <f t="shared" si="45"/>
        <v>189</v>
      </c>
      <c r="E1600" s="1">
        <v>1.05</v>
      </c>
      <c r="F1600" s="1">
        <v>180</v>
      </c>
      <c r="H1600" s="1" t="s">
        <v>2708</v>
      </c>
      <c r="I1600" s="1" t="s">
        <v>2696</v>
      </c>
    </row>
    <row r="1601" spans="1:46" ht="15.75" customHeight="1" x14ac:dyDescent="0.25">
      <c r="A1601" s="3">
        <v>18010002</v>
      </c>
      <c r="B1601" s="11" t="s">
        <v>783</v>
      </c>
      <c r="C1601" s="11" t="s">
        <v>1966</v>
      </c>
      <c r="D1601" s="4">
        <f t="shared" si="45"/>
        <v>137</v>
      </c>
      <c r="E1601" s="1">
        <v>1.05</v>
      </c>
      <c r="F1601" s="1">
        <v>130</v>
      </c>
      <c r="H1601" s="1" t="s">
        <v>2708</v>
      </c>
      <c r="I1601" s="1" t="s">
        <v>2696</v>
      </c>
    </row>
    <row r="1602" spans="1:46" ht="15.75" customHeight="1" x14ac:dyDescent="0.25">
      <c r="A1602" s="3">
        <v>18020001</v>
      </c>
      <c r="B1602" s="11" t="s">
        <v>784</v>
      </c>
      <c r="C1602" s="11" t="s">
        <v>24</v>
      </c>
      <c r="D1602" s="4">
        <f t="shared" si="45"/>
        <v>112</v>
      </c>
      <c r="E1602" s="10">
        <v>1.33</v>
      </c>
      <c r="F1602" s="1">
        <v>84</v>
      </c>
      <c r="H1602" s="1" t="s">
        <v>2795</v>
      </c>
    </row>
    <row r="1603" spans="1:46" ht="15.75" customHeight="1" x14ac:dyDescent="0.25">
      <c r="A1603" s="3">
        <v>18020001</v>
      </c>
      <c r="B1603" s="11" t="s">
        <v>784</v>
      </c>
      <c r="C1603" s="11" t="s">
        <v>1966</v>
      </c>
      <c r="D1603" s="4">
        <f t="shared" si="45"/>
        <v>173</v>
      </c>
      <c r="E1603" s="10">
        <v>1.3333333333333333</v>
      </c>
      <c r="F1603" s="1">
        <v>130</v>
      </c>
      <c r="H1603" s="1" t="s">
        <v>2795</v>
      </c>
    </row>
    <row r="1604" spans="1:46" ht="15.75" customHeight="1" x14ac:dyDescent="0.25">
      <c r="A1604" s="20">
        <v>18020002</v>
      </c>
      <c r="B1604" s="11" t="s">
        <v>785</v>
      </c>
      <c r="C1604" s="11" t="s">
        <v>26</v>
      </c>
      <c r="D1604" s="4">
        <f t="shared" si="45"/>
        <v>11</v>
      </c>
      <c r="E1604" s="10">
        <v>1.3333333333333333</v>
      </c>
      <c r="F1604" s="1">
        <v>8</v>
      </c>
      <c r="H1604" s="1" t="s">
        <v>2795</v>
      </c>
    </row>
    <row r="1605" spans="1:46" ht="15.75" customHeight="1" x14ac:dyDescent="0.25">
      <c r="A1605" s="3">
        <v>18020002</v>
      </c>
      <c r="B1605" s="11" t="s">
        <v>785</v>
      </c>
      <c r="C1605" s="11" t="s">
        <v>24</v>
      </c>
      <c r="D1605" s="4">
        <f t="shared" si="45"/>
        <v>112</v>
      </c>
      <c r="E1605" s="10">
        <v>1.3333333333333333</v>
      </c>
      <c r="F1605" s="1">
        <v>84</v>
      </c>
      <c r="G1605" s="4"/>
      <c r="H1605" s="1" t="s">
        <v>2795</v>
      </c>
      <c r="I1605" s="1" t="s">
        <v>3132</v>
      </c>
      <c r="J1605" s="1" t="s">
        <v>3132</v>
      </c>
    </row>
    <row r="1606" spans="1:46" ht="15.75" customHeight="1" x14ac:dyDescent="0.25">
      <c r="A1606" s="3">
        <v>18020002</v>
      </c>
      <c r="B1606" s="11" t="s">
        <v>785</v>
      </c>
      <c r="C1606" s="11" t="s">
        <v>1966</v>
      </c>
      <c r="D1606" s="4">
        <f t="shared" si="45"/>
        <v>173</v>
      </c>
      <c r="E1606" s="10">
        <v>1.3333333333333333</v>
      </c>
      <c r="F1606" s="1">
        <v>130</v>
      </c>
      <c r="H1606" s="1" t="s">
        <v>2795</v>
      </c>
      <c r="I1606" s="1" t="s">
        <v>2668</v>
      </c>
    </row>
    <row r="1607" spans="1:46" ht="15.75" customHeight="1" x14ac:dyDescent="0.25">
      <c r="A1607" s="3">
        <v>18020003</v>
      </c>
      <c r="B1607" s="11" t="s">
        <v>2655</v>
      </c>
      <c r="C1607" s="11" t="s">
        <v>27</v>
      </c>
      <c r="D1607" s="4">
        <f t="shared" si="45"/>
        <v>173</v>
      </c>
      <c r="E1607" s="1">
        <v>1.33</v>
      </c>
      <c r="F1607" s="1">
        <v>130</v>
      </c>
      <c r="H1607" s="1" t="s">
        <v>2795</v>
      </c>
    </row>
    <row r="1608" spans="1:46" ht="15.75" customHeight="1" x14ac:dyDescent="0.25">
      <c r="A1608" s="3">
        <v>18030101</v>
      </c>
      <c r="B1608" s="11" t="s">
        <v>786</v>
      </c>
      <c r="C1608" s="11" t="s">
        <v>1966</v>
      </c>
      <c r="D1608" s="4">
        <f t="shared" si="45"/>
        <v>107</v>
      </c>
      <c r="E1608" s="10">
        <f>195/236.5</f>
        <v>0.82452431289640593</v>
      </c>
      <c r="F1608" s="1">
        <v>130</v>
      </c>
      <c r="H1608" s="1" t="s">
        <v>2450</v>
      </c>
    </row>
    <row r="1609" spans="1:46" ht="15.75" customHeight="1" x14ac:dyDescent="0.25">
      <c r="A1609" s="24">
        <v>18030102</v>
      </c>
      <c r="B1609" s="25" t="s">
        <v>787</v>
      </c>
      <c r="C1609" s="25" t="s">
        <v>26</v>
      </c>
      <c r="D1609" s="21">
        <v>6</v>
      </c>
      <c r="E1609" s="11"/>
      <c r="F1609" s="21"/>
      <c r="G1609" s="11"/>
      <c r="H1609" s="11"/>
      <c r="I1609" s="11"/>
      <c r="J1609" s="11"/>
      <c r="K1609" s="11"/>
      <c r="L1609" s="11"/>
      <c r="M1609" s="11"/>
      <c r="N1609" s="11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  <c r="Z1609" s="11"/>
      <c r="AA1609" s="11"/>
      <c r="AB1609" s="11"/>
      <c r="AC1609" s="11"/>
      <c r="AD1609" s="11"/>
      <c r="AE1609" s="11"/>
      <c r="AF1609" s="11"/>
      <c r="AG1609" s="11"/>
      <c r="AH1609" s="11"/>
      <c r="AI1609" s="11"/>
      <c r="AJ1609" s="11"/>
      <c r="AK1609" s="11"/>
      <c r="AL1609" s="11"/>
      <c r="AM1609" s="11"/>
      <c r="AN1609" s="11"/>
      <c r="AO1609" s="11"/>
      <c r="AP1609" s="11"/>
      <c r="AQ1609" s="11"/>
      <c r="AR1609" s="11"/>
      <c r="AS1609" s="11"/>
      <c r="AT1609" s="11"/>
    </row>
    <row r="1610" spans="1:46" ht="15.75" customHeight="1" x14ac:dyDescent="0.25">
      <c r="A1610" s="3">
        <v>18030102</v>
      </c>
      <c r="B1610" s="11" t="s">
        <v>787</v>
      </c>
      <c r="C1610" s="11" t="s">
        <v>24</v>
      </c>
      <c r="D1610" s="4">
        <f>ROUND(E1610*F1610,0)</f>
        <v>69</v>
      </c>
      <c r="E1610" s="10">
        <f>195/236.5</f>
        <v>0.82452431289640593</v>
      </c>
      <c r="F1610" s="1">
        <v>84</v>
      </c>
      <c r="H1610" s="1" t="s">
        <v>2450</v>
      </c>
    </row>
    <row r="1611" spans="1:46" ht="15.75" customHeight="1" x14ac:dyDescent="0.25">
      <c r="A1611" s="3">
        <v>18030102</v>
      </c>
      <c r="B1611" s="11" t="s">
        <v>787</v>
      </c>
      <c r="C1611" s="11" t="s">
        <v>1966</v>
      </c>
      <c r="D1611" s="4">
        <f>ROUND(E1611*F1611,0)</f>
        <v>107</v>
      </c>
      <c r="E1611" s="10">
        <f>195/236.5</f>
        <v>0.82452431289640593</v>
      </c>
      <c r="F1611" s="1">
        <v>130</v>
      </c>
      <c r="H1611" s="1" t="s">
        <v>2450</v>
      </c>
    </row>
    <row r="1612" spans="1:46" ht="15.75" customHeight="1" x14ac:dyDescent="0.25">
      <c r="A1612" s="16">
        <v>18030103</v>
      </c>
      <c r="B1612" s="11" t="s">
        <v>789</v>
      </c>
      <c r="C1612" s="11" t="s">
        <v>24</v>
      </c>
      <c r="D1612" s="21">
        <f>ROUND(E1612*F1612,0)</f>
        <v>69</v>
      </c>
      <c r="E1612" s="22">
        <f>195/236.5</f>
        <v>0.82452431289640593</v>
      </c>
      <c r="F1612" s="11">
        <v>84</v>
      </c>
      <c r="G1612" s="11"/>
      <c r="H1612" s="11" t="s">
        <v>2450</v>
      </c>
      <c r="I1612" s="11"/>
      <c r="J1612" s="11"/>
      <c r="K1612" s="11"/>
      <c r="L1612" s="11"/>
      <c r="M1612" s="11"/>
      <c r="N1612" s="11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  <c r="Y1612" s="11"/>
      <c r="Z1612" s="11"/>
      <c r="AA1612" s="11"/>
      <c r="AB1612" s="11"/>
      <c r="AC1612" s="11"/>
      <c r="AD1612" s="11"/>
      <c r="AE1612" s="11"/>
      <c r="AF1612" s="11"/>
      <c r="AG1612" s="11"/>
      <c r="AH1612" s="11"/>
      <c r="AI1612" s="11"/>
      <c r="AJ1612" s="11"/>
      <c r="AK1612" s="11"/>
      <c r="AL1612" s="11"/>
      <c r="AM1612" s="11"/>
      <c r="AN1612" s="11"/>
      <c r="AO1612" s="11"/>
      <c r="AP1612" s="11"/>
      <c r="AQ1612" s="11"/>
      <c r="AR1612" s="11"/>
      <c r="AS1612" s="11"/>
      <c r="AT1612" s="11"/>
    </row>
    <row r="1613" spans="1:46" ht="15.75" customHeight="1" x14ac:dyDescent="0.25">
      <c r="A1613" s="16">
        <v>18030103</v>
      </c>
      <c r="B1613" s="11" t="s">
        <v>789</v>
      </c>
      <c r="C1613" s="11" t="s">
        <v>1966</v>
      </c>
      <c r="D1613" s="21">
        <f>ROUND(E1613*F1613,0)</f>
        <v>107</v>
      </c>
      <c r="E1613" s="22">
        <f>195/236.5</f>
        <v>0.82452431289640593</v>
      </c>
      <c r="F1613" s="11">
        <v>130</v>
      </c>
      <c r="G1613" s="11"/>
      <c r="H1613" s="11" t="s">
        <v>2450</v>
      </c>
      <c r="I1613" s="11"/>
      <c r="J1613" s="11"/>
      <c r="K1613" s="11"/>
      <c r="L1613" s="11"/>
      <c r="M1613" s="11"/>
      <c r="N1613" s="11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  <c r="Z1613" s="11"/>
      <c r="AA1613" s="11"/>
      <c r="AB1613" s="11"/>
      <c r="AC1613" s="11"/>
      <c r="AD1613" s="11"/>
      <c r="AE1613" s="11"/>
      <c r="AF1613" s="11"/>
      <c r="AG1613" s="11"/>
      <c r="AH1613" s="11"/>
      <c r="AI1613" s="11"/>
      <c r="AJ1613" s="11"/>
      <c r="AK1613" s="11"/>
      <c r="AL1613" s="11"/>
      <c r="AM1613" s="11"/>
      <c r="AN1613" s="11"/>
      <c r="AO1613" s="11"/>
      <c r="AP1613" s="11"/>
      <c r="AQ1613" s="11"/>
      <c r="AR1613" s="11"/>
      <c r="AS1613" s="11"/>
      <c r="AT1613" s="11"/>
    </row>
    <row r="1614" spans="1:46" s="11" customFormat="1" ht="15.75" customHeight="1" x14ac:dyDescent="0.25">
      <c r="A1614" s="3">
        <v>18030104</v>
      </c>
      <c r="B1614" s="11" t="s">
        <v>788</v>
      </c>
      <c r="C1614" s="11" t="s">
        <v>25</v>
      </c>
      <c r="D1614" s="4">
        <f>ROUND(E1614*F1614,0)</f>
        <v>4</v>
      </c>
      <c r="E1614" s="10">
        <f>195/236.5</f>
        <v>0.82452431289640593</v>
      </c>
      <c r="F1614" s="1">
        <v>5</v>
      </c>
      <c r="G1614" s="1"/>
      <c r="H1614" s="1" t="s">
        <v>2450</v>
      </c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</row>
    <row r="1615" spans="1:46" ht="15.75" customHeight="1" x14ac:dyDescent="0.25">
      <c r="A1615" s="24">
        <v>18030104</v>
      </c>
      <c r="B1615" s="25" t="s">
        <v>788</v>
      </c>
      <c r="C1615" s="25" t="s">
        <v>26</v>
      </c>
      <c r="D1615" s="21">
        <v>6</v>
      </c>
      <c r="E1615" s="11"/>
      <c r="F1615" s="21"/>
      <c r="G1615" s="11"/>
      <c r="H1615" s="11"/>
      <c r="I1615" s="11"/>
      <c r="J1615" s="11"/>
      <c r="K1615" s="11"/>
      <c r="L1615" s="11"/>
      <c r="M1615" s="11"/>
      <c r="N1615" s="11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  <c r="Y1615" s="11"/>
      <c r="Z1615" s="11"/>
      <c r="AA1615" s="11"/>
      <c r="AB1615" s="11"/>
      <c r="AC1615" s="11"/>
      <c r="AD1615" s="11"/>
      <c r="AE1615" s="11"/>
      <c r="AF1615" s="11"/>
      <c r="AG1615" s="11"/>
      <c r="AH1615" s="11"/>
      <c r="AI1615" s="11"/>
      <c r="AJ1615" s="11"/>
      <c r="AK1615" s="11"/>
      <c r="AL1615" s="11"/>
      <c r="AM1615" s="11"/>
      <c r="AN1615" s="11"/>
      <c r="AO1615" s="11"/>
      <c r="AP1615" s="11"/>
      <c r="AQ1615" s="11"/>
      <c r="AR1615" s="11"/>
      <c r="AS1615" s="11"/>
      <c r="AT1615" s="11"/>
    </row>
    <row r="1616" spans="1:46" ht="15.75" customHeight="1" x14ac:dyDescent="0.25">
      <c r="A1616" s="16">
        <v>18030104</v>
      </c>
      <c r="B1616" s="11" t="s">
        <v>788</v>
      </c>
      <c r="C1616" s="11" t="s">
        <v>24</v>
      </c>
      <c r="D1616" s="21">
        <f t="shared" ref="D1616:D1630" si="46">ROUND(E1616*F1616,0)</f>
        <v>69</v>
      </c>
      <c r="E1616" s="22">
        <f>195/236.5</f>
        <v>0.82452431289640593</v>
      </c>
      <c r="F1616" s="11">
        <v>84</v>
      </c>
      <c r="G1616" s="11"/>
      <c r="H1616" s="11" t="s">
        <v>2450</v>
      </c>
      <c r="I1616" s="11"/>
      <c r="J1616" s="11"/>
      <c r="K1616" s="11"/>
      <c r="L1616" s="11"/>
      <c r="M1616" s="11"/>
      <c r="N1616" s="11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  <c r="Y1616" s="11"/>
      <c r="Z1616" s="11"/>
      <c r="AA1616" s="11"/>
      <c r="AB1616" s="11"/>
      <c r="AC1616" s="11"/>
      <c r="AD1616" s="11"/>
      <c r="AE1616" s="11"/>
      <c r="AF1616" s="11"/>
      <c r="AG1616" s="11"/>
      <c r="AH1616" s="11"/>
      <c r="AI1616" s="11"/>
      <c r="AJ1616" s="11"/>
      <c r="AK1616" s="11"/>
      <c r="AL1616" s="11"/>
      <c r="AM1616" s="11"/>
      <c r="AN1616" s="11"/>
      <c r="AO1616" s="11"/>
      <c r="AP1616" s="11"/>
      <c r="AQ1616" s="11"/>
      <c r="AR1616" s="11"/>
      <c r="AS1616" s="11"/>
      <c r="AT1616" s="11"/>
    </row>
    <row r="1617" spans="1:46" ht="15.75" customHeight="1" x14ac:dyDescent="0.25">
      <c r="A1617" s="16">
        <v>18030104</v>
      </c>
      <c r="B1617" s="11" t="s">
        <v>788</v>
      </c>
      <c r="C1617" s="11" t="s">
        <v>1966</v>
      </c>
      <c r="D1617" s="21">
        <f t="shared" si="46"/>
        <v>107</v>
      </c>
      <c r="E1617" s="22">
        <f>195/236.5</f>
        <v>0.82452431289640593</v>
      </c>
      <c r="F1617" s="11">
        <v>130</v>
      </c>
      <c r="G1617" s="11"/>
      <c r="H1617" s="11" t="s">
        <v>2450</v>
      </c>
      <c r="I1617" s="11"/>
      <c r="J1617" s="11"/>
      <c r="K1617" s="11"/>
      <c r="L1617" s="11"/>
      <c r="M1617" s="11"/>
      <c r="N1617" s="11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  <c r="Y1617" s="11"/>
      <c r="Z1617" s="11"/>
      <c r="AA1617" s="11"/>
      <c r="AB1617" s="11"/>
      <c r="AC1617" s="11"/>
      <c r="AD1617" s="11"/>
      <c r="AE1617" s="11"/>
      <c r="AF1617" s="11"/>
      <c r="AG1617" s="11"/>
      <c r="AH1617" s="11"/>
      <c r="AI1617" s="11"/>
      <c r="AJ1617" s="11"/>
      <c r="AK1617" s="11"/>
      <c r="AL1617" s="11"/>
      <c r="AM1617" s="11"/>
      <c r="AN1617" s="11"/>
      <c r="AO1617" s="11"/>
      <c r="AP1617" s="11"/>
      <c r="AQ1617" s="11"/>
      <c r="AR1617" s="11"/>
      <c r="AS1617" s="11"/>
      <c r="AT1617" s="11"/>
    </row>
    <row r="1618" spans="1:46" ht="15.75" customHeight="1" x14ac:dyDescent="0.25">
      <c r="A1618" s="3">
        <v>18030105</v>
      </c>
      <c r="B1618" s="11" t="s">
        <v>790</v>
      </c>
      <c r="C1618" s="11" t="s">
        <v>1966</v>
      </c>
      <c r="D1618" s="4">
        <f t="shared" si="46"/>
        <v>107</v>
      </c>
      <c r="E1618" s="10">
        <f>195/236.5</f>
        <v>0.82452431289640593</v>
      </c>
      <c r="F1618" s="1">
        <v>130</v>
      </c>
      <c r="H1618" s="1" t="s">
        <v>2450</v>
      </c>
    </row>
    <row r="1619" spans="1:46" ht="15.75" customHeight="1" x14ac:dyDescent="0.25">
      <c r="A1619" s="3">
        <v>18030201</v>
      </c>
      <c r="B1619" s="11" t="s">
        <v>791</v>
      </c>
      <c r="C1619" s="11" t="s">
        <v>24</v>
      </c>
      <c r="D1619" s="4">
        <f t="shared" si="46"/>
        <v>66</v>
      </c>
      <c r="E1619" s="10">
        <f t="shared" ref="E1619:E1630" si="47">186/236.5</f>
        <v>0.78646934460887952</v>
      </c>
      <c r="F1619" s="1">
        <v>84</v>
      </c>
      <c r="H1619" s="1" t="s">
        <v>2448</v>
      </c>
    </row>
    <row r="1620" spans="1:46" ht="15.75" customHeight="1" x14ac:dyDescent="0.25">
      <c r="A1620" s="3">
        <v>18030201</v>
      </c>
      <c r="B1620" s="11" t="s">
        <v>791</v>
      </c>
      <c r="C1620" s="11" t="s">
        <v>1966</v>
      </c>
      <c r="D1620" s="4">
        <f t="shared" si="46"/>
        <v>102</v>
      </c>
      <c r="E1620" s="10">
        <f t="shared" si="47"/>
        <v>0.78646934460887952</v>
      </c>
      <c r="F1620" s="1">
        <v>130</v>
      </c>
      <c r="H1620" s="1" t="s">
        <v>2448</v>
      </c>
    </row>
    <row r="1621" spans="1:46" ht="15.75" customHeight="1" x14ac:dyDescent="0.25">
      <c r="A1621" s="3">
        <v>18030202</v>
      </c>
      <c r="B1621" s="11" t="s">
        <v>794</v>
      </c>
      <c r="C1621" s="11" t="s">
        <v>24</v>
      </c>
      <c r="D1621" s="4">
        <f t="shared" si="46"/>
        <v>66</v>
      </c>
      <c r="E1621" s="10">
        <f t="shared" si="47"/>
        <v>0.78646934460887952</v>
      </c>
      <c r="F1621" s="1">
        <v>84</v>
      </c>
      <c r="H1621" s="1" t="s">
        <v>2448</v>
      </c>
    </row>
    <row r="1622" spans="1:46" ht="15.75" customHeight="1" x14ac:dyDescent="0.25">
      <c r="A1622" s="3">
        <v>18030202</v>
      </c>
      <c r="B1622" s="11" t="s">
        <v>794</v>
      </c>
      <c r="C1622" s="11" t="s">
        <v>1968</v>
      </c>
      <c r="D1622" s="4">
        <f t="shared" si="46"/>
        <v>102</v>
      </c>
      <c r="E1622" s="10">
        <f t="shared" si="47"/>
        <v>0.78646934460887952</v>
      </c>
      <c r="F1622" s="1">
        <v>130</v>
      </c>
      <c r="H1622" s="1" t="s">
        <v>2448</v>
      </c>
    </row>
    <row r="1623" spans="1:46" ht="15.75" customHeight="1" x14ac:dyDescent="0.25">
      <c r="A1623" s="16">
        <v>18030203</v>
      </c>
      <c r="B1623" s="11" t="s">
        <v>793</v>
      </c>
      <c r="C1623" s="11" t="s">
        <v>26</v>
      </c>
      <c r="D1623" s="4">
        <f t="shared" si="46"/>
        <v>6</v>
      </c>
      <c r="E1623" s="10">
        <f t="shared" si="47"/>
        <v>0.78646934460887952</v>
      </c>
      <c r="F1623" s="1">
        <v>8</v>
      </c>
      <c r="H1623" s="1" t="s">
        <v>2448</v>
      </c>
    </row>
    <row r="1624" spans="1:46" ht="15.75" customHeight="1" x14ac:dyDescent="0.25">
      <c r="A1624" s="3">
        <v>18030203</v>
      </c>
      <c r="B1624" s="11" t="s">
        <v>793</v>
      </c>
      <c r="C1624" s="11" t="s">
        <v>1967</v>
      </c>
      <c r="D1624" s="4">
        <f t="shared" si="46"/>
        <v>66</v>
      </c>
      <c r="E1624" s="10">
        <f t="shared" si="47"/>
        <v>0.78646934460887952</v>
      </c>
      <c r="F1624" s="1">
        <v>84</v>
      </c>
      <c r="H1624" s="1" t="s">
        <v>2448</v>
      </c>
    </row>
    <row r="1625" spans="1:46" ht="15.75" customHeight="1" x14ac:dyDescent="0.25">
      <c r="A1625" s="3">
        <v>18030203</v>
      </c>
      <c r="B1625" s="11" t="s">
        <v>2447</v>
      </c>
      <c r="C1625" s="11" t="s">
        <v>1968</v>
      </c>
      <c r="D1625" s="4">
        <f t="shared" si="46"/>
        <v>102</v>
      </c>
      <c r="E1625" s="10">
        <f t="shared" si="47"/>
        <v>0.78646934460887952</v>
      </c>
      <c r="F1625" s="1">
        <v>130</v>
      </c>
      <c r="H1625" s="1" t="s">
        <v>2448</v>
      </c>
    </row>
    <row r="1626" spans="1:46" ht="15.75" customHeight="1" x14ac:dyDescent="0.25">
      <c r="A1626" s="16">
        <v>18030204</v>
      </c>
      <c r="B1626" s="11" t="s">
        <v>792</v>
      </c>
      <c r="C1626" s="11" t="s">
        <v>26</v>
      </c>
      <c r="D1626" s="4">
        <f t="shared" si="46"/>
        <v>6</v>
      </c>
      <c r="E1626" s="10">
        <f t="shared" si="47"/>
        <v>0.78646934460887952</v>
      </c>
      <c r="F1626" s="1">
        <v>8</v>
      </c>
      <c r="H1626" s="1" t="s">
        <v>2448</v>
      </c>
    </row>
    <row r="1627" spans="1:46" ht="15.75" customHeight="1" x14ac:dyDescent="0.25">
      <c r="A1627" s="3">
        <v>18030204</v>
      </c>
      <c r="B1627" s="11" t="s">
        <v>792</v>
      </c>
      <c r="C1627" s="11" t="s">
        <v>1967</v>
      </c>
      <c r="D1627" s="4">
        <f t="shared" si="46"/>
        <v>66</v>
      </c>
      <c r="E1627" s="10">
        <f t="shared" si="47"/>
        <v>0.78646934460887952</v>
      </c>
      <c r="F1627" s="1">
        <v>84</v>
      </c>
      <c r="H1627" s="1" t="s">
        <v>2448</v>
      </c>
      <c r="I1627" s="1" t="s">
        <v>2449</v>
      </c>
    </row>
    <row r="1628" spans="1:46" ht="15.75" customHeight="1" x14ac:dyDescent="0.25">
      <c r="A1628" s="3">
        <v>18030204</v>
      </c>
      <c r="B1628" s="11" t="s">
        <v>795</v>
      </c>
      <c r="C1628" s="11" t="s">
        <v>1968</v>
      </c>
      <c r="D1628" s="4">
        <f t="shared" si="46"/>
        <v>102</v>
      </c>
      <c r="E1628" s="10">
        <f t="shared" si="47"/>
        <v>0.78646934460887952</v>
      </c>
      <c r="F1628" s="1">
        <v>130</v>
      </c>
      <c r="H1628" s="1" t="s">
        <v>2448</v>
      </c>
    </row>
    <row r="1629" spans="1:46" ht="15.75" customHeight="1" x14ac:dyDescent="0.25">
      <c r="A1629" s="3">
        <v>18030205</v>
      </c>
      <c r="B1629" s="11" t="s">
        <v>796</v>
      </c>
      <c r="C1629" s="11" t="s">
        <v>1968</v>
      </c>
      <c r="D1629" s="4">
        <f t="shared" si="46"/>
        <v>102</v>
      </c>
      <c r="E1629" s="10">
        <f t="shared" si="47"/>
        <v>0.78646934460887952</v>
      </c>
      <c r="F1629" s="1">
        <v>130</v>
      </c>
      <c r="H1629" s="1" t="s">
        <v>2448</v>
      </c>
      <c r="I1629" s="1" t="s">
        <v>2449</v>
      </c>
    </row>
    <row r="1630" spans="1:46" ht="15.75" customHeight="1" x14ac:dyDescent="0.25">
      <c r="A1630" s="3">
        <v>18030206</v>
      </c>
      <c r="B1630" s="11" t="s">
        <v>797</v>
      </c>
      <c r="C1630" s="11" t="s">
        <v>1968</v>
      </c>
      <c r="D1630" s="4">
        <f t="shared" si="46"/>
        <v>102</v>
      </c>
      <c r="E1630" s="10">
        <f t="shared" si="47"/>
        <v>0.78646934460887952</v>
      </c>
      <c r="F1630" s="1">
        <v>130</v>
      </c>
      <c r="H1630" s="1" t="s">
        <v>2448</v>
      </c>
      <c r="I1630" s="1" t="s">
        <v>2449</v>
      </c>
    </row>
    <row r="1631" spans="1:46" ht="15.75" customHeight="1" x14ac:dyDescent="0.25">
      <c r="A1631" s="3">
        <v>18040001</v>
      </c>
      <c r="B1631" s="11" t="s">
        <v>803</v>
      </c>
      <c r="C1631" s="11" t="s">
        <v>1977</v>
      </c>
      <c r="D1631" s="4">
        <f>ROUND(E1631*F1631*1.25,0)</f>
        <v>119</v>
      </c>
      <c r="E1631" s="1">
        <v>0.73</v>
      </c>
      <c r="F1631" s="1">
        <v>130</v>
      </c>
      <c r="H1631" s="1" t="s">
        <v>3151</v>
      </c>
      <c r="I1631" s="1" t="s">
        <v>2999</v>
      </c>
    </row>
    <row r="1632" spans="1:46" ht="15.75" customHeight="1" x14ac:dyDescent="0.25">
      <c r="A1632" s="3">
        <v>18040002</v>
      </c>
      <c r="B1632" s="11" t="s">
        <v>804</v>
      </c>
      <c r="C1632" s="11" t="s">
        <v>1977</v>
      </c>
      <c r="D1632" s="4">
        <f>ROUND(E1632*F1632*1.25,0)</f>
        <v>106</v>
      </c>
      <c r="E1632" s="1">
        <v>0.65</v>
      </c>
      <c r="F1632" s="1">
        <v>130</v>
      </c>
      <c r="H1632" s="1" t="s">
        <v>3151</v>
      </c>
      <c r="I1632" s="1" t="s">
        <v>2999</v>
      </c>
    </row>
    <row r="1633" spans="1:46" ht="15.75" customHeight="1" x14ac:dyDescent="0.25">
      <c r="A1633" s="3">
        <v>18040003</v>
      </c>
      <c r="B1633" s="11" t="s">
        <v>808</v>
      </c>
      <c r="C1633" s="11" t="s">
        <v>1979</v>
      </c>
      <c r="D1633" s="4">
        <f>ROUND(E1633*F1633*1.25,0)</f>
        <v>163</v>
      </c>
      <c r="E1633" s="1">
        <v>1</v>
      </c>
      <c r="F1633" s="1">
        <v>130</v>
      </c>
      <c r="H1633" s="1" t="s">
        <v>3164</v>
      </c>
      <c r="I1633" s="1" t="s">
        <v>2999</v>
      </c>
    </row>
    <row r="1634" spans="1:46" ht="15.75" customHeight="1" x14ac:dyDescent="0.25">
      <c r="A1634" s="5">
        <v>18040004</v>
      </c>
      <c r="B1634" s="11" t="s">
        <v>806</v>
      </c>
      <c r="C1634" s="11" t="s">
        <v>25</v>
      </c>
      <c r="D1634" s="4">
        <f>ROUND(E1634*F1634*1.25,0)</f>
        <v>4</v>
      </c>
      <c r="E1634" s="1">
        <v>0.65</v>
      </c>
      <c r="F1634" s="1">
        <v>5</v>
      </c>
      <c r="H1634" s="1" t="s">
        <v>3164</v>
      </c>
      <c r="I1634" s="1" t="s">
        <v>2999</v>
      </c>
    </row>
    <row r="1635" spans="1:46" ht="15.75" customHeight="1" x14ac:dyDescent="0.25">
      <c r="A1635" s="3">
        <v>18040004</v>
      </c>
      <c r="B1635" s="11" t="s">
        <v>806</v>
      </c>
      <c r="C1635" s="11" t="s">
        <v>1977</v>
      </c>
      <c r="D1635" s="4">
        <f>ROUND(E1635*F1635*1.25,0)</f>
        <v>106</v>
      </c>
      <c r="E1635" s="1">
        <v>0.65</v>
      </c>
      <c r="F1635" s="1">
        <v>130</v>
      </c>
      <c r="H1635" s="1" t="s">
        <v>3164</v>
      </c>
      <c r="I1635" s="1" t="s">
        <v>2999</v>
      </c>
    </row>
    <row r="1636" spans="1:46" ht="15.75" customHeight="1" x14ac:dyDescent="0.25">
      <c r="A1636" s="24">
        <v>18040005</v>
      </c>
      <c r="B1636" s="25" t="s">
        <v>805</v>
      </c>
      <c r="C1636" s="25" t="s">
        <v>26</v>
      </c>
      <c r="D1636" s="21">
        <v>8</v>
      </c>
      <c r="E1636" s="11"/>
      <c r="F1636" s="21"/>
      <c r="G1636" s="11"/>
      <c r="H1636" s="11"/>
      <c r="I1636" s="11"/>
      <c r="J1636" s="11"/>
      <c r="K1636" s="1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  <c r="Y1636" s="11"/>
      <c r="Z1636" s="11"/>
      <c r="AA1636" s="11"/>
      <c r="AB1636" s="11"/>
      <c r="AC1636" s="11"/>
      <c r="AD1636" s="11"/>
      <c r="AE1636" s="11"/>
      <c r="AF1636" s="11"/>
      <c r="AG1636" s="11"/>
      <c r="AH1636" s="11"/>
      <c r="AI1636" s="11"/>
      <c r="AJ1636" s="11"/>
      <c r="AK1636" s="11"/>
      <c r="AL1636" s="11"/>
      <c r="AM1636" s="11"/>
      <c r="AN1636" s="11"/>
      <c r="AO1636" s="11"/>
      <c r="AP1636" s="11"/>
      <c r="AQ1636" s="11"/>
      <c r="AR1636" s="11"/>
      <c r="AS1636" s="11"/>
      <c r="AT1636" s="11"/>
    </row>
    <row r="1637" spans="1:46" ht="15.75" customHeight="1" x14ac:dyDescent="0.25">
      <c r="A1637" s="3">
        <v>18040005</v>
      </c>
      <c r="B1637" s="11" t="s">
        <v>805</v>
      </c>
      <c r="C1637" s="11" t="s">
        <v>24</v>
      </c>
      <c r="D1637" s="4">
        <f>ROUND(E1637*F1637*1.25,0)</f>
        <v>77</v>
      </c>
      <c r="E1637" s="1">
        <v>0.73</v>
      </c>
      <c r="F1637" s="1">
        <v>84</v>
      </c>
      <c r="H1637" s="1" t="s">
        <v>3164</v>
      </c>
      <c r="I1637" s="1" t="s">
        <v>2999</v>
      </c>
    </row>
    <row r="1638" spans="1:46" ht="15.75" customHeight="1" x14ac:dyDescent="0.25">
      <c r="A1638" s="3">
        <v>18040005</v>
      </c>
      <c r="B1638" s="11" t="s">
        <v>805</v>
      </c>
      <c r="C1638" s="11" t="s">
        <v>1977</v>
      </c>
      <c r="D1638" s="4">
        <f>ROUND(E1638*F1638*1.25,0)</f>
        <v>119</v>
      </c>
      <c r="E1638" s="1">
        <v>0.73</v>
      </c>
      <c r="F1638" s="1">
        <v>130</v>
      </c>
      <c r="H1638" s="1" t="s">
        <v>3164</v>
      </c>
      <c r="I1638" s="1" t="s">
        <v>2999</v>
      </c>
    </row>
    <row r="1639" spans="1:46" ht="15.75" customHeight="1" x14ac:dyDescent="0.25">
      <c r="A1639" s="16">
        <v>18040006</v>
      </c>
      <c r="B1639" s="11" t="s">
        <v>799</v>
      </c>
      <c r="C1639" s="11" t="s">
        <v>1971</v>
      </c>
      <c r="D1639" s="4">
        <v>15</v>
      </c>
      <c r="F1639" s="1"/>
      <c r="G1639" s="1">
        <v>15</v>
      </c>
      <c r="H1639" s="1" t="s">
        <v>2847</v>
      </c>
      <c r="I1639" s="1" t="s">
        <v>2700</v>
      </c>
    </row>
    <row r="1640" spans="1:46" ht="15.75" customHeight="1" x14ac:dyDescent="0.25">
      <c r="A1640" s="20">
        <v>18040006</v>
      </c>
      <c r="B1640" s="11" t="s">
        <v>799</v>
      </c>
      <c r="C1640" s="11" t="s">
        <v>26</v>
      </c>
      <c r="D1640" s="1">
        <v>15</v>
      </c>
      <c r="F1640" s="1">
        <v>8</v>
      </c>
      <c r="G1640" s="1">
        <v>15</v>
      </c>
      <c r="H1640" s="1" t="s">
        <v>2847</v>
      </c>
    </row>
    <row r="1641" spans="1:46" ht="15.75" customHeight="1" x14ac:dyDescent="0.25">
      <c r="A1641" s="24">
        <v>18040006</v>
      </c>
      <c r="B1641" s="25" t="s">
        <v>799</v>
      </c>
      <c r="C1641" s="25" t="s">
        <v>23</v>
      </c>
      <c r="D1641" s="4">
        <v>57</v>
      </c>
      <c r="H1641" s="1" t="s">
        <v>2847</v>
      </c>
    </row>
    <row r="1642" spans="1:46" ht="15.75" customHeight="1" x14ac:dyDescent="0.25">
      <c r="A1642" s="24">
        <v>18040006</v>
      </c>
      <c r="B1642" s="25" t="s">
        <v>799</v>
      </c>
      <c r="C1642" s="25" t="s">
        <v>4</v>
      </c>
      <c r="D1642" s="4">
        <v>60</v>
      </c>
      <c r="H1642" s="1" t="s">
        <v>2847</v>
      </c>
    </row>
    <row r="1643" spans="1:46" ht="15.75" customHeight="1" x14ac:dyDescent="0.25">
      <c r="A1643" s="3">
        <v>18040006</v>
      </c>
      <c r="B1643" s="11" t="s">
        <v>799</v>
      </c>
      <c r="C1643" s="11" t="s">
        <v>31</v>
      </c>
      <c r="D1643" s="4">
        <f>ROUND(E1643*F1643*1.25,0)</f>
        <v>344</v>
      </c>
      <c r="E1643" s="1">
        <f>ROUND(260/237,2)</f>
        <v>1.1000000000000001</v>
      </c>
      <c r="F1643" s="1">
        <v>250</v>
      </c>
      <c r="G1643" s="1">
        <v>120</v>
      </c>
      <c r="H1643" s="1" t="s">
        <v>2709</v>
      </c>
      <c r="I1643" s="1" t="s">
        <v>2999</v>
      </c>
    </row>
    <row r="1644" spans="1:46" ht="15.75" customHeight="1" x14ac:dyDescent="0.25">
      <c r="A1644" s="24">
        <v>18040006</v>
      </c>
      <c r="B1644" s="25" t="s">
        <v>799</v>
      </c>
      <c r="C1644" s="25" t="s">
        <v>12</v>
      </c>
      <c r="D1644" s="4">
        <v>30</v>
      </c>
      <c r="H1644" s="1" t="s">
        <v>2847</v>
      </c>
    </row>
    <row r="1645" spans="1:46" ht="15.75" customHeight="1" x14ac:dyDescent="0.25">
      <c r="A1645" s="3">
        <v>18040006</v>
      </c>
      <c r="B1645" s="11" t="s">
        <v>799</v>
      </c>
      <c r="C1645" s="11" t="s">
        <v>2674</v>
      </c>
      <c r="D1645" s="1">
        <v>60</v>
      </c>
      <c r="F1645" s="1"/>
      <c r="G1645" s="1">
        <v>60</v>
      </c>
      <c r="H1645" s="1" t="s">
        <v>2847</v>
      </c>
    </row>
    <row r="1646" spans="1:46" ht="15.75" customHeight="1" x14ac:dyDescent="0.25">
      <c r="A1646" s="16">
        <v>18040006</v>
      </c>
      <c r="B1646" s="11" t="s">
        <v>799</v>
      </c>
      <c r="C1646" s="11" t="s">
        <v>1970</v>
      </c>
      <c r="D1646" s="1">
        <v>60</v>
      </c>
      <c r="F1646" s="1"/>
      <c r="G1646" s="1">
        <v>60</v>
      </c>
      <c r="H1646" s="1" t="s">
        <v>2847</v>
      </c>
      <c r="I1646" s="1" t="s">
        <v>2726</v>
      </c>
    </row>
    <row r="1647" spans="1:46" ht="15.75" customHeight="1" x14ac:dyDescent="0.25">
      <c r="A1647" s="3">
        <v>18040006</v>
      </c>
      <c r="B1647" s="11" t="s">
        <v>810</v>
      </c>
      <c r="C1647" s="11" t="s">
        <v>1981</v>
      </c>
      <c r="D1647" s="4">
        <f>ROUND(E1647*F1647*1.25,0)</f>
        <v>179</v>
      </c>
      <c r="E1647" s="1">
        <f>ROUND(260/237,2)</f>
        <v>1.1000000000000001</v>
      </c>
      <c r="F1647" s="1">
        <v>130</v>
      </c>
      <c r="H1647" s="1" t="s">
        <v>2709</v>
      </c>
      <c r="I1647" s="1" t="s">
        <v>2999</v>
      </c>
    </row>
    <row r="1648" spans="1:46" ht="15.75" customHeight="1" x14ac:dyDescent="0.25">
      <c r="A1648" s="3">
        <v>18040006</v>
      </c>
      <c r="B1648" s="11" t="s">
        <v>801</v>
      </c>
      <c r="C1648" s="11" t="s">
        <v>1974</v>
      </c>
      <c r="D1648" s="1">
        <v>120</v>
      </c>
      <c r="F1648" s="10"/>
      <c r="G1648" s="1">
        <v>120</v>
      </c>
      <c r="H1648" s="5" t="s">
        <v>2847</v>
      </c>
      <c r="I1648" s="1" t="s">
        <v>2727</v>
      </c>
    </row>
    <row r="1649" spans="1:10" ht="15.75" customHeight="1" x14ac:dyDescent="0.25">
      <c r="A1649" s="3">
        <v>18040006</v>
      </c>
      <c r="B1649" s="11" t="s">
        <v>810</v>
      </c>
      <c r="C1649" s="11" t="s">
        <v>1980</v>
      </c>
      <c r="D1649" s="4">
        <f>ROUND(E1649*F1649*1.25,0)</f>
        <v>116</v>
      </c>
      <c r="E1649" s="1">
        <f>ROUND(260/237,2)</f>
        <v>1.1000000000000001</v>
      </c>
      <c r="F1649" s="1">
        <v>84</v>
      </c>
      <c r="H1649" s="1" t="s">
        <v>2709</v>
      </c>
      <c r="I1649" s="1" t="s">
        <v>2999</v>
      </c>
    </row>
    <row r="1650" spans="1:10" ht="15.75" customHeight="1" x14ac:dyDescent="0.25">
      <c r="A1650" s="16">
        <v>18040006</v>
      </c>
      <c r="B1650" s="11" t="s">
        <v>799</v>
      </c>
      <c r="C1650" s="11" t="s">
        <v>1973</v>
      </c>
      <c r="D1650" s="1">
        <v>60</v>
      </c>
      <c r="F1650" s="1"/>
      <c r="G1650" s="1">
        <v>60</v>
      </c>
      <c r="H1650" s="1" t="s">
        <v>2847</v>
      </c>
      <c r="I1650" s="1" t="s">
        <v>2702</v>
      </c>
    </row>
    <row r="1651" spans="1:10" ht="15.75" customHeight="1" x14ac:dyDescent="0.25">
      <c r="A1651" s="16">
        <v>18040006</v>
      </c>
      <c r="B1651" s="11" t="s">
        <v>799</v>
      </c>
      <c r="C1651" s="11" t="s">
        <v>1972</v>
      </c>
      <c r="D1651" s="1">
        <v>19</v>
      </c>
      <c r="F1651" s="1"/>
      <c r="G1651" s="1">
        <v>19</v>
      </c>
      <c r="H1651" s="1" t="s">
        <v>2847</v>
      </c>
      <c r="I1651" s="1" t="s">
        <v>2846</v>
      </c>
    </row>
    <row r="1652" spans="1:10" ht="15.75" customHeight="1" x14ac:dyDescent="0.25">
      <c r="A1652" s="3">
        <v>18040007</v>
      </c>
      <c r="B1652" s="11" t="s">
        <v>798</v>
      </c>
      <c r="C1652" s="11" t="s">
        <v>25</v>
      </c>
      <c r="D1652" s="1">
        <v>5</v>
      </c>
      <c r="F1652" s="1"/>
      <c r="G1652" s="1">
        <v>5</v>
      </c>
      <c r="H1652" s="1" t="s">
        <v>2847</v>
      </c>
      <c r="I1652" s="1" t="s">
        <v>2848</v>
      </c>
    </row>
    <row r="1653" spans="1:10" ht="15.75" customHeight="1" x14ac:dyDescent="0.25">
      <c r="A1653" s="16">
        <v>18040007</v>
      </c>
      <c r="B1653" s="11" t="s">
        <v>798</v>
      </c>
      <c r="C1653" s="11" t="s">
        <v>26</v>
      </c>
      <c r="D1653" s="1">
        <v>15</v>
      </c>
      <c r="F1653" s="1">
        <v>8</v>
      </c>
      <c r="G1653" s="1">
        <v>15</v>
      </c>
      <c r="H1653" s="1" t="s">
        <v>2847</v>
      </c>
    </row>
    <row r="1654" spans="1:10" ht="15.75" customHeight="1" x14ac:dyDescent="0.25">
      <c r="A1654" s="3">
        <v>18040007</v>
      </c>
      <c r="B1654" s="11" t="s">
        <v>798</v>
      </c>
      <c r="C1654" s="11" t="s">
        <v>1969</v>
      </c>
      <c r="D1654" s="1">
        <v>30</v>
      </c>
      <c r="F1654" s="1"/>
      <c r="G1654" s="1">
        <v>30</v>
      </c>
      <c r="H1654" s="1" t="s">
        <v>2847</v>
      </c>
      <c r="I1654" s="1" t="s">
        <v>2729</v>
      </c>
    </row>
    <row r="1655" spans="1:10" ht="15.75" customHeight="1" x14ac:dyDescent="0.25">
      <c r="A1655" s="3">
        <v>18040007</v>
      </c>
      <c r="B1655" s="11" t="s">
        <v>802</v>
      </c>
      <c r="C1655" s="11" t="s">
        <v>1976</v>
      </c>
      <c r="D1655" s="1">
        <v>120</v>
      </c>
      <c r="F1655" s="10"/>
      <c r="G1655" s="1">
        <v>120</v>
      </c>
      <c r="H1655" s="1" t="s">
        <v>2847</v>
      </c>
      <c r="I1655" s="1" t="s">
        <v>2727</v>
      </c>
    </row>
    <row r="1656" spans="1:10" ht="15.75" customHeight="1" x14ac:dyDescent="0.25">
      <c r="A1656" s="16">
        <v>18040007</v>
      </c>
      <c r="B1656" s="11" t="s">
        <v>798</v>
      </c>
      <c r="C1656" s="11" t="s">
        <v>28</v>
      </c>
      <c r="D1656" s="1">
        <f>ROUND(E1656*F1656,0)</f>
        <v>290</v>
      </c>
      <c r="E1656" s="1">
        <v>0.88</v>
      </c>
      <c r="F1656" s="1">
        <v>330</v>
      </c>
      <c r="H1656" s="1" t="s">
        <v>3165</v>
      </c>
    </row>
    <row r="1657" spans="1:10" ht="15.75" customHeight="1" x14ac:dyDescent="0.25">
      <c r="A1657" s="16">
        <v>18040007</v>
      </c>
      <c r="B1657" s="11" t="s">
        <v>800</v>
      </c>
      <c r="C1657" s="11" t="s">
        <v>1973</v>
      </c>
      <c r="D1657" s="1">
        <v>60</v>
      </c>
      <c r="F1657" s="1"/>
      <c r="G1657" s="1">
        <v>60</v>
      </c>
      <c r="H1657" s="1" t="s">
        <v>2847</v>
      </c>
      <c r="I1657" s="1" t="s">
        <v>2702</v>
      </c>
    </row>
    <row r="1658" spans="1:10" ht="15.75" customHeight="1" x14ac:dyDescent="0.25">
      <c r="A1658" s="3">
        <v>18040007</v>
      </c>
      <c r="B1658" s="11" t="s">
        <v>812</v>
      </c>
      <c r="C1658" s="11" t="s">
        <v>1981</v>
      </c>
      <c r="D1658" s="4">
        <f>ROUND(E1658*F1658*1.25,0)</f>
        <v>143</v>
      </c>
      <c r="E1658" s="1">
        <v>0.88</v>
      </c>
      <c r="F1658" s="1">
        <v>130</v>
      </c>
      <c r="H1658" s="1" t="s">
        <v>3165</v>
      </c>
      <c r="I1658" s="1" t="s">
        <v>2999</v>
      </c>
    </row>
    <row r="1659" spans="1:10" ht="15.75" customHeight="1" x14ac:dyDescent="0.25">
      <c r="A1659" s="16">
        <v>18040007</v>
      </c>
      <c r="B1659" s="11" t="s">
        <v>802</v>
      </c>
      <c r="C1659" s="11" t="s">
        <v>1975</v>
      </c>
      <c r="D1659" s="1">
        <v>19</v>
      </c>
      <c r="F1659" s="1"/>
      <c r="G1659" s="1">
        <v>19</v>
      </c>
      <c r="H1659" s="1" t="s">
        <v>2847</v>
      </c>
      <c r="I1659" s="1" t="s">
        <v>2846</v>
      </c>
    </row>
    <row r="1660" spans="1:10" ht="15.75" customHeight="1" x14ac:dyDescent="0.25">
      <c r="A1660" s="3">
        <v>18040007</v>
      </c>
      <c r="B1660" s="11" t="s">
        <v>807</v>
      </c>
      <c r="C1660" s="11" t="s">
        <v>1978</v>
      </c>
      <c r="D1660" s="1">
        <f>ROUND(E1660*F1660*1.25,0)</f>
        <v>92</v>
      </c>
      <c r="E1660" s="1">
        <v>0.88</v>
      </c>
      <c r="F1660" s="1">
        <v>84</v>
      </c>
      <c r="H1660" s="1" t="s">
        <v>3165</v>
      </c>
      <c r="I1660" s="1" t="s">
        <v>2999</v>
      </c>
    </row>
    <row r="1661" spans="1:10" ht="15.75" customHeight="1" x14ac:dyDescent="0.25">
      <c r="A1661" s="3">
        <v>18040008</v>
      </c>
      <c r="B1661" s="11" t="s">
        <v>809</v>
      </c>
      <c r="C1661" s="11" t="s">
        <v>1980</v>
      </c>
      <c r="D1661" s="4">
        <f>ROUND(E1661*F1661*1.25,0)</f>
        <v>92</v>
      </c>
      <c r="E1661" s="1">
        <v>0.88</v>
      </c>
      <c r="F1661" s="1">
        <v>84</v>
      </c>
      <c r="H1661" s="1" t="s">
        <v>3165</v>
      </c>
      <c r="I1661" s="1" t="s">
        <v>2999</v>
      </c>
    </row>
    <row r="1662" spans="1:10" ht="15.75" customHeight="1" x14ac:dyDescent="0.25">
      <c r="A1662" s="3">
        <v>18040008</v>
      </c>
      <c r="B1662" s="11" t="s">
        <v>809</v>
      </c>
      <c r="C1662" s="11" t="s">
        <v>30</v>
      </c>
      <c r="D1662" s="1">
        <f>ROUND(E1662*F1662,0)</f>
        <v>156</v>
      </c>
      <c r="E1662" s="1">
        <v>0.88</v>
      </c>
      <c r="F1662" s="1">
        <v>177.5</v>
      </c>
      <c r="H1662" s="1" t="s">
        <v>3165</v>
      </c>
    </row>
    <row r="1663" spans="1:10" ht="15.75" customHeight="1" x14ac:dyDescent="0.25">
      <c r="A1663" s="16">
        <v>18040008</v>
      </c>
      <c r="B1663" s="11" t="s">
        <v>809</v>
      </c>
      <c r="C1663" s="11" t="s">
        <v>28</v>
      </c>
      <c r="D1663" s="1">
        <f>ROUND(E1663*F1663,0)</f>
        <v>290</v>
      </c>
      <c r="E1663" s="1">
        <v>0.88</v>
      </c>
      <c r="F1663" s="1">
        <v>330</v>
      </c>
      <c r="G1663" s="4"/>
      <c r="H1663" s="1" t="s">
        <v>3165</v>
      </c>
      <c r="J1663" s="1" t="s">
        <v>3132</v>
      </c>
    </row>
    <row r="1664" spans="1:10" ht="15.75" customHeight="1" x14ac:dyDescent="0.25">
      <c r="A1664" s="3">
        <v>18040008</v>
      </c>
      <c r="B1664" s="11" t="s">
        <v>811</v>
      </c>
      <c r="C1664" s="11" t="s">
        <v>1981</v>
      </c>
      <c r="D1664" s="4">
        <f>ROUND(E1664*F1664*1.25,0)</f>
        <v>143</v>
      </c>
      <c r="E1664" s="1">
        <v>0.88</v>
      </c>
      <c r="F1664" s="1">
        <v>130</v>
      </c>
      <c r="H1664" s="1" t="s">
        <v>3165</v>
      </c>
      <c r="I1664" s="1" t="s">
        <v>2999</v>
      </c>
    </row>
    <row r="1665" spans="1:11" ht="15.75" customHeight="1" x14ac:dyDescent="0.25">
      <c r="A1665" s="3">
        <v>18040009</v>
      </c>
      <c r="B1665" s="11" t="s">
        <v>813</v>
      </c>
      <c r="C1665" s="11" t="s">
        <v>2636</v>
      </c>
      <c r="D1665" s="1">
        <v>1</v>
      </c>
      <c r="F1665" s="1">
        <v>1</v>
      </c>
      <c r="H1665" s="1" t="s">
        <v>2709</v>
      </c>
    </row>
    <row r="1666" spans="1:11" ht="15.75" customHeight="1" x14ac:dyDescent="0.25">
      <c r="A1666" s="3">
        <v>18040009</v>
      </c>
      <c r="B1666" s="11" t="s">
        <v>813</v>
      </c>
      <c r="C1666" s="11" t="s">
        <v>1982</v>
      </c>
      <c r="D1666" s="1">
        <f>ROUND(E1666*F1666*1.25,0)</f>
        <v>7</v>
      </c>
      <c r="E1666" s="1">
        <f t="shared" ref="E1666:E1672" si="48">ROUND(260/237,2)</f>
        <v>1.1000000000000001</v>
      </c>
      <c r="F1666" s="1">
        <v>5</v>
      </c>
      <c r="H1666" s="1" t="s">
        <v>2709</v>
      </c>
      <c r="I1666" s="1" t="s">
        <v>2999</v>
      </c>
    </row>
    <row r="1667" spans="1:11" ht="15.75" customHeight="1" x14ac:dyDescent="0.25">
      <c r="A1667" s="3">
        <v>18040009</v>
      </c>
      <c r="B1667" s="11" t="s">
        <v>813</v>
      </c>
      <c r="C1667" s="11" t="s">
        <v>24</v>
      </c>
      <c r="D1667" s="4">
        <f>ROUND(E1667*F1667*1.25,0)</f>
        <v>116</v>
      </c>
      <c r="E1667" s="1">
        <f t="shared" si="48"/>
        <v>1.1000000000000001</v>
      </c>
      <c r="F1667" s="1">
        <v>84</v>
      </c>
      <c r="H1667" s="1" t="s">
        <v>2709</v>
      </c>
      <c r="I1667" s="1" t="s">
        <v>2999</v>
      </c>
    </row>
    <row r="1668" spans="1:11" ht="15.75" customHeight="1" x14ac:dyDescent="0.25">
      <c r="A1668" s="16">
        <v>18040009</v>
      </c>
      <c r="B1668" s="11" t="s">
        <v>816</v>
      </c>
      <c r="C1668" s="11" t="s">
        <v>1985</v>
      </c>
      <c r="D1668" s="1">
        <f>ROUND(E1668*F1668,0)</f>
        <v>363</v>
      </c>
      <c r="E1668" s="1">
        <f t="shared" si="48"/>
        <v>1.1000000000000001</v>
      </c>
      <c r="F1668" s="1">
        <v>330</v>
      </c>
      <c r="H1668" s="1" t="s">
        <v>2709</v>
      </c>
    </row>
    <row r="1669" spans="1:11" ht="15.75" customHeight="1" x14ac:dyDescent="0.25">
      <c r="A1669" s="16">
        <v>18040009</v>
      </c>
      <c r="B1669" s="11" t="s">
        <v>813</v>
      </c>
      <c r="C1669" s="11" t="s">
        <v>1983</v>
      </c>
      <c r="D1669" s="1">
        <f>ROUND(E1669*F1669*1.25,0)</f>
        <v>41</v>
      </c>
      <c r="E1669" s="1">
        <f t="shared" si="48"/>
        <v>1.1000000000000001</v>
      </c>
      <c r="F1669" s="1">
        <v>30</v>
      </c>
      <c r="H1669" s="1" t="s">
        <v>2709</v>
      </c>
      <c r="I1669" s="1" t="s">
        <v>2999</v>
      </c>
    </row>
    <row r="1670" spans="1:11" ht="15.75" customHeight="1" x14ac:dyDescent="0.25">
      <c r="A1670" s="3">
        <v>18040009</v>
      </c>
      <c r="B1670" s="11" t="s">
        <v>2529</v>
      </c>
      <c r="C1670" s="11" t="s">
        <v>1981</v>
      </c>
      <c r="D1670" s="4">
        <f>ROUND(E1670*F1670*1.25,0)</f>
        <v>179</v>
      </c>
      <c r="E1670" s="1">
        <f t="shared" si="48"/>
        <v>1.1000000000000001</v>
      </c>
      <c r="F1670" s="1">
        <v>130</v>
      </c>
      <c r="H1670" s="1" t="s">
        <v>2709</v>
      </c>
      <c r="I1670" s="1" t="s">
        <v>2999</v>
      </c>
    </row>
    <row r="1671" spans="1:11" ht="15.75" customHeight="1" x14ac:dyDescent="0.25">
      <c r="A1671" s="16">
        <v>18040010</v>
      </c>
      <c r="B1671" s="11" t="s">
        <v>814</v>
      </c>
      <c r="C1671" s="11" t="s">
        <v>1983</v>
      </c>
      <c r="D1671" s="1">
        <f>ROUND(E1671*F1671*1.25,0)</f>
        <v>41</v>
      </c>
      <c r="E1671" s="1">
        <f t="shared" si="48"/>
        <v>1.1000000000000001</v>
      </c>
      <c r="F1671" s="1">
        <v>30</v>
      </c>
      <c r="H1671" s="1" t="s">
        <v>2709</v>
      </c>
      <c r="I1671" s="1" t="s">
        <v>2999</v>
      </c>
    </row>
    <row r="1672" spans="1:11" ht="15.75" customHeight="1" x14ac:dyDescent="0.25">
      <c r="A1672" s="3">
        <v>18040010</v>
      </c>
      <c r="B1672" s="11" t="s">
        <v>814</v>
      </c>
      <c r="C1672" s="11" t="s">
        <v>30</v>
      </c>
      <c r="D1672" s="1">
        <f>ROUND(E1672*F1672,0)</f>
        <v>195</v>
      </c>
      <c r="E1672" s="1">
        <f t="shared" si="48"/>
        <v>1.1000000000000001</v>
      </c>
      <c r="F1672" s="1">
        <v>177.5</v>
      </c>
      <c r="H1672" s="1" t="s">
        <v>2709</v>
      </c>
    </row>
    <row r="1673" spans="1:11" ht="15.75" customHeight="1" x14ac:dyDescent="0.25">
      <c r="A1673" s="3">
        <v>18040010</v>
      </c>
      <c r="B1673" s="11" t="s">
        <v>814</v>
      </c>
      <c r="C1673" s="11" t="s">
        <v>2636</v>
      </c>
      <c r="D1673" s="1">
        <v>1</v>
      </c>
      <c r="F1673" s="1">
        <v>1</v>
      </c>
      <c r="H1673" s="1" t="s">
        <v>2709</v>
      </c>
    </row>
    <row r="1674" spans="1:11" ht="15.75" customHeight="1" x14ac:dyDescent="0.25">
      <c r="A1674" s="16">
        <v>18040010</v>
      </c>
      <c r="B1674" s="11" t="s">
        <v>819</v>
      </c>
      <c r="C1674" s="11" t="s">
        <v>1987</v>
      </c>
      <c r="D1674" s="1">
        <f>ROUND(E1674*F1674,0)</f>
        <v>363</v>
      </c>
      <c r="E1674" s="1">
        <f>ROUND(260/237,2)</f>
        <v>1.1000000000000001</v>
      </c>
      <c r="F1674" s="1">
        <v>330</v>
      </c>
      <c r="H1674" s="1" t="s">
        <v>2709</v>
      </c>
    </row>
    <row r="1675" spans="1:11" ht="15.75" customHeight="1" x14ac:dyDescent="0.25">
      <c r="A1675" s="3">
        <v>18040010</v>
      </c>
      <c r="B1675" s="11" t="s">
        <v>815</v>
      </c>
      <c r="C1675" s="11" t="s">
        <v>1984</v>
      </c>
      <c r="D1675" s="4">
        <f>ROUND(E1675*F1675*1.25,0)</f>
        <v>179</v>
      </c>
      <c r="E1675" s="1">
        <f>ROUND(260/237,2)</f>
        <v>1.1000000000000001</v>
      </c>
      <c r="F1675" s="1">
        <v>130</v>
      </c>
      <c r="H1675" s="1" t="s">
        <v>2709</v>
      </c>
      <c r="I1675" s="1" t="s">
        <v>2999</v>
      </c>
    </row>
    <row r="1676" spans="1:11" ht="15.75" customHeight="1" x14ac:dyDescent="0.25">
      <c r="A1676" s="3">
        <v>18040011</v>
      </c>
      <c r="B1676" s="11" t="s">
        <v>818</v>
      </c>
      <c r="C1676" s="11" t="s">
        <v>2636</v>
      </c>
      <c r="D1676" s="1">
        <v>1</v>
      </c>
      <c r="F1676" s="1">
        <v>1</v>
      </c>
      <c r="H1676" s="1" t="s">
        <v>2709</v>
      </c>
    </row>
    <row r="1677" spans="1:11" ht="15.75" customHeight="1" x14ac:dyDescent="0.25">
      <c r="A1677" s="20">
        <v>18040011</v>
      </c>
      <c r="B1677" s="11" t="s">
        <v>818</v>
      </c>
      <c r="C1677" s="11" t="s">
        <v>26</v>
      </c>
      <c r="D1677" s="1">
        <f>ROUND(E1677*F1677*1.25,0)</f>
        <v>41</v>
      </c>
      <c r="E1677" s="1">
        <f t="shared" ref="E1677:E1682" si="49">ROUND(260/237,2)</f>
        <v>1.1000000000000001</v>
      </c>
      <c r="F1677" s="1">
        <v>30</v>
      </c>
      <c r="H1677" s="1" t="s">
        <v>2709</v>
      </c>
      <c r="I1677" s="1" t="s">
        <v>2999</v>
      </c>
      <c r="K1677" s="1">
        <v>2</v>
      </c>
    </row>
    <row r="1678" spans="1:11" ht="15.75" customHeight="1" x14ac:dyDescent="0.25">
      <c r="A1678" s="3">
        <v>18040011</v>
      </c>
      <c r="B1678" s="11" t="s">
        <v>818</v>
      </c>
      <c r="C1678" s="11" t="s">
        <v>24</v>
      </c>
      <c r="D1678" s="1">
        <f>ROUND(E1678*F1678*1.25,0)</f>
        <v>116</v>
      </c>
      <c r="E1678" s="1">
        <f t="shared" si="49"/>
        <v>1.1000000000000001</v>
      </c>
      <c r="F1678" s="1">
        <v>84</v>
      </c>
      <c r="H1678" s="1" t="s">
        <v>2709</v>
      </c>
      <c r="I1678" s="1" t="s">
        <v>2999</v>
      </c>
    </row>
    <row r="1679" spans="1:11" ht="15.75" customHeight="1" x14ac:dyDescent="0.25">
      <c r="A1679" s="16">
        <v>18040011</v>
      </c>
      <c r="B1679" s="11" t="s">
        <v>820</v>
      </c>
      <c r="C1679" s="11" t="s">
        <v>1987</v>
      </c>
      <c r="D1679" s="1">
        <f>ROUND(E1679*F1679,0)</f>
        <v>363</v>
      </c>
      <c r="E1679" s="1">
        <f t="shared" si="49"/>
        <v>1.1000000000000001</v>
      </c>
      <c r="F1679" s="1">
        <v>330</v>
      </c>
      <c r="H1679" s="1" t="s">
        <v>2709</v>
      </c>
    </row>
    <row r="1680" spans="1:11" ht="15.75" customHeight="1" x14ac:dyDescent="0.25">
      <c r="A1680" s="3">
        <v>18040011</v>
      </c>
      <c r="B1680" s="11" t="s">
        <v>818</v>
      </c>
      <c r="C1680" s="11" t="s">
        <v>1986</v>
      </c>
      <c r="D1680" s="4">
        <f>ROUND(E1680*F1680*1.25,0)</f>
        <v>179</v>
      </c>
      <c r="E1680" s="1">
        <f t="shared" si="49"/>
        <v>1.1000000000000001</v>
      </c>
      <c r="F1680" s="1">
        <v>130</v>
      </c>
      <c r="H1680" s="1" t="s">
        <v>2709</v>
      </c>
      <c r="I1680" s="1" t="s">
        <v>2999</v>
      </c>
    </row>
    <row r="1681" spans="1:9" ht="15.75" customHeight="1" x14ac:dyDescent="0.25">
      <c r="A1681" s="3">
        <v>18040012</v>
      </c>
      <c r="B1681" s="11" t="s">
        <v>821</v>
      </c>
      <c r="C1681" s="11" t="s">
        <v>1988</v>
      </c>
      <c r="D1681" s="4">
        <f>ROUND(E1681*F1681*1.25,0)</f>
        <v>179</v>
      </c>
      <c r="E1681" s="1">
        <f t="shared" si="49"/>
        <v>1.1000000000000001</v>
      </c>
      <c r="F1681" s="1">
        <v>130</v>
      </c>
      <c r="H1681" s="1" t="s">
        <v>2709</v>
      </c>
      <c r="I1681" s="1" t="s">
        <v>2999</v>
      </c>
    </row>
    <row r="1682" spans="1:9" ht="15.75" customHeight="1" x14ac:dyDescent="0.25">
      <c r="A1682" s="16">
        <v>18040012</v>
      </c>
      <c r="B1682" s="11" t="s">
        <v>821</v>
      </c>
      <c r="C1682" s="11" t="s">
        <v>1987</v>
      </c>
      <c r="D1682" s="1">
        <f>ROUND(E1682*F1682,0)</f>
        <v>363</v>
      </c>
      <c r="E1682" s="1">
        <f t="shared" si="49"/>
        <v>1.1000000000000001</v>
      </c>
      <c r="F1682" s="1">
        <v>330</v>
      </c>
      <c r="H1682" s="1" t="s">
        <v>2709</v>
      </c>
    </row>
    <row r="1683" spans="1:9" ht="15.75" customHeight="1" x14ac:dyDescent="0.25">
      <c r="A1683" s="3">
        <v>18040013</v>
      </c>
      <c r="B1683" s="11" t="s">
        <v>817</v>
      </c>
      <c r="C1683" s="11" t="s">
        <v>25</v>
      </c>
      <c r="D1683" s="1">
        <f>ROUND(E1683*F1683*1.25,0)</f>
        <v>1</v>
      </c>
      <c r="E1683" s="15">
        <v>0.15</v>
      </c>
      <c r="F1683" s="1">
        <v>5</v>
      </c>
      <c r="H1683" s="1" t="s">
        <v>3166</v>
      </c>
      <c r="I1683" s="1" t="s">
        <v>2999</v>
      </c>
    </row>
    <row r="1684" spans="1:9" ht="15.75" customHeight="1" x14ac:dyDescent="0.25">
      <c r="A1684" s="16">
        <v>18040013</v>
      </c>
      <c r="B1684" s="11" t="s">
        <v>822</v>
      </c>
      <c r="C1684" s="11" t="s">
        <v>1989</v>
      </c>
      <c r="D1684" s="1">
        <f>ROUND(E1684*F1684*1.25,0)</f>
        <v>2</v>
      </c>
      <c r="E1684" s="15">
        <v>0.15</v>
      </c>
      <c r="F1684" s="1">
        <v>8</v>
      </c>
      <c r="H1684" s="1" t="s">
        <v>3166</v>
      </c>
      <c r="I1684" s="1" t="s">
        <v>2999</v>
      </c>
    </row>
    <row r="1685" spans="1:9" ht="15.75" customHeight="1" x14ac:dyDescent="0.25">
      <c r="A1685" s="3">
        <v>18040013</v>
      </c>
      <c r="B1685" s="11" t="s">
        <v>817</v>
      </c>
      <c r="C1685" s="11" t="s">
        <v>1986</v>
      </c>
      <c r="D1685" s="4">
        <f>ROUND(E1685*F1685*1.25,0)</f>
        <v>24</v>
      </c>
      <c r="E1685" s="15">
        <v>0.15</v>
      </c>
      <c r="F1685" s="1">
        <v>130</v>
      </c>
      <c r="H1685" s="1" t="s">
        <v>3167</v>
      </c>
      <c r="I1685" s="1" t="s">
        <v>2999</v>
      </c>
    </row>
    <row r="1686" spans="1:9" ht="15.75" customHeight="1" x14ac:dyDescent="0.25">
      <c r="A1686" s="3">
        <v>18040014</v>
      </c>
      <c r="B1686" s="11" t="s">
        <v>2541</v>
      </c>
      <c r="C1686" s="11" t="s">
        <v>1990</v>
      </c>
      <c r="D1686" s="4">
        <f>ROUND(E1686*F1686*1.25,0)</f>
        <v>119</v>
      </c>
      <c r="E1686" s="1">
        <v>0.73</v>
      </c>
      <c r="F1686" s="1">
        <v>130</v>
      </c>
      <c r="H1686" s="1" t="s">
        <v>3151</v>
      </c>
      <c r="I1686" s="1" t="s">
        <v>2999</v>
      </c>
    </row>
    <row r="1687" spans="1:9" ht="15.75" customHeight="1" x14ac:dyDescent="0.25">
      <c r="A1687" s="16">
        <v>18040015</v>
      </c>
      <c r="B1687" s="11" t="s">
        <v>2623</v>
      </c>
      <c r="C1687" s="11" t="s">
        <v>12</v>
      </c>
      <c r="D1687" s="1">
        <v>60</v>
      </c>
      <c r="E1687" s="1">
        <f>ROUND(260/237,2)</f>
        <v>1.1000000000000001</v>
      </c>
      <c r="F1687" s="1"/>
      <c r="H1687" s="1" t="s">
        <v>2709</v>
      </c>
      <c r="I1687" s="1" t="s">
        <v>2701</v>
      </c>
    </row>
    <row r="1688" spans="1:9" ht="15.75" customHeight="1" x14ac:dyDescent="0.25">
      <c r="A1688" s="16">
        <v>18040015</v>
      </c>
      <c r="B1688" s="11" t="s">
        <v>2623</v>
      </c>
      <c r="C1688" s="11" t="s">
        <v>13</v>
      </c>
      <c r="D1688" s="1">
        <v>120</v>
      </c>
      <c r="E1688" s="1">
        <f>ROUND(260/237,2)</f>
        <v>1.1000000000000001</v>
      </c>
      <c r="F1688" s="1"/>
      <c r="H1688" s="1" t="s">
        <v>2709</v>
      </c>
      <c r="I1688" s="1" t="s">
        <v>2702</v>
      </c>
    </row>
    <row r="1689" spans="1:9" ht="15.75" customHeight="1" x14ac:dyDescent="0.25">
      <c r="A1689" s="16">
        <v>18040015</v>
      </c>
      <c r="B1689" s="11" t="s">
        <v>2623</v>
      </c>
      <c r="C1689" s="11" t="s">
        <v>26</v>
      </c>
      <c r="D1689" s="1">
        <f>ROUND(E1689*F1689,0)</f>
        <v>30</v>
      </c>
      <c r="E1689" s="1">
        <f>ROUND(260/237,2)</f>
        <v>1.1000000000000001</v>
      </c>
      <c r="F1689" s="1">
        <v>27</v>
      </c>
      <c r="H1689" s="1" t="s">
        <v>2709</v>
      </c>
    </row>
    <row r="1690" spans="1:9" ht="15.75" customHeight="1" x14ac:dyDescent="0.25">
      <c r="A1690" s="3">
        <v>18040015</v>
      </c>
      <c r="B1690" s="11" t="s">
        <v>2623</v>
      </c>
      <c r="C1690" s="11" t="s">
        <v>27</v>
      </c>
      <c r="D1690" s="4">
        <f>ROUND(E1690*F1690*1.25,0)</f>
        <v>179</v>
      </c>
      <c r="E1690" s="1">
        <f>ROUND(260/237,2)</f>
        <v>1.1000000000000001</v>
      </c>
      <c r="F1690" s="1">
        <v>130</v>
      </c>
      <c r="H1690" s="1" t="s">
        <v>2709</v>
      </c>
      <c r="I1690" s="1" t="s">
        <v>2999</v>
      </c>
    </row>
    <row r="1691" spans="1:9" ht="15.75" customHeight="1" x14ac:dyDescent="0.25">
      <c r="A1691" s="24">
        <v>18040016</v>
      </c>
      <c r="B1691" s="25" t="s">
        <v>3223</v>
      </c>
      <c r="C1691" s="25" t="s">
        <v>27</v>
      </c>
      <c r="D1691" s="4">
        <v>139</v>
      </c>
      <c r="H1691" s="1" t="s">
        <v>2710</v>
      </c>
    </row>
    <row r="1692" spans="1:9" ht="15.75" customHeight="1" x14ac:dyDescent="0.25">
      <c r="A1692" s="24">
        <v>18040016</v>
      </c>
      <c r="B1692" s="25" t="s">
        <v>3223</v>
      </c>
      <c r="C1692" s="25" t="s">
        <v>28</v>
      </c>
      <c r="D1692" s="4">
        <v>363</v>
      </c>
      <c r="H1692" s="1" t="s">
        <v>2709</v>
      </c>
    </row>
    <row r="1693" spans="1:9" ht="15.75" customHeight="1" x14ac:dyDescent="0.25">
      <c r="A1693" s="3">
        <v>18050001</v>
      </c>
      <c r="B1693" s="11" t="s">
        <v>825</v>
      </c>
      <c r="C1693" s="11" t="s">
        <v>14</v>
      </c>
      <c r="D1693" s="1">
        <v>67</v>
      </c>
      <c r="F1693" s="1"/>
      <c r="G1693" s="1">
        <v>67</v>
      </c>
      <c r="H1693" s="1" t="s">
        <v>2710</v>
      </c>
    </row>
    <row r="1694" spans="1:9" ht="15.75" customHeight="1" x14ac:dyDescent="0.25">
      <c r="A1694" s="16">
        <v>18050001</v>
      </c>
      <c r="B1694" s="11" t="s">
        <v>825</v>
      </c>
      <c r="C1694" s="11" t="s">
        <v>13</v>
      </c>
      <c r="D1694" s="1">
        <v>77</v>
      </c>
      <c r="F1694" s="1"/>
      <c r="G1694" s="1">
        <v>77</v>
      </c>
      <c r="H1694" s="1" t="s">
        <v>2710</v>
      </c>
      <c r="I1694" s="1" t="s">
        <v>2567</v>
      </c>
    </row>
    <row r="1695" spans="1:9" ht="15.75" customHeight="1" x14ac:dyDescent="0.25">
      <c r="A1695" s="3">
        <v>18050001</v>
      </c>
      <c r="B1695" s="11" t="s">
        <v>827</v>
      </c>
      <c r="C1695" s="11" t="s">
        <v>1993</v>
      </c>
      <c r="D1695" s="4">
        <f>G1695</f>
        <v>88</v>
      </c>
      <c r="F1695" s="1"/>
      <c r="G1695" s="1">
        <v>88</v>
      </c>
      <c r="H1695" s="1" t="s">
        <v>2710</v>
      </c>
    </row>
    <row r="1696" spans="1:9" ht="15.75" customHeight="1" x14ac:dyDescent="0.25">
      <c r="A1696" s="3">
        <v>18050001</v>
      </c>
      <c r="B1696" s="11" t="s">
        <v>825</v>
      </c>
      <c r="C1696" s="11" t="s">
        <v>1992</v>
      </c>
      <c r="D1696" s="1">
        <v>77</v>
      </c>
      <c r="F1696" s="1"/>
      <c r="G1696" s="1">
        <v>77</v>
      </c>
      <c r="H1696" s="1" t="s">
        <v>2710</v>
      </c>
    </row>
    <row r="1697" spans="1:9" ht="15.75" customHeight="1" x14ac:dyDescent="0.25">
      <c r="A1697" s="3">
        <v>18050001</v>
      </c>
      <c r="B1697" s="11" t="s">
        <v>2496</v>
      </c>
      <c r="C1697" s="11" t="s">
        <v>1995</v>
      </c>
      <c r="D1697" s="1">
        <v>77</v>
      </c>
      <c r="F1697" s="1"/>
      <c r="G1697" s="1">
        <v>77</v>
      </c>
      <c r="H1697" s="1" t="s">
        <v>2710</v>
      </c>
    </row>
    <row r="1698" spans="1:9" ht="15.75" customHeight="1" x14ac:dyDescent="0.25">
      <c r="A1698" s="5">
        <v>18050002</v>
      </c>
      <c r="B1698" s="11" t="s">
        <v>823</v>
      </c>
      <c r="C1698" s="11" t="s">
        <v>32</v>
      </c>
      <c r="D1698" s="4">
        <f>G1698</f>
        <v>1</v>
      </c>
      <c r="F1698" s="1"/>
      <c r="G1698" s="4">
        <v>1</v>
      </c>
      <c r="H1698" s="1" t="s">
        <v>2710</v>
      </c>
    </row>
    <row r="1699" spans="1:9" ht="15.75" customHeight="1" x14ac:dyDescent="0.25">
      <c r="A1699" s="3">
        <v>18050002</v>
      </c>
      <c r="B1699" s="11" t="s">
        <v>826</v>
      </c>
      <c r="C1699" s="11" t="s">
        <v>1992</v>
      </c>
      <c r="D1699" s="1">
        <v>77</v>
      </c>
      <c r="F1699" s="1"/>
      <c r="G1699" s="1">
        <v>77</v>
      </c>
      <c r="H1699" s="1" t="s">
        <v>2710</v>
      </c>
      <c r="I1699" s="1" t="s">
        <v>2711</v>
      </c>
    </row>
    <row r="1700" spans="1:9" ht="15.75" customHeight="1" x14ac:dyDescent="0.25">
      <c r="A1700" s="3">
        <v>18050002</v>
      </c>
      <c r="B1700" s="11" t="s">
        <v>829</v>
      </c>
      <c r="C1700" s="11" t="s">
        <v>1995</v>
      </c>
      <c r="D1700" s="1">
        <v>77</v>
      </c>
      <c r="F1700" s="1"/>
      <c r="G1700" s="1">
        <v>77</v>
      </c>
      <c r="H1700" s="1" t="s">
        <v>2710</v>
      </c>
      <c r="I1700" s="1" t="s">
        <v>2711</v>
      </c>
    </row>
    <row r="1701" spans="1:9" ht="15.75" customHeight="1" x14ac:dyDescent="0.25">
      <c r="A1701" s="16">
        <v>18050003</v>
      </c>
      <c r="B1701" s="11" t="s">
        <v>824</v>
      </c>
      <c r="C1701" s="11" t="s">
        <v>1991</v>
      </c>
      <c r="D1701" s="1">
        <v>64</v>
      </c>
      <c r="F1701" s="1"/>
      <c r="G1701" s="1">
        <v>64</v>
      </c>
      <c r="H1701" s="1" t="s">
        <v>2712</v>
      </c>
      <c r="I1701" s="1" t="s">
        <v>2702</v>
      </c>
    </row>
    <row r="1702" spans="1:9" ht="15.75" customHeight="1" x14ac:dyDescent="0.25">
      <c r="A1702" s="16">
        <v>18050004</v>
      </c>
      <c r="B1702" s="11" t="s">
        <v>830</v>
      </c>
      <c r="C1702" s="11" t="s">
        <v>1996</v>
      </c>
      <c r="D1702" s="1">
        <f>ROUND(E1702*F1702,0)</f>
        <v>16</v>
      </c>
      <c r="E1702" s="1">
        <f>ROUND(145/237,2)</f>
        <v>0.61</v>
      </c>
      <c r="F1702" s="1">
        <v>27</v>
      </c>
      <c r="H1702" s="1" t="s">
        <v>2712</v>
      </c>
    </row>
    <row r="1703" spans="1:9" ht="15.75" customHeight="1" x14ac:dyDescent="0.25">
      <c r="A1703" s="24">
        <v>18050004</v>
      </c>
      <c r="B1703" s="25" t="s">
        <v>828</v>
      </c>
      <c r="C1703" s="25" t="s">
        <v>13</v>
      </c>
      <c r="D1703" s="4">
        <v>70</v>
      </c>
      <c r="H1703" s="1" t="s">
        <v>2712</v>
      </c>
    </row>
    <row r="1704" spans="1:9" ht="15.75" customHeight="1" x14ac:dyDescent="0.25">
      <c r="A1704" s="24">
        <v>18050004</v>
      </c>
      <c r="B1704" s="25" t="s">
        <v>828</v>
      </c>
      <c r="C1704" s="25" t="s">
        <v>27</v>
      </c>
      <c r="D1704" s="4">
        <v>108</v>
      </c>
      <c r="H1704" s="1" t="s">
        <v>2712</v>
      </c>
    </row>
    <row r="1705" spans="1:9" ht="15.75" customHeight="1" x14ac:dyDescent="0.25">
      <c r="A1705" s="3">
        <v>18050004</v>
      </c>
      <c r="B1705" s="11" t="s">
        <v>828</v>
      </c>
      <c r="C1705" s="11" t="s">
        <v>1994</v>
      </c>
      <c r="D1705" s="1">
        <f>ROUND(E1705*F1705,0)</f>
        <v>51</v>
      </c>
      <c r="E1705" s="1">
        <f>ROUND(145/237,2)</f>
        <v>0.61</v>
      </c>
      <c r="F1705" s="1">
        <v>84</v>
      </c>
      <c r="H1705" s="1" t="s">
        <v>2712</v>
      </c>
    </row>
    <row r="1706" spans="1:9" ht="15.75" customHeight="1" x14ac:dyDescent="0.25">
      <c r="A1706" s="3">
        <v>19010001</v>
      </c>
      <c r="B1706" s="11" t="s">
        <v>833</v>
      </c>
      <c r="C1706" s="11" t="s">
        <v>1997</v>
      </c>
      <c r="D1706" s="10">
        <f t="shared" ref="D1706:D1724" si="50">G1706</f>
        <v>5</v>
      </c>
      <c r="F1706" s="1"/>
      <c r="G1706" s="1">
        <v>5</v>
      </c>
      <c r="H1706" s="1" t="s">
        <v>2796</v>
      </c>
      <c r="I1706" s="1" t="s">
        <v>2459</v>
      </c>
    </row>
    <row r="1707" spans="1:9" ht="15.75" customHeight="1" x14ac:dyDescent="0.25">
      <c r="A1707" s="3">
        <v>19010002</v>
      </c>
      <c r="B1707" s="11" t="s">
        <v>831</v>
      </c>
      <c r="C1707" s="11" t="s">
        <v>1997</v>
      </c>
      <c r="D1707" s="1">
        <f t="shared" si="50"/>
        <v>40</v>
      </c>
      <c r="F1707" s="1"/>
      <c r="G1707" s="1">
        <v>40</v>
      </c>
      <c r="H1707" s="1" t="s">
        <v>2479</v>
      </c>
    </row>
    <row r="1708" spans="1:9" ht="15.75" customHeight="1" x14ac:dyDescent="0.25">
      <c r="A1708" s="3">
        <v>19010003</v>
      </c>
      <c r="B1708" s="11" t="s">
        <v>832</v>
      </c>
      <c r="C1708" s="11" t="s">
        <v>1997</v>
      </c>
      <c r="D1708" s="1">
        <f t="shared" si="50"/>
        <v>12</v>
      </c>
      <c r="F1708" s="1"/>
      <c r="G1708" s="1">
        <v>12</v>
      </c>
      <c r="H1708" s="1" t="s">
        <v>2797</v>
      </c>
    </row>
    <row r="1709" spans="1:9" ht="15.75" customHeight="1" x14ac:dyDescent="0.25">
      <c r="A1709" s="16">
        <v>19010004</v>
      </c>
      <c r="B1709" s="11" t="s">
        <v>2649</v>
      </c>
      <c r="C1709" s="11" t="s">
        <v>13</v>
      </c>
      <c r="D1709" s="1">
        <f t="shared" si="50"/>
        <v>40</v>
      </c>
      <c r="F1709" s="1">
        <f>10*8*1</f>
        <v>80</v>
      </c>
      <c r="G1709" s="1">
        <v>40</v>
      </c>
      <c r="H1709" s="1" t="s">
        <v>2798</v>
      </c>
      <c r="I1709" s="1" t="s">
        <v>2713</v>
      </c>
    </row>
    <row r="1710" spans="1:9" ht="15.75" customHeight="1" x14ac:dyDescent="0.25">
      <c r="A1710" s="3">
        <v>19010004</v>
      </c>
      <c r="B1710" s="11" t="s">
        <v>2649</v>
      </c>
      <c r="C1710" s="11" t="s">
        <v>14</v>
      </c>
      <c r="D1710" s="1">
        <f t="shared" si="50"/>
        <v>20</v>
      </c>
      <c r="F1710" s="1"/>
      <c r="G1710" s="1">
        <v>20</v>
      </c>
      <c r="H1710" s="1" t="s">
        <v>2798</v>
      </c>
      <c r="I1710" s="1" t="s">
        <v>2714</v>
      </c>
    </row>
    <row r="1711" spans="1:9" ht="15.75" customHeight="1" x14ac:dyDescent="0.25">
      <c r="A1711" s="3">
        <v>19010004</v>
      </c>
      <c r="B1711" s="11" t="s">
        <v>2452</v>
      </c>
      <c r="C1711" s="11" t="s">
        <v>1997</v>
      </c>
      <c r="D1711" s="1">
        <f t="shared" si="50"/>
        <v>20</v>
      </c>
      <c r="F1711" s="1"/>
      <c r="G1711" s="1">
        <v>20</v>
      </c>
      <c r="H1711" s="1" t="s">
        <v>2798</v>
      </c>
    </row>
    <row r="1712" spans="1:9" ht="15.75" customHeight="1" x14ac:dyDescent="0.25">
      <c r="A1712" s="3">
        <v>19010005</v>
      </c>
      <c r="B1712" s="11" t="s">
        <v>834</v>
      </c>
      <c r="C1712" s="11" t="s">
        <v>1997</v>
      </c>
      <c r="D1712" s="1">
        <f t="shared" si="50"/>
        <v>20</v>
      </c>
      <c r="F1712" s="1"/>
      <c r="G1712" s="1">
        <v>20</v>
      </c>
      <c r="H1712" s="1" t="s">
        <v>2798</v>
      </c>
      <c r="I1712" s="1" t="s">
        <v>2458</v>
      </c>
    </row>
    <row r="1713" spans="1:9" ht="15.75" customHeight="1" x14ac:dyDescent="0.25">
      <c r="A1713" s="3">
        <v>19010006</v>
      </c>
      <c r="B1713" s="11" t="s">
        <v>835</v>
      </c>
      <c r="C1713" s="11" t="s">
        <v>1997</v>
      </c>
      <c r="D1713" s="1">
        <f t="shared" si="50"/>
        <v>6</v>
      </c>
      <c r="F1713" s="1"/>
      <c r="G1713" s="1">
        <v>6</v>
      </c>
      <c r="H1713" s="1" t="s">
        <v>2799</v>
      </c>
    </row>
    <row r="1714" spans="1:9" ht="15.75" customHeight="1" x14ac:dyDescent="0.25">
      <c r="A1714" s="3">
        <v>19010007</v>
      </c>
      <c r="B1714" s="11" t="s">
        <v>836</v>
      </c>
      <c r="C1714" s="11" t="s">
        <v>1997</v>
      </c>
      <c r="D1714" s="1">
        <f t="shared" si="50"/>
        <v>20</v>
      </c>
      <c r="F1714" s="1"/>
      <c r="G1714" s="1">
        <v>20</v>
      </c>
      <c r="H1714" s="1" t="s">
        <v>2798</v>
      </c>
      <c r="I1714" s="1" t="s">
        <v>2459</v>
      </c>
    </row>
    <row r="1715" spans="1:9" ht="15.75" customHeight="1" x14ac:dyDescent="0.25">
      <c r="A1715" s="16">
        <v>19010008</v>
      </c>
      <c r="B1715" s="11" t="s">
        <v>837</v>
      </c>
      <c r="C1715" s="11" t="s">
        <v>13</v>
      </c>
      <c r="D1715" s="1">
        <f t="shared" si="50"/>
        <v>10</v>
      </c>
      <c r="F1715" s="1"/>
      <c r="G1715" s="1">
        <v>10</v>
      </c>
      <c r="H1715" s="1" t="s">
        <v>2796</v>
      </c>
      <c r="I1715" s="1" t="s">
        <v>2713</v>
      </c>
    </row>
    <row r="1716" spans="1:9" ht="15.75" customHeight="1" x14ac:dyDescent="0.25">
      <c r="A1716" s="3">
        <v>19010008</v>
      </c>
      <c r="B1716" s="11" t="s">
        <v>837</v>
      </c>
      <c r="C1716" s="11" t="s">
        <v>1997</v>
      </c>
      <c r="D1716" s="1">
        <f t="shared" si="50"/>
        <v>5</v>
      </c>
      <c r="F1716" s="1"/>
      <c r="G1716" s="1">
        <v>5</v>
      </c>
      <c r="H1716" s="1" t="s">
        <v>2796</v>
      </c>
    </row>
    <row r="1717" spans="1:9" ht="15.75" customHeight="1" x14ac:dyDescent="0.25">
      <c r="A1717" s="3">
        <v>19010009</v>
      </c>
      <c r="B1717" s="11" t="s">
        <v>840</v>
      </c>
      <c r="C1717" s="11" t="s">
        <v>1997</v>
      </c>
      <c r="D1717" s="1">
        <f t="shared" si="50"/>
        <v>5</v>
      </c>
      <c r="F1717" s="1"/>
      <c r="G1717" s="1">
        <v>5</v>
      </c>
      <c r="H1717" s="1" t="s">
        <v>2800</v>
      </c>
    </row>
    <row r="1718" spans="1:9" ht="15.75" customHeight="1" x14ac:dyDescent="0.25">
      <c r="A1718" s="3">
        <v>19010010</v>
      </c>
      <c r="B1718" s="11" t="s">
        <v>839</v>
      </c>
      <c r="C1718" s="11" t="s">
        <v>1997</v>
      </c>
      <c r="D1718" s="1">
        <f t="shared" si="50"/>
        <v>4</v>
      </c>
      <c r="F1718" s="1"/>
      <c r="G1718" s="1">
        <v>4</v>
      </c>
      <c r="H1718" s="1" t="s">
        <v>2801</v>
      </c>
    </row>
    <row r="1719" spans="1:9" ht="15.75" customHeight="1" x14ac:dyDescent="0.25">
      <c r="A1719" s="16">
        <v>19010011</v>
      </c>
      <c r="B1719" s="11" t="s">
        <v>838</v>
      </c>
      <c r="C1719" s="11" t="s">
        <v>12</v>
      </c>
      <c r="D1719" s="1">
        <f t="shared" si="50"/>
        <v>5</v>
      </c>
      <c r="F1719" s="1"/>
      <c r="G1719" s="1">
        <v>5</v>
      </c>
      <c r="H1719" s="1" t="s">
        <v>2796</v>
      </c>
      <c r="I1719" s="1" t="s">
        <v>2567</v>
      </c>
    </row>
    <row r="1720" spans="1:9" ht="15.75" customHeight="1" x14ac:dyDescent="0.25">
      <c r="A1720" s="3">
        <v>19010011</v>
      </c>
      <c r="B1720" s="11" t="s">
        <v>838</v>
      </c>
      <c r="C1720" s="11" t="s">
        <v>1997</v>
      </c>
      <c r="D1720" s="1">
        <f t="shared" si="50"/>
        <v>5</v>
      </c>
      <c r="F1720" s="1"/>
      <c r="G1720" s="1">
        <v>5</v>
      </c>
      <c r="H1720" s="1" t="s">
        <v>2796</v>
      </c>
    </row>
    <row r="1721" spans="1:9" ht="15.75" customHeight="1" x14ac:dyDescent="0.25">
      <c r="A1721" s="3">
        <v>19010012</v>
      </c>
      <c r="B1721" s="11" t="s">
        <v>841</v>
      </c>
      <c r="C1721" s="11" t="s">
        <v>1997</v>
      </c>
      <c r="D1721" s="1">
        <f t="shared" si="50"/>
        <v>18</v>
      </c>
      <c r="F1721" s="1"/>
      <c r="G1721" s="1">
        <v>18</v>
      </c>
      <c r="H1721" s="1" t="s">
        <v>2802</v>
      </c>
    </row>
    <row r="1722" spans="1:9" ht="15.75" customHeight="1" x14ac:dyDescent="0.25">
      <c r="A1722" s="16">
        <v>19010013</v>
      </c>
      <c r="B1722" s="11" t="s">
        <v>842</v>
      </c>
      <c r="C1722" s="11" t="s">
        <v>12</v>
      </c>
      <c r="D1722" s="1">
        <f t="shared" si="50"/>
        <v>23</v>
      </c>
      <c r="F1722" s="1"/>
      <c r="G1722" s="1">
        <v>23</v>
      </c>
      <c r="H1722" s="1" t="s">
        <v>2480</v>
      </c>
      <c r="I1722" s="1" t="s">
        <v>2567</v>
      </c>
    </row>
    <row r="1723" spans="1:9" ht="15.75" customHeight="1" x14ac:dyDescent="0.25">
      <c r="A1723" s="3">
        <v>19010013</v>
      </c>
      <c r="B1723" s="11" t="s">
        <v>842</v>
      </c>
      <c r="C1723" s="11" t="s">
        <v>1997</v>
      </c>
      <c r="D1723" s="1">
        <f t="shared" si="50"/>
        <v>23</v>
      </c>
      <c r="F1723" s="1"/>
      <c r="G1723" s="1">
        <v>23</v>
      </c>
      <c r="H1723" s="8" t="s">
        <v>2480</v>
      </c>
      <c r="I1723" s="1" t="s">
        <v>2481</v>
      </c>
    </row>
    <row r="1724" spans="1:9" ht="15.75" customHeight="1" x14ac:dyDescent="0.25">
      <c r="A1724" s="3">
        <v>19010014</v>
      </c>
      <c r="B1724" s="11" t="s">
        <v>843</v>
      </c>
      <c r="C1724" s="11" t="s">
        <v>1997</v>
      </c>
      <c r="D1724" s="1">
        <f t="shared" si="50"/>
        <v>5</v>
      </c>
      <c r="E1724" s="10"/>
      <c r="F1724" s="1"/>
      <c r="G1724" s="1">
        <v>5</v>
      </c>
      <c r="H1724" s="1" t="s">
        <v>2796</v>
      </c>
      <c r="I1724" s="1" t="s">
        <v>2459</v>
      </c>
    </row>
    <row r="1725" spans="1:9" ht="15.75" customHeight="1" x14ac:dyDescent="0.25">
      <c r="A1725" s="24">
        <v>19020001</v>
      </c>
      <c r="B1725" s="25" t="s">
        <v>849</v>
      </c>
      <c r="C1725" s="25" t="s">
        <v>4</v>
      </c>
      <c r="D1725" s="4">
        <v>50</v>
      </c>
      <c r="H1725" s="1" t="s">
        <v>2803</v>
      </c>
    </row>
    <row r="1726" spans="1:9" ht="15.75" customHeight="1" x14ac:dyDescent="0.25">
      <c r="A1726" s="3">
        <v>19020001</v>
      </c>
      <c r="B1726" s="11" t="s">
        <v>873</v>
      </c>
      <c r="C1726" s="11" t="s">
        <v>2024</v>
      </c>
      <c r="D1726" s="1">
        <v>50</v>
      </c>
      <c r="F1726" s="1"/>
      <c r="G1726" s="1">
        <v>50</v>
      </c>
      <c r="H1726" s="1" t="s">
        <v>2803</v>
      </c>
      <c r="I1726" s="1" t="s">
        <v>2742</v>
      </c>
    </row>
    <row r="1727" spans="1:9" ht="15.75" customHeight="1" x14ac:dyDescent="0.25">
      <c r="A1727" s="3">
        <v>19020001</v>
      </c>
      <c r="B1727" s="11" t="s">
        <v>863</v>
      </c>
      <c r="C1727" s="11" t="s">
        <v>2014</v>
      </c>
      <c r="D1727" s="1">
        <v>99</v>
      </c>
      <c r="F1727" s="10"/>
      <c r="G1727" s="1">
        <v>99</v>
      </c>
      <c r="H1727" s="1" t="s">
        <v>2803</v>
      </c>
      <c r="I1727" s="1" t="s">
        <v>2743</v>
      </c>
    </row>
    <row r="1728" spans="1:9" ht="15.75" customHeight="1" x14ac:dyDescent="0.25">
      <c r="A1728" s="16">
        <v>19020001</v>
      </c>
      <c r="B1728" s="11" t="s">
        <v>849</v>
      </c>
      <c r="C1728" s="11" t="s">
        <v>2002</v>
      </c>
      <c r="D1728" s="1">
        <v>66</v>
      </c>
      <c r="F1728" s="1"/>
      <c r="G1728" s="1">
        <v>66</v>
      </c>
      <c r="H1728" s="1" t="s">
        <v>2803</v>
      </c>
      <c r="I1728" s="1" t="s">
        <v>2741</v>
      </c>
    </row>
    <row r="1729" spans="1:9" ht="15.75" customHeight="1" x14ac:dyDescent="0.25">
      <c r="A1729" s="16">
        <v>19020001</v>
      </c>
      <c r="B1729" s="11" t="s">
        <v>859</v>
      </c>
      <c r="C1729" s="11" t="s">
        <v>2011</v>
      </c>
      <c r="D1729" s="1">
        <v>66</v>
      </c>
      <c r="F1729" s="1"/>
      <c r="G1729" s="1">
        <v>66</v>
      </c>
      <c r="H1729" s="1" t="s">
        <v>2803</v>
      </c>
      <c r="I1729" s="1" t="s">
        <v>2741</v>
      </c>
    </row>
    <row r="1730" spans="1:9" ht="15.75" customHeight="1" x14ac:dyDescent="0.25">
      <c r="A1730" s="16">
        <v>19020001</v>
      </c>
      <c r="B1730" s="11" t="s">
        <v>855</v>
      </c>
      <c r="C1730" s="11" t="s">
        <v>2007</v>
      </c>
      <c r="D1730" s="1">
        <f>G1730</f>
        <v>33</v>
      </c>
      <c r="F1730" s="1"/>
      <c r="G1730" s="1">
        <v>33</v>
      </c>
      <c r="H1730" s="1" t="s">
        <v>2803</v>
      </c>
      <c r="I1730" s="1" t="s">
        <v>2559</v>
      </c>
    </row>
    <row r="1731" spans="1:9" ht="15.75" customHeight="1" x14ac:dyDescent="0.25">
      <c r="A1731" s="20">
        <v>19020002</v>
      </c>
      <c r="B1731" s="11" t="s">
        <v>844</v>
      </c>
      <c r="C1731" s="11" t="s">
        <v>21</v>
      </c>
      <c r="D1731" s="1">
        <v>10</v>
      </c>
      <c r="F1731" s="10"/>
      <c r="G1731" s="1">
        <v>10</v>
      </c>
      <c r="H1731" s="1" t="s">
        <v>2804</v>
      </c>
      <c r="I1731" s="1" t="s">
        <v>2748</v>
      </c>
    </row>
    <row r="1732" spans="1:9" ht="15.75" customHeight="1" x14ac:dyDescent="0.25">
      <c r="A1732" s="24">
        <v>19020002</v>
      </c>
      <c r="B1732" s="25" t="s">
        <v>844</v>
      </c>
      <c r="C1732" s="25" t="s">
        <v>17</v>
      </c>
      <c r="D1732" s="4">
        <v>15</v>
      </c>
      <c r="H1732" s="1" t="s">
        <v>2804</v>
      </c>
    </row>
    <row r="1733" spans="1:9" ht="15.75" customHeight="1" x14ac:dyDescent="0.25">
      <c r="A1733" s="16">
        <v>19020002</v>
      </c>
      <c r="B1733" s="11" t="s">
        <v>848</v>
      </c>
      <c r="C1733" s="11" t="s">
        <v>2001</v>
      </c>
      <c r="D1733" s="1">
        <v>20</v>
      </c>
      <c r="F1733" s="1"/>
      <c r="G1733" s="1">
        <v>20</v>
      </c>
      <c r="H1733" s="1" t="s">
        <v>2804</v>
      </c>
      <c r="I1733" s="1" t="s">
        <v>2745</v>
      </c>
    </row>
    <row r="1734" spans="1:9" ht="15.75" customHeight="1" x14ac:dyDescent="0.25">
      <c r="A1734" s="16">
        <v>19020002</v>
      </c>
      <c r="B1734" s="11" t="s">
        <v>864</v>
      </c>
      <c r="C1734" s="11" t="s">
        <v>2015</v>
      </c>
      <c r="D1734" s="1">
        <v>40</v>
      </c>
      <c r="F1734" s="1"/>
      <c r="G1734" s="1">
        <v>40</v>
      </c>
      <c r="H1734" s="1" t="s">
        <v>2804</v>
      </c>
      <c r="I1734" s="1" t="s">
        <v>2746</v>
      </c>
    </row>
    <row r="1735" spans="1:9" ht="15.75" customHeight="1" x14ac:dyDescent="0.25">
      <c r="A1735" s="3">
        <v>19020002</v>
      </c>
      <c r="B1735" s="11" t="s">
        <v>864</v>
      </c>
      <c r="C1735" s="11" t="s">
        <v>2014</v>
      </c>
      <c r="D1735" s="1">
        <v>60</v>
      </c>
      <c r="F1735" s="10"/>
      <c r="G1735" s="1">
        <v>60</v>
      </c>
      <c r="H1735" s="1" t="s">
        <v>2804</v>
      </c>
      <c r="I1735" s="1" t="s">
        <v>2747</v>
      </c>
    </row>
    <row r="1736" spans="1:9" ht="15.75" customHeight="1" x14ac:dyDescent="0.25">
      <c r="A1736" s="3">
        <v>19020002</v>
      </c>
      <c r="B1736" s="11" t="s">
        <v>844</v>
      </c>
      <c r="C1736" s="11" t="s">
        <v>1998</v>
      </c>
      <c r="D1736" s="1">
        <v>80</v>
      </c>
      <c r="F1736" s="1"/>
      <c r="G1736" s="1">
        <v>80</v>
      </c>
      <c r="H1736" s="1" t="s">
        <v>2804</v>
      </c>
      <c r="I1736" s="1" t="s">
        <v>2749</v>
      </c>
    </row>
    <row r="1737" spans="1:9" ht="15.75" customHeight="1" x14ac:dyDescent="0.25">
      <c r="A1737" s="16">
        <v>19020002</v>
      </c>
      <c r="B1737" s="11" t="s">
        <v>860</v>
      </c>
      <c r="C1737" s="11" t="s">
        <v>2012</v>
      </c>
      <c r="D1737" s="1">
        <v>20</v>
      </c>
      <c r="F1737" s="1"/>
      <c r="G1737" s="1">
        <v>20</v>
      </c>
      <c r="H1737" s="1" t="s">
        <v>2804</v>
      </c>
      <c r="I1737" s="1" t="s">
        <v>2745</v>
      </c>
    </row>
    <row r="1738" spans="1:9" ht="15.75" customHeight="1" x14ac:dyDescent="0.25">
      <c r="A1738" s="16">
        <v>19020003</v>
      </c>
      <c r="B1738" s="11" t="s">
        <v>857</v>
      </c>
      <c r="C1738" s="11" t="s">
        <v>2009</v>
      </c>
      <c r="D1738" s="1">
        <v>50</v>
      </c>
      <c r="F1738" s="1"/>
      <c r="G1738" s="1">
        <v>50</v>
      </c>
      <c r="H1738" s="1" t="s">
        <v>2805</v>
      </c>
      <c r="I1738" s="1" t="s">
        <v>2741</v>
      </c>
    </row>
    <row r="1739" spans="1:9" ht="15.75" customHeight="1" x14ac:dyDescent="0.25">
      <c r="A1739" s="3">
        <v>19020003</v>
      </c>
      <c r="B1739" s="11" t="s">
        <v>868</v>
      </c>
      <c r="C1739" s="11" t="s">
        <v>2019</v>
      </c>
      <c r="D1739" s="1">
        <v>75</v>
      </c>
      <c r="F1739" s="10"/>
      <c r="G1739" s="1">
        <v>75</v>
      </c>
      <c r="H1739" s="1" t="s">
        <v>2805</v>
      </c>
      <c r="I1739" s="1" t="s">
        <v>2743</v>
      </c>
    </row>
    <row r="1740" spans="1:9" ht="15.75" customHeight="1" x14ac:dyDescent="0.25">
      <c r="A1740" s="16">
        <v>19020003</v>
      </c>
      <c r="B1740" s="11" t="s">
        <v>861</v>
      </c>
      <c r="C1740" s="11" t="s">
        <v>2012</v>
      </c>
      <c r="D1740" s="1">
        <v>25</v>
      </c>
      <c r="F1740" s="1"/>
      <c r="G1740" s="1">
        <v>25</v>
      </c>
      <c r="H1740" s="1" t="s">
        <v>2805</v>
      </c>
      <c r="I1740" s="1" t="s">
        <v>2739</v>
      </c>
    </row>
    <row r="1741" spans="1:9" ht="15.75" customHeight="1" x14ac:dyDescent="0.25">
      <c r="A1741" s="16">
        <v>19020004</v>
      </c>
      <c r="B1741" s="11" t="s">
        <v>866</v>
      </c>
      <c r="C1741" s="11" t="s">
        <v>2017</v>
      </c>
      <c r="D1741" s="1">
        <v>50</v>
      </c>
      <c r="F1741" s="1"/>
      <c r="G1741" s="1">
        <v>50</v>
      </c>
      <c r="H1741" s="1" t="s">
        <v>2805</v>
      </c>
      <c r="I1741" s="1" t="s">
        <v>2741</v>
      </c>
    </row>
    <row r="1742" spans="1:9" ht="15.75" customHeight="1" x14ac:dyDescent="0.25">
      <c r="A1742" s="3">
        <v>19020004</v>
      </c>
      <c r="B1742" s="11" t="s">
        <v>876</v>
      </c>
      <c r="C1742" s="11" t="s">
        <v>2028</v>
      </c>
      <c r="D1742" s="1">
        <v>38</v>
      </c>
      <c r="F1742" s="1"/>
      <c r="G1742" s="1">
        <v>38</v>
      </c>
      <c r="H1742" s="1" t="s">
        <v>2805</v>
      </c>
      <c r="I1742" s="1" t="s">
        <v>2742</v>
      </c>
    </row>
    <row r="1743" spans="1:9" ht="15.75" customHeight="1" x14ac:dyDescent="0.25">
      <c r="A1743" s="16">
        <v>19020004</v>
      </c>
      <c r="B1743" s="11" t="s">
        <v>858</v>
      </c>
      <c r="C1743" s="11" t="s">
        <v>2010</v>
      </c>
      <c r="D1743" s="1">
        <v>25</v>
      </c>
      <c r="F1743" s="1"/>
      <c r="G1743" s="1">
        <v>25</v>
      </c>
      <c r="H1743" s="1" t="s">
        <v>2805</v>
      </c>
      <c r="I1743" s="1" t="s">
        <v>2739</v>
      </c>
    </row>
    <row r="1744" spans="1:9" ht="15.75" customHeight="1" x14ac:dyDescent="0.25">
      <c r="A1744" s="16">
        <v>19020005</v>
      </c>
      <c r="B1744" s="11" t="s">
        <v>853</v>
      </c>
      <c r="C1744" s="11" t="s">
        <v>2005</v>
      </c>
      <c r="D1744" s="1">
        <v>31</v>
      </c>
      <c r="F1744" s="1"/>
      <c r="G1744" s="1">
        <v>31</v>
      </c>
      <c r="H1744" s="1" t="s">
        <v>2806</v>
      </c>
      <c r="I1744" s="1" t="s">
        <v>2739</v>
      </c>
    </row>
    <row r="1745" spans="1:9" ht="15.75" customHeight="1" x14ac:dyDescent="0.25">
      <c r="A1745" s="16">
        <v>19020005</v>
      </c>
      <c r="B1745" s="11" t="s">
        <v>862</v>
      </c>
      <c r="C1745" s="11" t="s">
        <v>2013</v>
      </c>
      <c r="D1745" s="1">
        <v>62</v>
      </c>
      <c r="F1745" s="1"/>
      <c r="G1745" s="1">
        <v>62</v>
      </c>
      <c r="H1745" s="1" t="s">
        <v>2806</v>
      </c>
      <c r="I1745" s="1" t="s">
        <v>2741</v>
      </c>
    </row>
    <row r="1746" spans="1:9" ht="15.75" customHeight="1" x14ac:dyDescent="0.25">
      <c r="A1746" s="24">
        <v>19020005</v>
      </c>
      <c r="B1746" s="25" t="s">
        <v>851</v>
      </c>
      <c r="C1746" s="25" t="s">
        <v>6</v>
      </c>
      <c r="D1746" s="4">
        <v>93</v>
      </c>
      <c r="H1746" s="1" t="s">
        <v>2806</v>
      </c>
    </row>
    <row r="1747" spans="1:9" ht="15.75" customHeight="1" x14ac:dyDescent="0.25">
      <c r="A1747" s="16">
        <v>19020005</v>
      </c>
      <c r="B1747" s="11" t="s">
        <v>851</v>
      </c>
      <c r="C1747" s="11" t="s">
        <v>2004</v>
      </c>
      <c r="D1747" s="1">
        <v>62</v>
      </c>
      <c r="F1747" s="1"/>
      <c r="G1747" s="1">
        <v>62</v>
      </c>
      <c r="H1747" s="1" t="s">
        <v>2806</v>
      </c>
      <c r="I1747" s="1" t="s">
        <v>2741</v>
      </c>
    </row>
    <row r="1748" spans="1:9" ht="15.75" customHeight="1" x14ac:dyDescent="0.25">
      <c r="A1748" s="16">
        <v>19020005</v>
      </c>
      <c r="B1748" s="11" t="s">
        <v>874</v>
      </c>
      <c r="C1748" s="11" t="s">
        <v>2025</v>
      </c>
      <c r="D1748" s="1">
        <v>93</v>
      </c>
      <c r="F1748" s="10"/>
      <c r="G1748" s="1">
        <v>93</v>
      </c>
      <c r="H1748" s="1" t="s">
        <v>2806</v>
      </c>
      <c r="I1748" s="1" t="s">
        <v>2743</v>
      </c>
    </row>
    <row r="1749" spans="1:9" ht="15.75" customHeight="1" x14ac:dyDescent="0.25">
      <c r="A1749" s="16">
        <v>19020005</v>
      </c>
      <c r="B1749" s="11" t="s">
        <v>870</v>
      </c>
      <c r="C1749" s="11" t="s">
        <v>2021</v>
      </c>
      <c r="D1749" s="1">
        <v>62</v>
      </c>
      <c r="F1749" s="1"/>
      <c r="G1749" s="1">
        <v>62</v>
      </c>
      <c r="H1749" s="1" t="s">
        <v>2806</v>
      </c>
      <c r="I1749" s="1" t="s">
        <v>2741</v>
      </c>
    </row>
    <row r="1750" spans="1:9" ht="15.75" customHeight="1" x14ac:dyDescent="0.25">
      <c r="A1750" s="16">
        <v>19020005</v>
      </c>
      <c r="B1750" s="11" t="s">
        <v>865</v>
      </c>
      <c r="C1750" s="11" t="s">
        <v>2016</v>
      </c>
      <c r="D1750" s="1">
        <v>31</v>
      </c>
      <c r="F1750" s="1"/>
      <c r="G1750" s="1">
        <v>31</v>
      </c>
      <c r="H1750" s="1" t="s">
        <v>2806</v>
      </c>
      <c r="I1750" s="1" t="s">
        <v>2559</v>
      </c>
    </row>
    <row r="1751" spans="1:9" ht="15.75" customHeight="1" x14ac:dyDescent="0.25">
      <c r="A1751" s="16">
        <v>19020006</v>
      </c>
      <c r="B1751" s="11" t="s">
        <v>867</v>
      </c>
      <c r="C1751" s="11" t="s">
        <v>2018</v>
      </c>
      <c r="D1751" s="1">
        <v>8</v>
      </c>
      <c r="F1751" s="10"/>
      <c r="G1751" s="1">
        <v>8</v>
      </c>
      <c r="H1751" s="1" t="s">
        <v>2806</v>
      </c>
      <c r="I1751" s="1" t="s">
        <v>2740</v>
      </c>
    </row>
    <row r="1752" spans="1:9" ht="15.75" customHeight="1" x14ac:dyDescent="0.25">
      <c r="A1752" s="24">
        <v>19020006</v>
      </c>
      <c r="B1752" s="25" t="s">
        <v>845</v>
      </c>
      <c r="C1752" s="25" t="s">
        <v>26</v>
      </c>
      <c r="D1752" s="4">
        <v>10</v>
      </c>
      <c r="H1752" s="1" t="s">
        <v>2806</v>
      </c>
    </row>
    <row r="1753" spans="1:9" ht="15.75" customHeight="1" x14ac:dyDescent="0.25">
      <c r="A1753" s="16">
        <v>19020006</v>
      </c>
      <c r="B1753" s="11" t="s">
        <v>854</v>
      </c>
      <c r="C1753" s="11" t="s">
        <v>2006</v>
      </c>
      <c r="D1753" s="1">
        <v>16</v>
      </c>
      <c r="F1753" s="1"/>
      <c r="G1753" s="1">
        <v>16</v>
      </c>
      <c r="H1753" s="1" t="s">
        <v>2806</v>
      </c>
      <c r="I1753" s="1" t="s">
        <v>2557</v>
      </c>
    </row>
    <row r="1754" spans="1:9" ht="15.75" customHeight="1" x14ac:dyDescent="0.25">
      <c r="A1754" s="3">
        <v>19020006</v>
      </c>
      <c r="B1754" s="11" t="s">
        <v>847</v>
      </c>
      <c r="C1754" s="11" t="s">
        <v>2000</v>
      </c>
      <c r="D1754" s="1">
        <f>G1754</f>
        <v>26</v>
      </c>
      <c r="F1754" s="1"/>
      <c r="G1754" s="1">
        <v>26</v>
      </c>
      <c r="H1754" s="1" t="s">
        <v>2806</v>
      </c>
      <c r="I1754" s="1" t="s">
        <v>2744</v>
      </c>
    </row>
    <row r="1755" spans="1:9" ht="15.75" customHeight="1" x14ac:dyDescent="0.25">
      <c r="A1755" s="16">
        <v>19020006</v>
      </c>
      <c r="B1755" s="11" t="s">
        <v>850</v>
      </c>
      <c r="C1755" s="11" t="s">
        <v>2003</v>
      </c>
      <c r="D1755" s="1">
        <v>31</v>
      </c>
      <c r="F1755" s="1"/>
      <c r="G1755" s="1">
        <v>31</v>
      </c>
      <c r="H1755" s="1" t="s">
        <v>2806</v>
      </c>
      <c r="I1755" s="1" t="s">
        <v>2739</v>
      </c>
    </row>
    <row r="1756" spans="1:9" ht="15.75" customHeight="1" x14ac:dyDescent="0.25">
      <c r="A1756" s="3">
        <v>19020006</v>
      </c>
      <c r="B1756" s="11" t="s">
        <v>845</v>
      </c>
      <c r="C1756" s="11" t="s">
        <v>1999</v>
      </c>
      <c r="D1756" s="1">
        <f>G1756</f>
        <v>31</v>
      </c>
      <c r="F1756" s="1"/>
      <c r="G1756" s="1">
        <v>31</v>
      </c>
      <c r="H1756" s="1" t="s">
        <v>2806</v>
      </c>
    </row>
    <row r="1757" spans="1:9" ht="15.75" customHeight="1" x14ac:dyDescent="0.25">
      <c r="A1757" s="24">
        <v>19020006</v>
      </c>
      <c r="B1757" s="25" t="s">
        <v>845</v>
      </c>
      <c r="C1757" s="25" t="s">
        <v>4</v>
      </c>
      <c r="D1757" s="4">
        <v>62</v>
      </c>
      <c r="H1757" s="1" t="s">
        <v>2806</v>
      </c>
    </row>
    <row r="1758" spans="1:9" ht="15.75" customHeight="1" x14ac:dyDescent="0.25">
      <c r="A1758" s="5">
        <v>19020006</v>
      </c>
      <c r="B1758" s="11" t="s">
        <v>845</v>
      </c>
      <c r="C1758" s="11" t="s">
        <v>6</v>
      </c>
      <c r="D1758" s="1">
        <v>62</v>
      </c>
      <c r="F1758" s="1"/>
      <c r="G1758" s="1">
        <v>62</v>
      </c>
      <c r="H1758" s="1" t="s">
        <v>2806</v>
      </c>
      <c r="I1758" s="1" t="s">
        <v>2741</v>
      </c>
    </row>
    <row r="1759" spans="1:9" ht="15.75" customHeight="1" x14ac:dyDescent="0.25">
      <c r="A1759" s="3">
        <v>19020006</v>
      </c>
      <c r="B1759" s="11" t="s">
        <v>856</v>
      </c>
      <c r="C1759" s="11" t="s">
        <v>2008</v>
      </c>
      <c r="D1759" s="1">
        <f>G1759</f>
        <v>26</v>
      </c>
      <c r="F1759" s="1"/>
      <c r="G1759" s="1">
        <v>26</v>
      </c>
      <c r="H1759" s="1" t="s">
        <v>2806</v>
      </c>
    </row>
    <row r="1760" spans="1:9" ht="15.75" customHeight="1" x14ac:dyDescent="0.25">
      <c r="A1760" s="16">
        <v>19020006</v>
      </c>
      <c r="B1760" s="11" t="s">
        <v>852</v>
      </c>
      <c r="C1760" s="11" t="s">
        <v>2004</v>
      </c>
      <c r="D1760" s="1">
        <v>62</v>
      </c>
      <c r="F1760" s="1"/>
      <c r="G1760" s="1">
        <v>62</v>
      </c>
      <c r="H1760" s="1" t="s">
        <v>2806</v>
      </c>
      <c r="I1760" s="1" t="s">
        <v>2741</v>
      </c>
    </row>
    <row r="1761" spans="1:9" ht="15.75" customHeight="1" x14ac:dyDescent="0.25">
      <c r="A1761" s="3">
        <v>19020006</v>
      </c>
      <c r="B1761" s="11" t="s">
        <v>877</v>
      </c>
      <c r="C1761" s="11" t="s">
        <v>2028</v>
      </c>
      <c r="D1761" s="1">
        <v>47</v>
      </c>
      <c r="F1761" s="1"/>
      <c r="G1761" s="1">
        <v>47</v>
      </c>
      <c r="H1761" s="1" t="s">
        <v>2806</v>
      </c>
      <c r="I1761" s="1" t="s">
        <v>2742</v>
      </c>
    </row>
    <row r="1762" spans="1:9" ht="15.75" customHeight="1" x14ac:dyDescent="0.25">
      <c r="A1762" s="3">
        <v>19020006</v>
      </c>
      <c r="B1762" s="11" t="s">
        <v>872</v>
      </c>
      <c r="C1762" s="11" t="s">
        <v>2023</v>
      </c>
      <c r="D1762" s="1">
        <v>93</v>
      </c>
      <c r="F1762" s="10"/>
      <c r="G1762" s="1">
        <v>93</v>
      </c>
      <c r="H1762" s="1" t="s">
        <v>2806</v>
      </c>
      <c r="I1762" s="1" t="s">
        <v>2743</v>
      </c>
    </row>
    <row r="1763" spans="1:9" ht="15.75" customHeight="1" x14ac:dyDescent="0.25">
      <c r="A1763" s="16">
        <v>19020006</v>
      </c>
      <c r="B1763" s="11" t="s">
        <v>869</v>
      </c>
      <c r="C1763" s="11" t="s">
        <v>2021</v>
      </c>
      <c r="D1763" s="1">
        <v>62</v>
      </c>
      <c r="F1763" s="1"/>
      <c r="G1763" s="1">
        <v>62</v>
      </c>
      <c r="H1763" s="1" t="s">
        <v>2806</v>
      </c>
      <c r="I1763" s="1" t="s">
        <v>2741</v>
      </c>
    </row>
    <row r="1764" spans="1:9" ht="15.75" customHeight="1" x14ac:dyDescent="0.25">
      <c r="A1764" s="16">
        <v>19020006</v>
      </c>
      <c r="B1764" s="11" t="s">
        <v>869</v>
      </c>
      <c r="C1764" s="11" t="s">
        <v>2020</v>
      </c>
      <c r="D1764" s="1">
        <v>31</v>
      </c>
      <c r="F1764" s="1"/>
      <c r="G1764" s="1">
        <v>31</v>
      </c>
      <c r="H1764" s="1" t="s">
        <v>2806</v>
      </c>
      <c r="I1764" s="1" t="s">
        <v>2559</v>
      </c>
    </row>
    <row r="1765" spans="1:9" ht="15.75" customHeight="1" x14ac:dyDescent="0.25">
      <c r="A1765" s="16">
        <v>19020007</v>
      </c>
      <c r="B1765" s="11" t="s">
        <v>875</v>
      </c>
      <c r="C1765" s="11" t="s">
        <v>2026</v>
      </c>
      <c r="D1765" s="1">
        <v>9</v>
      </c>
      <c r="F1765" s="10"/>
      <c r="G1765" s="1">
        <v>9</v>
      </c>
      <c r="H1765" s="1" t="s">
        <v>2807</v>
      </c>
      <c r="I1765" s="1" t="s">
        <v>2740</v>
      </c>
    </row>
    <row r="1766" spans="1:9" ht="15.75" customHeight="1" x14ac:dyDescent="0.25">
      <c r="A1766" s="16">
        <v>19020007</v>
      </c>
      <c r="B1766" s="11" t="s">
        <v>846</v>
      </c>
      <c r="C1766" s="11" t="s">
        <v>12</v>
      </c>
      <c r="D1766" s="1">
        <v>35</v>
      </c>
      <c r="F1766" s="1"/>
      <c r="G1766" s="1">
        <v>35</v>
      </c>
      <c r="H1766" s="1" t="s">
        <v>2807</v>
      </c>
      <c r="I1766" s="1" t="s">
        <v>2739</v>
      </c>
    </row>
    <row r="1767" spans="1:9" ht="15.75" customHeight="1" x14ac:dyDescent="0.25">
      <c r="A1767" s="3">
        <v>19020007</v>
      </c>
      <c r="B1767" s="11" t="s">
        <v>846</v>
      </c>
      <c r="C1767" s="11" t="s">
        <v>1999</v>
      </c>
      <c r="D1767" s="1">
        <v>35</v>
      </c>
      <c r="F1767" s="1"/>
      <c r="G1767" s="1">
        <v>35</v>
      </c>
      <c r="H1767" s="1" t="s">
        <v>2807</v>
      </c>
    </row>
    <row r="1768" spans="1:9" ht="15.75" customHeight="1" x14ac:dyDescent="0.25">
      <c r="A1768" s="16">
        <v>19020007</v>
      </c>
      <c r="B1768" s="11" t="s">
        <v>875</v>
      </c>
      <c r="C1768" s="11" t="s">
        <v>2027</v>
      </c>
      <c r="D1768" s="1">
        <v>70</v>
      </c>
      <c r="F1768" s="1"/>
      <c r="G1768" s="1">
        <v>70</v>
      </c>
      <c r="H1768" s="1" t="s">
        <v>2807</v>
      </c>
      <c r="I1768" s="1" t="s">
        <v>2741</v>
      </c>
    </row>
    <row r="1769" spans="1:9" ht="15.75" customHeight="1" x14ac:dyDescent="0.25">
      <c r="A1769" s="16">
        <v>19020007</v>
      </c>
      <c r="B1769" s="11" t="s">
        <v>871</v>
      </c>
      <c r="C1769" s="11" t="s">
        <v>2022</v>
      </c>
      <c r="D1769" s="1">
        <v>35</v>
      </c>
      <c r="F1769" s="1"/>
      <c r="G1769" s="1">
        <v>35</v>
      </c>
      <c r="H1769" s="1" t="s">
        <v>2807</v>
      </c>
      <c r="I1769" s="1" t="s">
        <v>2559</v>
      </c>
    </row>
    <row r="1770" spans="1:9" ht="15.75" customHeight="1" x14ac:dyDescent="0.25">
      <c r="A1770" s="16">
        <v>19030002</v>
      </c>
      <c r="B1770" s="11" t="s">
        <v>879</v>
      </c>
      <c r="C1770" s="11" t="s">
        <v>2030</v>
      </c>
      <c r="D1770" s="1">
        <v>10</v>
      </c>
      <c r="F1770" s="10"/>
      <c r="G1770" s="1">
        <v>10</v>
      </c>
      <c r="H1770" s="1" t="s">
        <v>2808</v>
      </c>
      <c r="I1770" s="1" t="s">
        <v>2567</v>
      </c>
    </row>
    <row r="1771" spans="1:9" ht="15.75" customHeight="1" x14ac:dyDescent="0.25">
      <c r="A1771" s="5">
        <v>19030004</v>
      </c>
      <c r="B1771" s="11" t="s">
        <v>878</v>
      </c>
      <c r="C1771" s="11" t="s">
        <v>25</v>
      </c>
      <c r="D1771" s="1">
        <v>4</v>
      </c>
      <c r="F1771" s="1"/>
      <c r="G1771" s="1">
        <v>4</v>
      </c>
      <c r="H1771" s="1" t="s">
        <v>2809</v>
      </c>
      <c r="I1771" s="1" t="s">
        <v>2567</v>
      </c>
    </row>
    <row r="1772" spans="1:9" ht="15.75" customHeight="1" x14ac:dyDescent="0.25">
      <c r="A1772" s="3">
        <v>19030004</v>
      </c>
      <c r="B1772" s="11" t="s">
        <v>878</v>
      </c>
      <c r="C1772" s="11" t="s">
        <v>0</v>
      </c>
      <c r="D1772" s="1">
        <v>4</v>
      </c>
      <c r="F1772" s="1"/>
      <c r="G1772" s="1">
        <v>4</v>
      </c>
      <c r="H1772" s="1" t="s">
        <v>2809</v>
      </c>
      <c r="I1772" s="1" t="s">
        <v>2567</v>
      </c>
    </row>
    <row r="1773" spans="1:9" ht="15.75" customHeight="1" x14ac:dyDescent="0.25">
      <c r="A1773" s="16">
        <v>19030004</v>
      </c>
      <c r="B1773" s="11" t="s">
        <v>878</v>
      </c>
      <c r="C1773" s="11" t="s">
        <v>2029</v>
      </c>
      <c r="D1773" s="1">
        <v>4</v>
      </c>
      <c r="F1773" s="10"/>
      <c r="G1773" s="1">
        <v>4</v>
      </c>
      <c r="H1773" s="1" t="s">
        <v>2809</v>
      </c>
      <c r="I1773" s="1" t="s">
        <v>2567</v>
      </c>
    </row>
    <row r="1774" spans="1:9" ht="15.75" customHeight="1" x14ac:dyDescent="0.25">
      <c r="A1774" s="16">
        <v>19030004</v>
      </c>
      <c r="B1774" s="11" t="s">
        <v>878</v>
      </c>
      <c r="C1774" s="11" t="s">
        <v>11</v>
      </c>
      <c r="D1774" s="1">
        <v>8</v>
      </c>
      <c r="F1774" s="1"/>
      <c r="G1774" s="1">
        <v>8</v>
      </c>
      <c r="H1774" s="1" t="s">
        <v>2809</v>
      </c>
      <c r="I1774" s="1" t="s">
        <v>2721</v>
      </c>
    </row>
    <row r="1775" spans="1:9" ht="15.75" customHeight="1" x14ac:dyDescent="0.25">
      <c r="A1775" s="16">
        <v>19030004</v>
      </c>
      <c r="B1775" s="11" t="s">
        <v>881</v>
      </c>
      <c r="C1775" s="11" t="s">
        <v>2032</v>
      </c>
      <c r="D1775" s="1">
        <v>4</v>
      </c>
      <c r="F1775" s="10"/>
      <c r="G1775" s="1">
        <v>4</v>
      </c>
      <c r="H1775" s="1" t="s">
        <v>2809</v>
      </c>
      <c r="I1775" s="1" t="s">
        <v>2567</v>
      </c>
    </row>
    <row r="1776" spans="1:9" ht="15.75" customHeight="1" x14ac:dyDescent="0.25">
      <c r="A1776" s="24">
        <v>19030005</v>
      </c>
      <c r="B1776" s="25" t="s">
        <v>882</v>
      </c>
      <c r="C1776" s="25" t="s">
        <v>11</v>
      </c>
      <c r="D1776" s="4">
        <v>11</v>
      </c>
    </row>
    <row r="1777" spans="1:46" ht="15.75" customHeight="1" x14ac:dyDescent="0.25">
      <c r="A1777" s="24">
        <v>19030005</v>
      </c>
      <c r="B1777" s="25" t="s">
        <v>882</v>
      </c>
      <c r="C1777" s="25" t="s">
        <v>17</v>
      </c>
      <c r="D1777" s="4">
        <v>11</v>
      </c>
    </row>
    <row r="1778" spans="1:46" ht="15.75" customHeight="1" x14ac:dyDescent="0.25">
      <c r="A1778" s="3">
        <v>19030005</v>
      </c>
      <c r="B1778" s="11" t="s">
        <v>888</v>
      </c>
      <c r="C1778" s="11" t="s">
        <v>2039</v>
      </c>
      <c r="D1778" s="1">
        <v>56</v>
      </c>
      <c r="F1778" s="1"/>
      <c r="G1778" s="1">
        <v>56</v>
      </c>
      <c r="I1778" s="1" t="s">
        <v>3160</v>
      </c>
    </row>
    <row r="1779" spans="1:46" ht="15.75" customHeight="1" x14ac:dyDescent="0.25">
      <c r="A1779" s="3">
        <v>19030005</v>
      </c>
      <c r="B1779" s="11" t="s">
        <v>886</v>
      </c>
      <c r="C1779" s="11" t="s">
        <v>2037</v>
      </c>
      <c r="D1779" s="1">
        <v>100</v>
      </c>
      <c r="F1779" s="1"/>
      <c r="G1779" s="1">
        <v>100</v>
      </c>
      <c r="I1779" s="1" t="s">
        <v>3158</v>
      </c>
    </row>
    <row r="1780" spans="1:46" ht="15.75" customHeight="1" x14ac:dyDescent="0.25">
      <c r="A1780" s="3">
        <v>19030005</v>
      </c>
      <c r="B1780" s="11" t="s">
        <v>882</v>
      </c>
      <c r="C1780" s="11" t="s">
        <v>2033</v>
      </c>
      <c r="D1780" s="1">
        <v>28</v>
      </c>
      <c r="F1780" s="1"/>
      <c r="G1780" s="1">
        <v>28</v>
      </c>
      <c r="I1780" s="1" t="s">
        <v>3159</v>
      </c>
    </row>
    <row r="1781" spans="1:46" ht="15.75" customHeight="1" x14ac:dyDescent="0.25">
      <c r="A1781" s="16">
        <v>19030005</v>
      </c>
      <c r="B1781" s="11" t="s">
        <v>882</v>
      </c>
      <c r="C1781" s="11" t="s">
        <v>2032</v>
      </c>
      <c r="D1781" s="1">
        <f>ROUND(F1781*E1781,0)</f>
        <v>11</v>
      </c>
      <c r="E1781" s="1">
        <v>0.71</v>
      </c>
      <c r="F1781" s="10">
        <f>2.5*2.5*2.5</f>
        <v>15.625</v>
      </c>
      <c r="I1781" s="1" t="s">
        <v>3157</v>
      </c>
    </row>
    <row r="1782" spans="1:46" ht="15.75" customHeight="1" x14ac:dyDescent="0.25">
      <c r="A1782" s="16">
        <v>19030006</v>
      </c>
      <c r="B1782" s="11" t="s">
        <v>880</v>
      </c>
      <c r="C1782" s="11" t="s">
        <v>2031</v>
      </c>
      <c r="D1782" s="1">
        <f>ROUND(F1782*E1782,0)</f>
        <v>11</v>
      </c>
      <c r="E1782" s="1">
        <v>0.71</v>
      </c>
      <c r="F1782" s="10">
        <f>2.5*2.5*2.5</f>
        <v>15.625</v>
      </c>
      <c r="I1782" s="1" t="s">
        <v>3157</v>
      </c>
    </row>
    <row r="1783" spans="1:46" ht="15.75" customHeight="1" x14ac:dyDescent="0.25">
      <c r="A1783" s="3">
        <v>19030006</v>
      </c>
      <c r="B1783" s="11" t="s">
        <v>887</v>
      </c>
      <c r="C1783" s="11" t="s">
        <v>2038</v>
      </c>
      <c r="D1783" s="1">
        <v>28</v>
      </c>
      <c r="F1783" s="1"/>
      <c r="G1783" s="1">
        <v>28</v>
      </c>
      <c r="I1783" s="1" t="s">
        <v>3159</v>
      </c>
    </row>
    <row r="1784" spans="1:46" ht="15.75" customHeight="1" x14ac:dyDescent="0.25">
      <c r="A1784" s="3">
        <v>19030006</v>
      </c>
      <c r="B1784" s="11" t="s">
        <v>880</v>
      </c>
      <c r="C1784" s="11" t="s">
        <v>1</v>
      </c>
      <c r="D1784" s="1">
        <v>56</v>
      </c>
      <c r="F1784" s="1"/>
      <c r="G1784" s="1">
        <v>56</v>
      </c>
      <c r="I1784" s="1" t="s">
        <v>3160</v>
      </c>
    </row>
    <row r="1785" spans="1:46" s="11" customFormat="1" ht="15.75" customHeight="1" x14ac:dyDescent="0.25">
      <c r="A1785" s="3">
        <v>19030006</v>
      </c>
      <c r="B1785" s="11" t="s">
        <v>885</v>
      </c>
      <c r="C1785" s="11" t="s">
        <v>2036</v>
      </c>
      <c r="D1785" s="1">
        <v>56</v>
      </c>
      <c r="E1785" s="1"/>
      <c r="F1785" s="1"/>
      <c r="G1785" s="1">
        <v>56</v>
      </c>
      <c r="H1785" s="1"/>
      <c r="I1785" s="1" t="s">
        <v>3160</v>
      </c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</row>
    <row r="1786" spans="1:46" ht="15.75" customHeight="1" x14ac:dyDescent="0.25">
      <c r="A1786" s="16">
        <v>19030006</v>
      </c>
      <c r="B1786" s="11" t="s">
        <v>883</v>
      </c>
      <c r="C1786" s="11" t="s">
        <v>2034</v>
      </c>
      <c r="D1786" s="1">
        <f>ROUND(F1786*E1786,0)</f>
        <v>11</v>
      </c>
      <c r="E1786" s="1">
        <v>0.71</v>
      </c>
      <c r="F1786" s="10">
        <f>2.5*2.5*2.5</f>
        <v>15.625</v>
      </c>
      <c r="I1786" s="1" t="s">
        <v>3157</v>
      </c>
    </row>
    <row r="1787" spans="1:46" ht="15.75" customHeight="1" x14ac:dyDescent="0.25">
      <c r="A1787" s="3">
        <v>19030007</v>
      </c>
      <c r="B1787" s="11" t="s">
        <v>884</v>
      </c>
      <c r="C1787" s="11" t="s">
        <v>2035</v>
      </c>
      <c r="D1787" s="1">
        <v>28</v>
      </c>
      <c r="F1787" s="1"/>
      <c r="G1787" s="1">
        <v>28</v>
      </c>
      <c r="I1787" s="1" t="s">
        <v>3159</v>
      </c>
    </row>
    <row r="1788" spans="1:46" ht="15.75" customHeight="1" x14ac:dyDescent="0.25">
      <c r="A1788" s="16">
        <v>19030008</v>
      </c>
      <c r="B1788" s="11" t="s">
        <v>889</v>
      </c>
      <c r="C1788" s="11" t="s">
        <v>11</v>
      </c>
      <c r="D1788" s="4">
        <v>11</v>
      </c>
    </row>
    <row r="1789" spans="1:46" ht="15.75" customHeight="1" x14ac:dyDescent="0.25">
      <c r="A1789" s="3">
        <v>19030008</v>
      </c>
      <c r="B1789" s="11" t="s">
        <v>889</v>
      </c>
      <c r="C1789" s="11" t="s">
        <v>2039</v>
      </c>
      <c r="D1789" s="1">
        <v>56</v>
      </c>
      <c r="F1789" s="1"/>
      <c r="G1789" s="1">
        <v>56</v>
      </c>
      <c r="I1789" s="1" t="s">
        <v>3160</v>
      </c>
    </row>
    <row r="1790" spans="1:46" ht="15.75" customHeight="1" x14ac:dyDescent="0.25">
      <c r="A1790" s="3">
        <v>19040101</v>
      </c>
      <c r="B1790" s="11" t="s">
        <v>890</v>
      </c>
      <c r="C1790" s="11" t="s">
        <v>29</v>
      </c>
      <c r="D1790" s="1">
        <v>1.2</v>
      </c>
      <c r="F1790" s="1"/>
      <c r="I1790" s="1" t="s">
        <v>3161</v>
      </c>
    </row>
    <row r="1791" spans="1:46" ht="15.75" customHeight="1" x14ac:dyDescent="0.25">
      <c r="A1791" s="16">
        <v>19040101</v>
      </c>
      <c r="B1791" s="11" t="s">
        <v>890</v>
      </c>
      <c r="C1791" s="11" t="s">
        <v>2040</v>
      </c>
      <c r="D1791" s="1">
        <v>14</v>
      </c>
      <c r="F1791" s="1">
        <v>13.8</v>
      </c>
    </row>
    <row r="1792" spans="1:46" ht="15.75" customHeight="1" x14ac:dyDescent="0.25">
      <c r="A1792" s="3">
        <v>19040102</v>
      </c>
      <c r="B1792" s="11" t="s">
        <v>3090</v>
      </c>
      <c r="C1792" s="11" t="s">
        <v>24</v>
      </c>
      <c r="D1792" s="1">
        <v>60</v>
      </c>
      <c r="E1792" s="4"/>
      <c r="F1792" s="1" t="s">
        <v>3132</v>
      </c>
      <c r="G1792" s="4">
        <v>60</v>
      </c>
      <c r="H1792" s="1" t="s">
        <v>2715</v>
      </c>
      <c r="I1792" s="1" t="s">
        <v>2702</v>
      </c>
      <c r="J1792" s="1" t="s">
        <v>3132</v>
      </c>
    </row>
    <row r="1793" spans="1:46" ht="15.75" customHeight="1" x14ac:dyDescent="0.25">
      <c r="A1793" s="5">
        <v>19040103</v>
      </c>
      <c r="B1793" s="11" t="s">
        <v>891</v>
      </c>
      <c r="C1793" s="11" t="s">
        <v>29</v>
      </c>
      <c r="D1793" s="1">
        <v>1</v>
      </c>
      <c r="F1793" s="1"/>
      <c r="G1793" s="1">
        <v>1</v>
      </c>
      <c r="H1793" s="1" t="s">
        <v>2715</v>
      </c>
    </row>
    <row r="1794" spans="1:46" ht="15.75" customHeight="1" x14ac:dyDescent="0.25">
      <c r="A1794" s="16">
        <v>19040103</v>
      </c>
      <c r="B1794" s="11" t="s">
        <v>891</v>
      </c>
      <c r="C1794" s="11" t="s">
        <v>2040</v>
      </c>
      <c r="D1794" s="1">
        <v>15</v>
      </c>
      <c r="F1794" s="1">
        <v>13.8</v>
      </c>
      <c r="G1794" s="1">
        <v>15</v>
      </c>
      <c r="H1794" s="1" t="s">
        <v>2716</v>
      </c>
    </row>
    <row r="1795" spans="1:46" ht="15.75" customHeight="1" x14ac:dyDescent="0.25">
      <c r="A1795" s="16">
        <v>19040201</v>
      </c>
      <c r="B1795" s="11" t="s">
        <v>892</v>
      </c>
      <c r="C1795" s="11" t="s">
        <v>2041</v>
      </c>
      <c r="D1795" s="4">
        <v>40</v>
      </c>
      <c r="F1795" s="1"/>
      <c r="H1795" s="1" t="s">
        <v>2810</v>
      </c>
      <c r="I1795" s="1" t="s">
        <v>2702</v>
      </c>
    </row>
    <row r="1796" spans="1:46" s="11" customFormat="1" ht="15.75" customHeight="1" x14ac:dyDescent="0.25">
      <c r="A1796" s="5">
        <v>19040201</v>
      </c>
      <c r="B1796" s="11" t="s">
        <v>892</v>
      </c>
      <c r="C1796" s="11" t="s">
        <v>24</v>
      </c>
      <c r="D1796" s="4">
        <f>E1796*F1796</f>
        <v>31.08</v>
      </c>
      <c r="E1796" s="1">
        <v>0.37</v>
      </c>
      <c r="F1796" s="1">
        <v>84</v>
      </c>
      <c r="G1796" s="1"/>
      <c r="H1796" s="1" t="s">
        <v>2810</v>
      </c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</row>
    <row r="1797" spans="1:46" s="11" customFormat="1" ht="15.75" customHeight="1" x14ac:dyDescent="0.25">
      <c r="A1797" s="5">
        <v>19040201</v>
      </c>
      <c r="B1797" s="11" t="s">
        <v>892</v>
      </c>
      <c r="C1797" s="11" t="s">
        <v>30</v>
      </c>
      <c r="D1797" s="4"/>
      <c r="E1797" s="1">
        <v>67</v>
      </c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</row>
    <row r="1798" spans="1:46" ht="15.75" customHeight="1" x14ac:dyDescent="0.25">
      <c r="A1798" s="16">
        <v>19040201</v>
      </c>
      <c r="B1798" s="11" t="s">
        <v>2545</v>
      </c>
      <c r="C1798" s="11" t="s">
        <v>2043</v>
      </c>
      <c r="D1798" s="4">
        <v>10</v>
      </c>
      <c r="E1798" s="10"/>
      <c r="F1798" s="1">
        <v>13.8</v>
      </c>
      <c r="G1798" s="1">
        <v>10</v>
      </c>
      <c r="H1798" s="1" t="s">
        <v>2810</v>
      </c>
    </row>
    <row r="1799" spans="1:46" ht="15.75" customHeight="1" x14ac:dyDescent="0.25">
      <c r="A1799" s="16">
        <v>19040202</v>
      </c>
      <c r="B1799" s="11" t="s">
        <v>893</v>
      </c>
      <c r="C1799" s="11" t="s">
        <v>2042</v>
      </c>
      <c r="D1799" s="1">
        <v>10</v>
      </c>
      <c r="F1799" s="1"/>
      <c r="H1799" s="1" t="s">
        <v>2810</v>
      </c>
      <c r="I1799" s="1" t="s">
        <v>2700</v>
      </c>
    </row>
    <row r="1800" spans="1:46" ht="15.75" customHeight="1" x14ac:dyDescent="0.25">
      <c r="A1800" s="20">
        <v>19040202</v>
      </c>
      <c r="B1800" s="11" t="s">
        <v>893</v>
      </c>
      <c r="C1800" s="11" t="s">
        <v>12</v>
      </c>
      <c r="D1800" s="1">
        <v>20</v>
      </c>
      <c r="F1800" s="1"/>
      <c r="H1800" s="1" t="s">
        <v>2810</v>
      </c>
      <c r="I1800" s="1" t="s">
        <v>2701</v>
      </c>
    </row>
    <row r="1801" spans="1:46" ht="15.75" customHeight="1" x14ac:dyDescent="0.25">
      <c r="A1801" s="5">
        <v>19040202</v>
      </c>
      <c r="B1801" s="11" t="s">
        <v>893</v>
      </c>
      <c r="C1801" s="11" t="s">
        <v>32</v>
      </c>
      <c r="D1801" s="4">
        <f>G1801</f>
        <v>1</v>
      </c>
      <c r="F1801" s="1"/>
      <c r="G1801" s="4">
        <v>1</v>
      </c>
      <c r="H1801" s="1" t="s">
        <v>2810</v>
      </c>
    </row>
    <row r="1802" spans="1:46" ht="15.75" customHeight="1" x14ac:dyDescent="0.25">
      <c r="A1802" s="16">
        <v>19040202</v>
      </c>
      <c r="B1802" s="11" t="s">
        <v>893</v>
      </c>
      <c r="C1802" s="11" t="s">
        <v>13</v>
      </c>
      <c r="D1802" s="4">
        <v>40</v>
      </c>
      <c r="F1802" s="1"/>
      <c r="H1802" s="1" t="s">
        <v>2810</v>
      </c>
      <c r="I1802" s="1" t="s">
        <v>2702</v>
      </c>
    </row>
    <row r="1803" spans="1:46" ht="15.75" customHeight="1" x14ac:dyDescent="0.25">
      <c r="A1803" s="5">
        <v>19040202</v>
      </c>
      <c r="B1803" s="11" t="s">
        <v>893</v>
      </c>
      <c r="C1803" s="11" t="s">
        <v>24</v>
      </c>
      <c r="D1803" s="1">
        <v>42</v>
      </c>
      <c r="E1803" s="1">
        <f>ROUND(146/237,2)</f>
        <v>0.62</v>
      </c>
      <c r="F1803" s="1">
        <v>84</v>
      </c>
      <c r="H1803" s="1" t="s">
        <v>2959</v>
      </c>
    </row>
    <row r="1804" spans="1:46" ht="15.75" customHeight="1" x14ac:dyDescent="0.25">
      <c r="A1804" s="16">
        <v>19040202</v>
      </c>
      <c r="B1804" s="11" t="s">
        <v>2532</v>
      </c>
      <c r="C1804" s="11" t="s">
        <v>2043</v>
      </c>
      <c r="D1804" s="1">
        <f>G1804</f>
        <v>10</v>
      </c>
      <c r="F1804" s="1">
        <v>13.8</v>
      </c>
      <c r="G1804" s="1">
        <v>10</v>
      </c>
      <c r="H1804" s="1" t="s">
        <v>2810</v>
      </c>
    </row>
    <row r="1805" spans="1:46" ht="15.75" customHeight="1" x14ac:dyDescent="0.25">
      <c r="A1805" s="16">
        <v>19040202</v>
      </c>
      <c r="B1805" s="11" t="s">
        <v>893</v>
      </c>
      <c r="C1805" s="11" t="s">
        <v>25</v>
      </c>
      <c r="D1805" s="4">
        <v>3</v>
      </c>
    </row>
    <row r="1806" spans="1:46" ht="15.75" customHeight="1" x14ac:dyDescent="0.25">
      <c r="A1806" s="16">
        <v>19040203</v>
      </c>
      <c r="B1806" s="11" t="s">
        <v>894</v>
      </c>
      <c r="C1806" s="11" t="s">
        <v>2045</v>
      </c>
      <c r="D1806" s="1">
        <v>10</v>
      </c>
      <c r="F1806" s="1">
        <v>13.8</v>
      </c>
      <c r="G1806" s="1">
        <v>10</v>
      </c>
      <c r="H1806" s="1" t="s">
        <v>2810</v>
      </c>
    </row>
    <row r="1807" spans="1:46" ht="15.75" customHeight="1" x14ac:dyDescent="0.25">
      <c r="A1807" s="16">
        <v>19040203</v>
      </c>
      <c r="B1807" s="11" t="s">
        <v>894</v>
      </c>
      <c r="C1807" s="11" t="s">
        <v>2044</v>
      </c>
      <c r="D1807" s="1">
        <v>42</v>
      </c>
      <c r="E1807" s="1">
        <f>ROUND(146/237,2)</f>
        <v>0.62</v>
      </c>
      <c r="F1807" s="1">
        <v>84</v>
      </c>
      <c r="H1807" s="1" t="s">
        <v>2959</v>
      </c>
    </row>
    <row r="1808" spans="1:46" ht="15.75" customHeight="1" x14ac:dyDescent="0.25">
      <c r="A1808" s="16">
        <v>19040301</v>
      </c>
      <c r="B1808" s="11" t="s">
        <v>895</v>
      </c>
      <c r="C1808" s="11" t="s">
        <v>2045</v>
      </c>
      <c r="D1808" s="1">
        <f>G1808</f>
        <v>2</v>
      </c>
      <c r="F1808" s="1">
        <v>13.8</v>
      </c>
      <c r="G1808" s="1">
        <v>2</v>
      </c>
      <c r="H1808" s="1" t="s">
        <v>2717</v>
      </c>
    </row>
    <row r="1809" spans="1:46" ht="15.75" customHeight="1" x14ac:dyDescent="0.25">
      <c r="A1809" s="16">
        <v>19040301</v>
      </c>
      <c r="B1809" s="11" t="s">
        <v>895</v>
      </c>
      <c r="C1809" s="11" t="s">
        <v>13</v>
      </c>
      <c r="D1809" s="1">
        <f>G1809</f>
        <v>8</v>
      </c>
      <c r="E1809" s="4"/>
      <c r="F1809" s="1" t="s">
        <v>3132</v>
      </c>
      <c r="G1809" s="4">
        <v>8</v>
      </c>
      <c r="H1809" s="1" t="s">
        <v>2717</v>
      </c>
      <c r="I1809" s="1" t="s">
        <v>2718</v>
      </c>
      <c r="J1809" s="1" t="s">
        <v>3132</v>
      </c>
    </row>
    <row r="1810" spans="1:46" ht="15.75" customHeight="1" x14ac:dyDescent="0.25">
      <c r="A1810" s="16">
        <v>19040301</v>
      </c>
      <c r="B1810" s="11" t="s">
        <v>895</v>
      </c>
      <c r="C1810" s="11" t="s">
        <v>24</v>
      </c>
      <c r="D1810" s="1">
        <f>G1810</f>
        <v>11</v>
      </c>
      <c r="E1810" s="4"/>
      <c r="F1810" s="1" t="s">
        <v>3132</v>
      </c>
      <c r="G1810" s="4">
        <v>11</v>
      </c>
      <c r="H1810" s="1" t="s">
        <v>2717</v>
      </c>
      <c r="I1810" s="1" t="s">
        <v>3184</v>
      </c>
      <c r="J1810" s="1" t="s">
        <v>3132</v>
      </c>
    </row>
    <row r="1811" spans="1:46" ht="15.75" customHeight="1" x14ac:dyDescent="0.25">
      <c r="A1811" s="16">
        <v>19040302</v>
      </c>
      <c r="B1811" s="11" t="s">
        <v>2654</v>
      </c>
      <c r="C1811" s="11" t="s">
        <v>13</v>
      </c>
      <c r="D1811" s="1">
        <v>8</v>
      </c>
      <c r="F1811" s="1"/>
      <c r="G1811" s="1">
        <v>8</v>
      </c>
      <c r="H1811" s="1" t="s">
        <v>2717</v>
      </c>
      <c r="I1811" s="1" t="s">
        <v>2718</v>
      </c>
    </row>
    <row r="1812" spans="1:46" ht="15.75" customHeight="1" x14ac:dyDescent="0.25">
      <c r="A1812" s="16">
        <v>19040304</v>
      </c>
      <c r="B1812" s="11" t="s">
        <v>896</v>
      </c>
      <c r="C1812" s="11" t="s">
        <v>2045</v>
      </c>
      <c r="D1812" s="1">
        <v>16</v>
      </c>
      <c r="F1812" s="1">
        <v>13.8</v>
      </c>
      <c r="G1812" s="1">
        <v>16</v>
      </c>
      <c r="H1812" s="1" t="s">
        <v>2719</v>
      </c>
      <c r="I1812" s="1" t="s">
        <v>2720</v>
      </c>
    </row>
    <row r="1813" spans="1:46" ht="15.75" customHeight="1" x14ac:dyDescent="0.25">
      <c r="A1813" s="16">
        <v>19040304</v>
      </c>
      <c r="B1813" s="11" t="s">
        <v>896</v>
      </c>
      <c r="C1813" s="11" t="s">
        <v>25</v>
      </c>
      <c r="D1813" s="4">
        <v>5</v>
      </c>
    </row>
    <row r="1814" spans="1:46" ht="15.75" customHeight="1" x14ac:dyDescent="0.25">
      <c r="A1814" s="24">
        <v>19040305</v>
      </c>
      <c r="B1814" s="25" t="s">
        <v>3228</v>
      </c>
      <c r="C1814" s="25" t="s">
        <v>26</v>
      </c>
      <c r="D1814" s="21">
        <v>9</v>
      </c>
      <c r="E1814" s="11"/>
      <c r="F1814" s="21"/>
      <c r="G1814" s="11"/>
      <c r="H1814" s="11"/>
      <c r="I1814" s="11"/>
      <c r="J1814" s="11"/>
      <c r="K1814" s="11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  <c r="Z1814" s="11"/>
      <c r="AA1814" s="11"/>
      <c r="AB1814" s="11"/>
      <c r="AC1814" s="11"/>
      <c r="AD1814" s="11"/>
      <c r="AE1814" s="11"/>
      <c r="AF1814" s="11"/>
      <c r="AG1814" s="11"/>
      <c r="AH1814" s="11"/>
      <c r="AI1814" s="11"/>
      <c r="AJ1814" s="11"/>
      <c r="AK1814" s="11"/>
      <c r="AL1814" s="11"/>
      <c r="AM1814" s="11"/>
      <c r="AN1814" s="11"/>
      <c r="AO1814" s="11"/>
      <c r="AP1814" s="11"/>
      <c r="AQ1814" s="11"/>
      <c r="AR1814" s="11"/>
      <c r="AS1814" s="11"/>
      <c r="AT1814" s="11"/>
    </row>
    <row r="1815" spans="1:46" ht="15.75" customHeight="1" x14ac:dyDescent="0.25">
      <c r="A1815" s="16">
        <v>19040305</v>
      </c>
      <c r="B1815" s="11" t="s">
        <v>3228</v>
      </c>
      <c r="C1815" s="11" t="s">
        <v>25</v>
      </c>
      <c r="D1815" s="4">
        <v>3</v>
      </c>
    </row>
    <row r="1816" spans="1:46" ht="15.75" customHeight="1" x14ac:dyDescent="0.25">
      <c r="A1816" s="3">
        <v>19050001</v>
      </c>
      <c r="B1816" s="11" t="s">
        <v>2518</v>
      </c>
      <c r="C1816" s="11" t="s">
        <v>2050</v>
      </c>
      <c r="D1816" s="1">
        <f>G1816</f>
        <v>30</v>
      </c>
      <c r="F1816" s="1"/>
      <c r="G1816" s="1">
        <v>30</v>
      </c>
      <c r="H1816" s="1" t="s">
        <v>2811</v>
      </c>
    </row>
    <row r="1817" spans="1:46" ht="15.75" customHeight="1" x14ac:dyDescent="0.25">
      <c r="A1817" s="3">
        <v>19050002</v>
      </c>
      <c r="B1817" s="11" t="s">
        <v>903</v>
      </c>
      <c r="C1817" s="11" t="s">
        <v>2053</v>
      </c>
      <c r="D1817" s="4">
        <f>G1817</f>
        <v>1</v>
      </c>
      <c r="F1817" s="1"/>
      <c r="G1817" s="4">
        <v>1</v>
      </c>
      <c r="H1817" s="1" t="s">
        <v>2812</v>
      </c>
    </row>
    <row r="1818" spans="1:46" ht="15.75" customHeight="1" x14ac:dyDescent="0.25">
      <c r="A1818" s="20">
        <v>19050002</v>
      </c>
      <c r="B1818" s="11" t="s">
        <v>899</v>
      </c>
      <c r="C1818" s="11" t="s">
        <v>12</v>
      </c>
      <c r="D1818" s="4">
        <v>14</v>
      </c>
      <c r="F1818" s="1"/>
      <c r="G1818" s="1">
        <v>14</v>
      </c>
      <c r="H1818" s="1" t="s">
        <v>2812</v>
      </c>
      <c r="I1818" s="1" t="s">
        <v>2701</v>
      </c>
    </row>
    <row r="1819" spans="1:46" ht="15.75" customHeight="1" x14ac:dyDescent="0.25">
      <c r="A1819" s="16">
        <v>19050002</v>
      </c>
      <c r="B1819" s="11" t="s">
        <v>899</v>
      </c>
      <c r="C1819" s="11" t="s">
        <v>13</v>
      </c>
      <c r="D1819" s="1">
        <v>28</v>
      </c>
      <c r="F1819" s="1"/>
      <c r="G1819" s="1">
        <v>28</v>
      </c>
      <c r="H1819" s="1" t="s">
        <v>2812</v>
      </c>
      <c r="I1819" s="1" t="s">
        <v>2702</v>
      </c>
    </row>
    <row r="1820" spans="1:46" ht="15.75" customHeight="1" x14ac:dyDescent="0.25">
      <c r="A1820" s="3">
        <v>19050002</v>
      </c>
      <c r="B1820" s="11" t="s">
        <v>899</v>
      </c>
      <c r="C1820" s="11" t="s">
        <v>2049</v>
      </c>
      <c r="D1820" s="4">
        <f>F1820*E1820</f>
        <v>130</v>
      </c>
      <c r="E1820" s="1">
        <v>1</v>
      </c>
      <c r="F1820" s="1">
        <v>130</v>
      </c>
      <c r="H1820" s="1" t="s">
        <v>2812</v>
      </c>
    </row>
    <row r="1821" spans="1:46" ht="15.75" customHeight="1" x14ac:dyDescent="0.25">
      <c r="A1821" s="16">
        <v>19050002</v>
      </c>
      <c r="B1821" s="11" t="s">
        <v>2514</v>
      </c>
      <c r="C1821" s="11" t="s">
        <v>2048</v>
      </c>
      <c r="D1821" s="10">
        <v>7</v>
      </c>
      <c r="F1821" s="1">
        <v>13.8</v>
      </c>
      <c r="G1821" s="1">
        <v>7</v>
      </c>
      <c r="H1821" s="1" t="s">
        <v>2812</v>
      </c>
    </row>
    <row r="1822" spans="1:46" s="11" customFormat="1" ht="15.75" customHeight="1" x14ac:dyDescent="0.25">
      <c r="A1822" s="16">
        <v>19050003</v>
      </c>
      <c r="B1822" s="11" t="s">
        <v>902</v>
      </c>
      <c r="C1822" s="11" t="s">
        <v>26</v>
      </c>
      <c r="D1822" s="1">
        <f>ROUND(E1822*F1822*1.25,0)</f>
        <v>2</v>
      </c>
      <c r="E1822" s="15">
        <v>0.11</v>
      </c>
      <c r="F1822" s="1">
        <v>15</v>
      </c>
      <c r="G1822" s="1"/>
      <c r="H1822" s="17" t="s">
        <v>3179</v>
      </c>
      <c r="I1822" s="1" t="s">
        <v>2999</v>
      </c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</row>
    <row r="1823" spans="1:46" s="11" customFormat="1" ht="15.75" customHeight="1" x14ac:dyDescent="0.25">
      <c r="A1823" s="16">
        <v>19050003</v>
      </c>
      <c r="B1823" s="11" t="s">
        <v>902</v>
      </c>
      <c r="C1823" s="11" t="s">
        <v>13</v>
      </c>
      <c r="D1823" s="1">
        <f>ROUND(E1823*F1823,0)</f>
        <v>13</v>
      </c>
      <c r="E1823" s="15">
        <v>0.11</v>
      </c>
      <c r="F1823" s="1">
        <v>120</v>
      </c>
      <c r="G1823" s="4"/>
      <c r="H1823" s="17" t="s">
        <v>3179</v>
      </c>
      <c r="I1823" s="1" t="s">
        <v>2857</v>
      </c>
      <c r="J1823" s="1" t="s">
        <v>3132</v>
      </c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</row>
    <row r="1824" spans="1:46" s="11" customFormat="1" ht="15.75" customHeight="1" x14ac:dyDescent="0.25">
      <c r="A1824" s="3">
        <v>19050003</v>
      </c>
      <c r="B1824" s="1" t="s">
        <v>902</v>
      </c>
      <c r="C1824" s="11" t="s">
        <v>2052</v>
      </c>
      <c r="D1824" s="4">
        <f>ROUND(E1824*F1824*1.25,0)</f>
        <v>18</v>
      </c>
      <c r="E1824" s="15">
        <v>0.11</v>
      </c>
      <c r="F1824" s="1">
        <v>130</v>
      </c>
      <c r="G1824" s="1"/>
      <c r="H1824" s="17" t="s">
        <v>3179</v>
      </c>
      <c r="I1824" s="1" t="s">
        <v>2999</v>
      </c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  <c r="AS1824" s="1"/>
      <c r="AT1824" s="1"/>
    </row>
    <row r="1825" spans="1:46" s="11" customFormat="1" ht="15.75" customHeight="1" x14ac:dyDescent="0.25">
      <c r="A1825" s="24">
        <v>19050004</v>
      </c>
      <c r="B1825" s="25" t="s">
        <v>3224</v>
      </c>
      <c r="C1825" s="25" t="s">
        <v>11</v>
      </c>
      <c r="D1825" s="4">
        <v>2</v>
      </c>
      <c r="E1825" s="1"/>
      <c r="F1825" s="4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</row>
    <row r="1826" spans="1:46" s="11" customFormat="1" ht="15.75" customHeight="1" x14ac:dyDescent="0.25">
      <c r="A1826" s="24">
        <v>19050004</v>
      </c>
      <c r="B1826" s="25" t="s">
        <v>3224</v>
      </c>
      <c r="C1826" s="25" t="s">
        <v>27</v>
      </c>
      <c r="D1826" s="21">
        <v>18</v>
      </c>
      <c r="F1826" s="21"/>
      <c r="H1826" s="11" t="s">
        <v>3231</v>
      </c>
    </row>
    <row r="1827" spans="1:46" s="11" customFormat="1" ht="15.75" customHeight="1" x14ac:dyDescent="0.25">
      <c r="A1827" s="16">
        <v>19050005</v>
      </c>
      <c r="B1827" s="11" t="s">
        <v>901</v>
      </c>
      <c r="C1827" s="11" t="s">
        <v>12</v>
      </c>
      <c r="D1827" s="1">
        <v>14</v>
      </c>
      <c r="E1827" s="1"/>
      <c r="F1827" s="1"/>
      <c r="G1827" s="1">
        <v>14</v>
      </c>
      <c r="H1827" s="1" t="s">
        <v>2812</v>
      </c>
      <c r="I1827" s="1" t="s">
        <v>2701</v>
      </c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  <c r="AS1827" s="1"/>
      <c r="AT1827" s="1"/>
    </row>
    <row r="1828" spans="1:46" s="11" customFormat="1" ht="15.75" customHeight="1" x14ac:dyDescent="0.25">
      <c r="A1828" s="24">
        <v>19050005</v>
      </c>
      <c r="B1828" s="25" t="s">
        <v>901</v>
      </c>
      <c r="C1828" s="25" t="s">
        <v>13</v>
      </c>
      <c r="D1828" s="4">
        <v>28</v>
      </c>
      <c r="E1828" s="1"/>
      <c r="F1828" s="4"/>
      <c r="G1828" s="1"/>
      <c r="H1828" s="1" t="s">
        <v>2812</v>
      </c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  <c r="AS1828" s="1"/>
      <c r="AT1828" s="1"/>
    </row>
    <row r="1829" spans="1:46" s="11" customFormat="1" ht="15.75" customHeight="1" x14ac:dyDescent="0.25">
      <c r="A1829" s="3">
        <v>19050005</v>
      </c>
      <c r="B1829" s="1" t="s">
        <v>901</v>
      </c>
      <c r="C1829" s="11" t="s">
        <v>27</v>
      </c>
      <c r="D1829" s="4">
        <f>G1829</f>
        <v>42</v>
      </c>
      <c r="E1829" s="15"/>
      <c r="F1829" s="1" t="s">
        <v>3132</v>
      </c>
      <c r="G1829" s="4">
        <v>42</v>
      </c>
      <c r="H1829" s="1" t="s">
        <v>2812</v>
      </c>
      <c r="I1829" s="1" t="s">
        <v>3030</v>
      </c>
      <c r="J1829" s="1" t="s">
        <v>3132</v>
      </c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</row>
    <row r="1830" spans="1:46" s="11" customFormat="1" ht="15.75" customHeight="1" x14ac:dyDescent="0.25">
      <c r="A1830" s="16">
        <v>19050005</v>
      </c>
      <c r="B1830" s="11" t="s">
        <v>901</v>
      </c>
      <c r="C1830" s="11" t="s">
        <v>2051</v>
      </c>
      <c r="D1830" s="1">
        <v>7</v>
      </c>
      <c r="E1830" s="1"/>
      <c r="F1830" s="1">
        <v>13.8</v>
      </c>
      <c r="G1830" s="1">
        <v>7</v>
      </c>
      <c r="H1830" s="1" t="s">
        <v>2812</v>
      </c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  <c r="AS1830" s="1"/>
      <c r="AT1830" s="1"/>
    </row>
    <row r="1831" spans="1:46" s="11" customFormat="1" ht="15.75" customHeight="1" x14ac:dyDescent="0.25">
      <c r="A1831" s="16">
        <v>19050006</v>
      </c>
      <c r="B1831" s="11" t="s">
        <v>900</v>
      </c>
      <c r="C1831" s="11" t="s">
        <v>12</v>
      </c>
      <c r="D1831" s="1">
        <v>3</v>
      </c>
      <c r="E1831" s="1"/>
      <c r="F1831" s="1"/>
      <c r="G1831" s="1">
        <v>3</v>
      </c>
      <c r="H1831" s="1" t="s">
        <v>2813</v>
      </c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</row>
    <row r="1832" spans="1:46" ht="15.75" customHeight="1" x14ac:dyDescent="0.25">
      <c r="A1832" s="3">
        <v>19050006</v>
      </c>
      <c r="B1832" s="1" t="s">
        <v>900</v>
      </c>
      <c r="C1832" s="11" t="s">
        <v>15</v>
      </c>
      <c r="D1832" s="1">
        <v>3</v>
      </c>
      <c r="F1832" s="1"/>
      <c r="G1832" s="1">
        <v>3</v>
      </c>
      <c r="H1832" s="1" t="s">
        <v>2813</v>
      </c>
    </row>
    <row r="1833" spans="1:46" ht="15.75" customHeight="1" x14ac:dyDescent="0.25">
      <c r="A1833" s="3">
        <v>19050006</v>
      </c>
      <c r="B1833" s="1" t="s">
        <v>905</v>
      </c>
      <c r="C1833" s="11" t="s">
        <v>2055</v>
      </c>
      <c r="D1833" s="1">
        <v>3</v>
      </c>
      <c r="F1833" s="1"/>
      <c r="G1833" s="1">
        <v>3</v>
      </c>
      <c r="H1833" s="1" t="s">
        <v>2813</v>
      </c>
    </row>
    <row r="1834" spans="1:46" ht="15.75" customHeight="1" x14ac:dyDescent="0.25">
      <c r="A1834" s="16">
        <v>19050006</v>
      </c>
      <c r="B1834" s="11" t="s">
        <v>900</v>
      </c>
      <c r="C1834" s="11" t="s">
        <v>2051</v>
      </c>
      <c r="D1834" s="4">
        <v>7</v>
      </c>
      <c r="F1834" s="1">
        <v>13.8</v>
      </c>
      <c r="G1834" s="1">
        <v>7</v>
      </c>
      <c r="H1834" s="1" t="s">
        <v>2812</v>
      </c>
    </row>
    <row r="1835" spans="1:46" ht="15.75" customHeight="1" x14ac:dyDescent="0.25">
      <c r="A1835" s="16">
        <v>19050007</v>
      </c>
      <c r="B1835" s="11" t="s">
        <v>904</v>
      </c>
      <c r="C1835" s="11" t="s">
        <v>26</v>
      </c>
      <c r="D1835" s="1">
        <f>ROUND(E1835*F1835*1.25,0)</f>
        <v>2</v>
      </c>
      <c r="E1835" s="15">
        <v>0.11</v>
      </c>
      <c r="F1835" s="1">
        <v>15</v>
      </c>
      <c r="H1835" s="17" t="s">
        <v>3179</v>
      </c>
      <c r="I1835" s="1" t="s">
        <v>2999</v>
      </c>
    </row>
    <row r="1836" spans="1:46" s="11" customFormat="1" ht="15.75" customHeight="1" x14ac:dyDescent="0.25">
      <c r="A1836" s="3">
        <v>19050007</v>
      </c>
      <c r="B1836" s="1" t="s">
        <v>904</v>
      </c>
      <c r="C1836" s="11" t="s">
        <v>2054</v>
      </c>
      <c r="D1836" s="4">
        <f>ROUND(E1836*F1836*1.25,0)</f>
        <v>18</v>
      </c>
      <c r="E1836" s="15">
        <v>0.11</v>
      </c>
      <c r="F1836" s="1">
        <v>130</v>
      </c>
      <c r="G1836" s="1"/>
      <c r="H1836" s="17" t="s">
        <v>3179</v>
      </c>
      <c r="I1836" s="1" t="s">
        <v>2999</v>
      </c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  <c r="AR1836" s="1"/>
      <c r="AS1836" s="1"/>
      <c r="AT1836" s="1"/>
    </row>
    <row r="1837" spans="1:46" s="11" customFormat="1" ht="15.75" customHeight="1" x14ac:dyDescent="0.25">
      <c r="A1837" s="3">
        <v>19050008</v>
      </c>
      <c r="B1837" s="1" t="s">
        <v>906</v>
      </c>
      <c r="C1837" s="11" t="s">
        <v>2056</v>
      </c>
      <c r="D1837" s="4">
        <f>ROUND(E1837*F1837*1.25,0)</f>
        <v>18</v>
      </c>
      <c r="E1837" s="15">
        <v>0.11</v>
      </c>
      <c r="F1837" s="1">
        <v>130</v>
      </c>
      <c r="G1837" s="1"/>
      <c r="H1837" s="17" t="s">
        <v>3179</v>
      </c>
      <c r="I1837" s="1" t="s">
        <v>2999</v>
      </c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  <c r="AP1837" s="1"/>
      <c r="AQ1837" s="1"/>
      <c r="AR1837" s="1"/>
      <c r="AS1837" s="1"/>
      <c r="AT1837" s="1"/>
    </row>
    <row r="1838" spans="1:46" s="11" customFormat="1" ht="15.75" customHeight="1" x14ac:dyDescent="0.25">
      <c r="A1838" s="3">
        <v>19050009</v>
      </c>
      <c r="B1838" s="11" t="s">
        <v>2504</v>
      </c>
      <c r="C1838" s="11" t="s">
        <v>2057</v>
      </c>
      <c r="D1838" s="1">
        <f>G1838</f>
        <v>23</v>
      </c>
      <c r="E1838" s="1"/>
      <c r="F1838" s="1"/>
      <c r="G1838" s="1">
        <v>23</v>
      </c>
      <c r="H1838" s="1" t="s">
        <v>2480</v>
      </c>
      <c r="I1838" s="1" t="s">
        <v>2567</v>
      </c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  <c r="AS1838" s="1"/>
      <c r="AT1838" s="1"/>
    </row>
    <row r="1839" spans="1:46" s="11" customFormat="1" ht="15.75" customHeight="1" x14ac:dyDescent="0.25">
      <c r="A1839" s="16">
        <v>19050010</v>
      </c>
      <c r="B1839" s="11" t="s">
        <v>907</v>
      </c>
      <c r="C1839" s="11" t="s">
        <v>26</v>
      </c>
      <c r="D1839" s="1">
        <f>ROUND(E1839*F1839*1.25,0)</f>
        <v>2</v>
      </c>
      <c r="E1839" s="1">
        <v>0.12</v>
      </c>
      <c r="F1839" s="1">
        <v>13.8</v>
      </c>
      <c r="G1839" s="1"/>
      <c r="H1839" s="17" t="s">
        <v>3178</v>
      </c>
      <c r="I1839" s="1" t="s">
        <v>2999</v>
      </c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  <c r="AS1839" s="1"/>
      <c r="AT1839" s="1"/>
    </row>
    <row r="1840" spans="1:46" ht="15.75" customHeight="1" x14ac:dyDescent="0.25">
      <c r="A1840" s="5">
        <v>19050010</v>
      </c>
      <c r="B1840" s="1" t="s">
        <v>907</v>
      </c>
      <c r="C1840" s="11" t="s">
        <v>14</v>
      </c>
      <c r="D1840" s="1">
        <f>ROUND(E1840*F1840*1.25,0)</f>
        <v>10</v>
      </c>
      <c r="E1840" s="1">
        <v>0.12</v>
      </c>
      <c r="F1840" s="1">
        <v>65</v>
      </c>
      <c r="H1840" s="17" t="s">
        <v>3178</v>
      </c>
      <c r="I1840" s="1" t="s">
        <v>3180</v>
      </c>
    </row>
    <row r="1841" spans="1:46" ht="15.75" customHeight="1" x14ac:dyDescent="0.25">
      <c r="A1841" s="3">
        <v>19050010</v>
      </c>
      <c r="B1841" s="1" t="s">
        <v>907</v>
      </c>
      <c r="C1841" s="11" t="s">
        <v>2056</v>
      </c>
      <c r="D1841" s="4">
        <f>ROUND(E1841*F1841*1.25,0)</f>
        <v>20</v>
      </c>
      <c r="E1841" s="1">
        <v>0.12</v>
      </c>
      <c r="F1841" s="1">
        <v>130</v>
      </c>
      <c r="H1841" s="17" t="s">
        <v>3178</v>
      </c>
      <c r="I1841" s="1" t="s">
        <v>2999</v>
      </c>
    </row>
    <row r="1842" spans="1:46" ht="15.75" customHeight="1" x14ac:dyDescent="0.25">
      <c r="A1842" s="3">
        <v>19050010</v>
      </c>
      <c r="B1842" s="1" t="s">
        <v>907</v>
      </c>
      <c r="C1842" s="11" t="s">
        <v>24</v>
      </c>
      <c r="D1842" s="1">
        <f>ROUND(E1842*F1842*1.25,0)</f>
        <v>13</v>
      </c>
      <c r="E1842" s="1">
        <v>0.12</v>
      </c>
      <c r="F1842" s="1">
        <v>84</v>
      </c>
      <c r="H1842" s="17" t="s">
        <v>3178</v>
      </c>
      <c r="I1842" s="1" t="s">
        <v>2999</v>
      </c>
    </row>
    <row r="1843" spans="1:46" ht="15.75" customHeight="1" x14ac:dyDescent="0.25">
      <c r="A1843" s="3">
        <v>19050010</v>
      </c>
      <c r="B1843" s="1" t="s">
        <v>908</v>
      </c>
      <c r="C1843" s="11" t="s">
        <v>2057</v>
      </c>
      <c r="D1843" s="1">
        <v>28</v>
      </c>
      <c r="F1843" s="1"/>
      <c r="H1843" s="17" t="s">
        <v>3178</v>
      </c>
      <c r="I1843" s="1" t="s">
        <v>3170</v>
      </c>
    </row>
    <row r="1844" spans="1:46" ht="15.75" customHeight="1" x14ac:dyDescent="0.25">
      <c r="A1844" s="3">
        <v>19050011</v>
      </c>
      <c r="B1844" s="11" t="s">
        <v>2506</v>
      </c>
      <c r="C1844" s="11" t="s">
        <v>2057</v>
      </c>
      <c r="D1844" s="1">
        <v>30</v>
      </c>
      <c r="F1844" s="1"/>
      <c r="G1844" s="1">
        <v>30</v>
      </c>
      <c r="H1844" s="1" t="s">
        <v>2814</v>
      </c>
    </row>
    <row r="1845" spans="1:46" ht="15.75" customHeight="1" x14ac:dyDescent="0.25">
      <c r="A1845" s="16">
        <v>19050012</v>
      </c>
      <c r="B1845" s="11" t="s">
        <v>897</v>
      </c>
      <c r="C1845" s="11" t="s">
        <v>11</v>
      </c>
      <c r="D1845" s="1">
        <f t="shared" ref="D1845:D1850" si="51">G1845</f>
        <v>10</v>
      </c>
      <c r="F1845" s="1"/>
      <c r="G1845" s="1">
        <v>10</v>
      </c>
      <c r="H1845" s="1" t="s">
        <v>2814</v>
      </c>
      <c r="I1845" s="1" t="s">
        <v>2723</v>
      </c>
    </row>
    <row r="1846" spans="1:46" ht="15.75" customHeight="1" x14ac:dyDescent="0.25">
      <c r="A1846" s="16">
        <v>19050012</v>
      </c>
      <c r="B1846" s="11" t="s">
        <v>897</v>
      </c>
      <c r="C1846" s="11" t="s">
        <v>2046</v>
      </c>
      <c r="D1846" s="1">
        <f t="shared" si="51"/>
        <v>20</v>
      </c>
      <c r="F1846" s="1"/>
      <c r="G1846" s="1">
        <v>20</v>
      </c>
      <c r="H1846" s="1" t="s">
        <v>2814</v>
      </c>
      <c r="I1846" s="1" t="s">
        <v>2722</v>
      </c>
    </row>
    <row r="1847" spans="1:46" ht="15.75" customHeight="1" x14ac:dyDescent="0.25">
      <c r="A1847" s="16">
        <v>19050012</v>
      </c>
      <c r="B1847" s="11" t="s">
        <v>897</v>
      </c>
      <c r="C1847" s="11" t="s">
        <v>26</v>
      </c>
      <c r="D1847" s="1">
        <f t="shared" si="51"/>
        <v>20</v>
      </c>
      <c r="F1847" s="1">
        <v>13.8</v>
      </c>
      <c r="G1847" s="1">
        <v>20</v>
      </c>
      <c r="H1847" s="1" t="s">
        <v>2814</v>
      </c>
      <c r="I1847" s="1" t="s">
        <v>2722</v>
      </c>
    </row>
    <row r="1848" spans="1:46" ht="15.75" customHeight="1" x14ac:dyDescent="0.25">
      <c r="A1848" s="16">
        <v>19050012</v>
      </c>
      <c r="B1848" s="11" t="s">
        <v>898</v>
      </c>
      <c r="C1848" s="11" t="s">
        <v>2047</v>
      </c>
      <c r="D1848" s="1">
        <f t="shared" si="51"/>
        <v>30</v>
      </c>
      <c r="F1848" s="1"/>
      <c r="G1848" s="1">
        <v>30</v>
      </c>
      <c r="H1848" s="1" t="s">
        <v>2814</v>
      </c>
      <c r="I1848" s="1" t="s">
        <v>2725</v>
      </c>
    </row>
    <row r="1849" spans="1:46" ht="15.75" customHeight="1" x14ac:dyDescent="0.25">
      <c r="A1849" s="3">
        <v>19050012</v>
      </c>
      <c r="B1849" s="1" t="s">
        <v>909</v>
      </c>
      <c r="C1849" s="11" t="s">
        <v>2057</v>
      </c>
      <c r="D1849" s="1">
        <f t="shared" si="51"/>
        <v>30</v>
      </c>
      <c r="F1849" s="1"/>
      <c r="G1849" s="1">
        <v>30</v>
      </c>
      <c r="H1849" s="1" t="s">
        <v>2814</v>
      </c>
      <c r="I1849" s="1" t="s">
        <v>2724</v>
      </c>
    </row>
    <row r="1850" spans="1:46" s="11" customFormat="1" ht="15.75" customHeight="1" x14ac:dyDescent="0.25">
      <c r="A1850" s="16">
        <v>19050013</v>
      </c>
      <c r="B1850" s="11" t="s">
        <v>2637</v>
      </c>
      <c r="C1850" s="11" t="s">
        <v>5</v>
      </c>
      <c r="D1850" s="11">
        <f t="shared" si="51"/>
        <v>60</v>
      </c>
      <c r="E1850" s="21"/>
      <c r="G1850" s="11">
        <v>60</v>
      </c>
      <c r="H1850" s="11" t="s">
        <v>2815</v>
      </c>
      <c r="I1850" s="11" t="s">
        <v>2727</v>
      </c>
      <c r="J1850" s="11" t="s">
        <v>3132</v>
      </c>
    </row>
    <row r="1851" spans="1:46" ht="15.75" customHeight="1" x14ac:dyDescent="0.25">
      <c r="A1851" s="24">
        <v>19050013</v>
      </c>
      <c r="B1851" s="25" t="s">
        <v>2637</v>
      </c>
      <c r="C1851" s="25" t="s">
        <v>29</v>
      </c>
      <c r="D1851" s="21">
        <v>60</v>
      </c>
      <c r="E1851" s="11"/>
      <c r="F1851" s="21"/>
      <c r="G1851" s="11"/>
      <c r="H1851" s="11" t="s">
        <v>3138</v>
      </c>
      <c r="I1851" s="11"/>
      <c r="J1851" s="11"/>
      <c r="K1851" s="11"/>
      <c r="L1851" s="11"/>
      <c r="M1851" s="11"/>
      <c r="N1851" s="11"/>
      <c r="O1851" s="11"/>
      <c r="P1851" s="11"/>
      <c r="Q1851" s="11"/>
      <c r="R1851" s="11"/>
      <c r="S1851" s="11"/>
      <c r="T1851" s="11"/>
      <c r="U1851" s="11"/>
      <c r="V1851" s="11"/>
      <c r="W1851" s="11"/>
      <c r="X1851" s="11"/>
      <c r="Y1851" s="11"/>
      <c r="Z1851" s="11"/>
      <c r="AA1851" s="11"/>
      <c r="AB1851" s="11"/>
      <c r="AC1851" s="11"/>
      <c r="AD1851" s="11"/>
      <c r="AE1851" s="11"/>
      <c r="AF1851" s="11"/>
      <c r="AG1851" s="11"/>
      <c r="AH1851" s="11"/>
      <c r="AI1851" s="11"/>
      <c r="AJ1851" s="11"/>
      <c r="AK1851" s="11"/>
      <c r="AL1851" s="11"/>
      <c r="AM1851" s="11"/>
      <c r="AN1851" s="11"/>
      <c r="AO1851" s="11"/>
      <c r="AP1851" s="11"/>
      <c r="AQ1851" s="11"/>
      <c r="AR1851" s="11"/>
      <c r="AS1851" s="11"/>
      <c r="AT1851" s="11"/>
    </row>
    <row r="1852" spans="1:46" ht="15.75" customHeight="1" x14ac:dyDescent="0.25">
      <c r="A1852" s="16">
        <v>19050013</v>
      </c>
      <c r="B1852" s="11" t="s">
        <v>2637</v>
      </c>
      <c r="C1852" s="11" t="s">
        <v>12</v>
      </c>
      <c r="D1852" s="1">
        <f>G1852</f>
        <v>30</v>
      </c>
      <c r="F1852" s="1"/>
      <c r="G1852" s="1">
        <v>30</v>
      </c>
      <c r="H1852" s="1" t="s">
        <v>2815</v>
      </c>
      <c r="I1852" s="1" t="s">
        <v>2726</v>
      </c>
    </row>
    <row r="1853" spans="1:46" ht="15.75" customHeight="1" x14ac:dyDescent="0.25">
      <c r="A1853" s="16">
        <v>19050013</v>
      </c>
      <c r="B1853" s="11" t="s">
        <v>2637</v>
      </c>
      <c r="C1853" s="11" t="s">
        <v>13</v>
      </c>
      <c r="D1853" s="11">
        <f>G1853</f>
        <v>60</v>
      </c>
      <c r="E1853" s="11"/>
      <c r="F1853" s="11"/>
      <c r="G1853" s="11">
        <v>60</v>
      </c>
      <c r="H1853" s="11" t="s">
        <v>2815</v>
      </c>
      <c r="I1853" s="11" t="s">
        <v>2727</v>
      </c>
      <c r="J1853" s="11"/>
      <c r="K1853" s="11"/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11"/>
      <c r="Y1853" s="11"/>
      <c r="Z1853" s="11"/>
      <c r="AA1853" s="11"/>
      <c r="AB1853" s="11"/>
      <c r="AC1853" s="11"/>
      <c r="AD1853" s="11"/>
      <c r="AE1853" s="11"/>
      <c r="AF1853" s="11"/>
      <c r="AG1853" s="11"/>
      <c r="AH1853" s="11"/>
      <c r="AI1853" s="11"/>
      <c r="AJ1853" s="11"/>
      <c r="AK1853" s="11"/>
      <c r="AL1853" s="11"/>
      <c r="AM1853" s="11"/>
      <c r="AN1853" s="11"/>
      <c r="AO1853" s="11"/>
      <c r="AP1853" s="11"/>
      <c r="AQ1853" s="11"/>
      <c r="AR1853" s="11"/>
      <c r="AS1853" s="11"/>
      <c r="AT1853" s="11"/>
    </row>
    <row r="1854" spans="1:46" ht="15.75" customHeight="1" x14ac:dyDescent="0.25">
      <c r="A1854" s="16">
        <v>19050014</v>
      </c>
      <c r="B1854" s="11" t="s">
        <v>2638</v>
      </c>
      <c r="C1854" s="11" t="s">
        <v>12</v>
      </c>
      <c r="D1854" s="11">
        <f>G1854</f>
        <v>30</v>
      </c>
      <c r="E1854" s="11"/>
      <c r="F1854" s="11"/>
      <c r="G1854" s="11">
        <v>30</v>
      </c>
      <c r="H1854" s="11" t="s">
        <v>2815</v>
      </c>
      <c r="I1854" s="11" t="s">
        <v>2722</v>
      </c>
      <c r="J1854" s="11"/>
      <c r="K1854" s="11"/>
      <c r="L1854" s="11"/>
      <c r="M1854" s="11"/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11"/>
      <c r="Y1854" s="11"/>
      <c r="Z1854" s="11"/>
      <c r="AA1854" s="11"/>
      <c r="AB1854" s="11"/>
      <c r="AC1854" s="11"/>
      <c r="AD1854" s="11"/>
      <c r="AE1854" s="11"/>
      <c r="AF1854" s="11"/>
      <c r="AG1854" s="11"/>
      <c r="AH1854" s="11"/>
      <c r="AI1854" s="11"/>
      <c r="AJ1854" s="11"/>
      <c r="AK1854" s="11"/>
      <c r="AL1854" s="11"/>
      <c r="AM1854" s="11"/>
      <c r="AN1854" s="11"/>
      <c r="AO1854" s="11"/>
      <c r="AP1854" s="11"/>
      <c r="AQ1854" s="11"/>
      <c r="AR1854" s="11"/>
      <c r="AS1854" s="11"/>
      <c r="AT1854" s="11"/>
    </row>
    <row r="1855" spans="1:46" ht="15.75" customHeight="1" x14ac:dyDescent="0.25">
      <c r="A1855" s="16">
        <v>19050014</v>
      </c>
      <c r="B1855" s="11" t="s">
        <v>2638</v>
      </c>
      <c r="C1855" s="11" t="s">
        <v>13</v>
      </c>
      <c r="D1855" s="11">
        <f>G1855</f>
        <v>60</v>
      </c>
      <c r="E1855" s="11"/>
      <c r="F1855" s="11"/>
      <c r="G1855" s="11">
        <v>60</v>
      </c>
      <c r="H1855" s="11" t="s">
        <v>2815</v>
      </c>
      <c r="I1855" s="11" t="s">
        <v>2728</v>
      </c>
      <c r="J1855" s="11"/>
      <c r="K1855" s="11"/>
      <c r="L1855" s="11"/>
      <c r="M1855" s="11"/>
      <c r="N1855" s="11"/>
      <c r="O1855" s="11"/>
      <c r="P1855" s="11"/>
      <c r="Q1855" s="11"/>
      <c r="R1855" s="11"/>
      <c r="S1855" s="11"/>
      <c r="T1855" s="11"/>
      <c r="U1855" s="11"/>
      <c r="V1855" s="11"/>
      <c r="W1855" s="11"/>
      <c r="X1855" s="11"/>
      <c r="Y1855" s="11"/>
      <c r="Z1855" s="11"/>
      <c r="AA1855" s="11"/>
      <c r="AB1855" s="11"/>
      <c r="AC1855" s="11"/>
      <c r="AD1855" s="11"/>
      <c r="AE1855" s="11"/>
      <c r="AF1855" s="11"/>
      <c r="AG1855" s="11"/>
      <c r="AH1855" s="11"/>
      <c r="AI1855" s="11"/>
      <c r="AJ1855" s="11"/>
      <c r="AK1855" s="11"/>
      <c r="AL1855" s="11"/>
      <c r="AM1855" s="11"/>
      <c r="AN1855" s="11"/>
      <c r="AO1855" s="11"/>
      <c r="AP1855" s="11"/>
      <c r="AQ1855" s="11"/>
      <c r="AR1855" s="11"/>
      <c r="AS1855" s="11"/>
      <c r="AT1855" s="11"/>
    </row>
    <row r="1856" spans="1:46" ht="15.75" customHeight="1" x14ac:dyDescent="0.25">
      <c r="A1856" s="24">
        <v>19050014</v>
      </c>
      <c r="B1856" s="25" t="s">
        <v>2638</v>
      </c>
      <c r="C1856" s="25" t="s">
        <v>29</v>
      </c>
      <c r="D1856" s="21">
        <v>60</v>
      </c>
      <c r="E1856" s="11"/>
      <c r="F1856" s="21"/>
      <c r="G1856" s="11"/>
      <c r="H1856" s="11" t="s">
        <v>3138</v>
      </c>
      <c r="I1856" s="11"/>
      <c r="J1856" s="11"/>
      <c r="K1856" s="11"/>
      <c r="L1856" s="11"/>
      <c r="M1856" s="11"/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  <c r="X1856" s="11"/>
      <c r="Y1856" s="11"/>
      <c r="Z1856" s="11"/>
      <c r="AA1856" s="11"/>
      <c r="AB1856" s="11"/>
      <c r="AC1856" s="11"/>
      <c r="AD1856" s="11"/>
      <c r="AE1856" s="11"/>
      <c r="AF1856" s="11"/>
      <c r="AG1856" s="11"/>
      <c r="AH1856" s="11"/>
      <c r="AI1856" s="11"/>
      <c r="AJ1856" s="11"/>
      <c r="AK1856" s="11"/>
      <c r="AL1856" s="11"/>
      <c r="AM1856" s="11"/>
      <c r="AN1856" s="11"/>
      <c r="AO1856" s="11"/>
      <c r="AP1856" s="11"/>
      <c r="AQ1856" s="11"/>
      <c r="AR1856" s="11"/>
      <c r="AS1856" s="11"/>
      <c r="AT1856" s="11"/>
    </row>
    <row r="1857" spans="1:46" ht="15.75" customHeight="1" x14ac:dyDescent="0.25">
      <c r="A1857" s="16">
        <v>19050015</v>
      </c>
      <c r="B1857" s="11" t="s">
        <v>2640</v>
      </c>
      <c r="C1857" s="11" t="s">
        <v>11</v>
      </c>
      <c r="D1857" s="11">
        <v>15</v>
      </c>
      <c r="E1857" s="21"/>
      <c r="F1857" s="11" t="s">
        <v>3132</v>
      </c>
      <c r="G1857" s="21">
        <v>15</v>
      </c>
      <c r="H1857" s="11" t="s">
        <v>2815</v>
      </c>
      <c r="I1857" s="11" t="s">
        <v>2723</v>
      </c>
      <c r="J1857" s="11" t="s">
        <v>3132</v>
      </c>
      <c r="K1857" s="11"/>
      <c r="L1857" s="11"/>
      <c r="M1857" s="11"/>
      <c r="N1857" s="11"/>
      <c r="O1857" s="11"/>
      <c r="P1857" s="11"/>
      <c r="Q1857" s="11"/>
      <c r="R1857" s="11"/>
      <c r="S1857" s="11"/>
      <c r="T1857" s="11"/>
      <c r="U1857" s="11"/>
      <c r="V1857" s="11"/>
      <c r="W1857" s="11"/>
      <c r="X1857" s="11"/>
      <c r="Y1857" s="11"/>
      <c r="Z1857" s="11"/>
      <c r="AA1857" s="11"/>
      <c r="AB1857" s="11"/>
      <c r="AC1857" s="11"/>
      <c r="AD1857" s="11"/>
      <c r="AE1857" s="11"/>
      <c r="AF1857" s="11"/>
      <c r="AG1857" s="11"/>
      <c r="AH1857" s="11"/>
      <c r="AI1857" s="11"/>
      <c r="AJ1857" s="11"/>
      <c r="AK1857" s="11"/>
      <c r="AL1857" s="11"/>
      <c r="AM1857" s="11"/>
      <c r="AN1857" s="11"/>
      <c r="AO1857" s="11"/>
      <c r="AP1857" s="11"/>
      <c r="AQ1857" s="11"/>
      <c r="AR1857" s="11"/>
      <c r="AS1857" s="11"/>
      <c r="AT1857" s="11"/>
    </row>
    <row r="1858" spans="1:46" ht="15.75" customHeight="1" x14ac:dyDescent="0.25">
      <c r="A1858" s="16">
        <v>19050015</v>
      </c>
      <c r="B1858" s="11" t="s">
        <v>2640</v>
      </c>
      <c r="C1858" s="11" t="s">
        <v>13</v>
      </c>
      <c r="D1858" s="11">
        <f>G1858</f>
        <v>60</v>
      </c>
      <c r="E1858" s="11"/>
      <c r="F1858" s="11"/>
      <c r="G1858" s="11">
        <v>60</v>
      </c>
      <c r="H1858" s="11" t="s">
        <v>2815</v>
      </c>
      <c r="I1858" s="11" t="s">
        <v>2728</v>
      </c>
      <c r="J1858" s="11"/>
      <c r="K1858" s="11"/>
      <c r="L1858" s="11"/>
      <c r="M1858" s="11"/>
      <c r="N1858" s="11"/>
      <c r="O1858" s="11"/>
      <c r="P1858" s="11"/>
      <c r="Q1858" s="11"/>
      <c r="R1858" s="11"/>
      <c r="S1858" s="11"/>
      <c r="T1858" s="11"/>
      <c r="U1858" s="11"/>
      <c r="V1858" s="11"/>
      <c r="W1858" s="11"/>
      <c r="X1858" s="11"/>
      <c r="Y1858" s="11"/>
      <c r="Z1858" s="11"/>
      <c r="AA1858" s="11"/>
      <c r="AB1858" s="11"/>
      <c r="AC1858" s="11"/>
      <c r="AD1858" s="11"/>
      <c r="AE1858" s="11"/>
      <c r="AF1858" s="11"/>
      <c r="AG1858" s="11"/>
      <c r="AH1858" s="11"/>
      <c r="AI1858" s="11"/>
      <c r="AJ1858" s="11"/>
      <c r="AK1858" s="11"/>
      <c r="AL1858" s="11"/>
      <c r="AM1858" s="11"/>
      <c r="AN1858" s="11"/>
      <c r="AO1858" s="11"/>
      <c r="AP1858" s="11"/>
      <c r="AQ1858" s="11"/>
      <c r="AR1858" s="11"/>
      <c r="AS1858" s="11"/>
      <c r="AT1858" s="11"/>
    </row>
    <row r="1859" spans="1:46" ht="15.75" customHeight="1" x14ac:dyDescent="0.25">
      <c r="A1859" s="16">
        <v>19050015</v>
      </c>
      <c r="B1859" s="11" t="s">
        <v>2640</v>
      </c>
      <c r="C1859" s="11" t="s">
        <v>12</v>
      </c>
      <c r="D1859" s="11">
        <f>G1859</f>
        <v>30</v>
      </c>
      <c r="E1859" s="11"/>
      <c r="F1859" s="11"/>
      <c r="G1859" s="11">
        <v>30</v>
      </c>
      <c r="H1859" s="11" t="s">
        <v>2815</v>
      </c>
      <c r="I1859" s="11" t="s">
        <v>2722</v>
      </c>
      <c r="J1859" s="11"/>
      <c r="K1859" s="11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  <c r="Y1859" s="11"/>
      <c r="Z1859" s="11"/>
      <c r="AA1859" s="11"/>
      <c r="AB1859" s="11"/>
      <c r="AC1859" s="11"/>
      <c r="AD1859" s="11"/>
      <c r="AE1859" s="11"/>
      <c r="AF1859" s="11"/>
      <c r="AG1859" s="11"/>
      <c r="AH1859" s="11"/>
      <c r="AI1859" s="11"/>
      <c r="AJ1859" s="11"/>
      <c r="AK1859" s="11"/>
      <c r="AL1859" s="11"/>
      <c r="AM1859" s="11"/>
      <c r="AN1859" s="11"/>
      <c r="AO1859" s="11"/>
      <c r="AP1859" s="11"/>
      <c r="AQ1859" s="11"/>
      <c r="AR1859" s="11"/>
      <c r="AS1859" s="11"/>
      <c r="AT1859" s="11"/>
    </row>
    <row r="1860" spans="1:46" ht="15.75" customHeight="1" x14ac:dyDescent="0.25">
      <c r="A1860" s="24">
        <v>19050015</v>
      </c>
      <c r="B1860" s="25" t="s">
        <v>2640</v>
      </c>
      <c r="C1860" s="25" t="s">
        <v>29</v>
      </c>
      <c r="D1860" s="21">
        <v>60</v>
      </c>
      <c r="E1860" s="11"/>
      <c r="F1860" s="21"/>
      <c r="G1860" s="11"/>
      <c r="H1860" s="11" t="s">
        <v>3138</v>
      </c>
      <c r="I1860" s="11"/>
      <c r="J1860" s="11"/>
      <c r="K1860" s="11"/>
      <c r="L1860" s="11"/>
      <c r="M1860" s="11"/>
      <c r="N1860" s="11"/>
      <c r="O1860" s="11"/>
      <c r="P1860" s="11"/>
      <c r="Q1860" s="11"/>
      <c r="R1860" s="11"/>
      <c r="S1860" s="11"/>
      <c r="T1860" s="11"/>
      <c r="U1860" s="11"/>
      <c r="V1860" s="11"/>
      <c r="W1860" s="11"/>
      <c r="X1860" s="11"/>
      <c r="Y1860" s="11"/>
      <c r="Z1860" s="11"/>
      <c r="AA1860" s="11"/>
      <c r="AB1860" s="11"/>
      <c r="AC1860" s="11"/>
      <c r="AD1860" s="11"/>
      <c r="AE1860" s="11"/>
      <c r="AF1860" s="11"/>
      <c r="AG1860" s="11"/>
      <c r="AH1860" s="11"/>
      <c r="AI1860" s="11"/>
      <c r="AJ1860" s="11"/>
      <c r="AK1860" s="11"/>
      <c r="AL1860" s="11"/>
      <c r="AM1860" s="11"/>
      <c r="AN1860" s="11"/>
      <c r="AO1860" s="11"/>
      <c r="AP1860" s="11"/>
      <c r="AQ1860" s="11"/>
      <c r="AR1860" s="11"/>
      <c r="AS1860" s="11"/>
      <c r="AT1860" s="11"/>
    </row>
    <row r="1861" spans="1:46" ht="15.75" customHeight="1" x14ac:dyDescent="0.25">
      <c r="A1861" s="16">
        <v>19050016</v>
      </c>
      <c r="B1861" s="11" t="s">
        <v>2673</v>
      </c>
      <c r="C1861" s="11" t="s">
        <v>11</v>
      </c>
      <c r="D1861" s="1">
        <v>15</v>
      </c>
      <c r="F1861" s="1"/>
      <c r="G1861" s="1">
        <v>15</v>
      </c>
      <c r="H1861" s="1" t="s">
        <v>2811</v>
      </c>
      <c r="I1861" s="1" t="s">
        <v>2729</v>
      </c>
    </row>
    <row r="1862" spans="1:46" ht="15.75" customHeight="1" x14ac:dyDescent="0.25">
      <c r="A1862" s="3">
        <v>19050016</v>
      </c>
      <c r="B1862" s="1" t="s">
        <v>2673</v>
      </c>
      <c r="C1862" s="11" t="s">
        <v>28</v>
      </c>
      <c r="D1862" s="1">
        <v>60</v>
      </c>
      <c r="E1862" s="4"/>
      <c r="F1862" s="1" t="s">
        <v>3132</v>
      </c>
      <c r="G1862" s="1">
        <v>60</v>
      </c>
      <c r="H1862" s="1" t="s">
        <v>2811</v>
      </c>
      <c r="I1862" s="1" t="s">
        <v>3183</v>
      </c>
      <c r="J1862" s="1" t="s">
        <v>3132</v>
      </c>
    </row>
    <row r="1863" spans="1:46" ht="15.75" customHeight="1" x14ac:dyDescent="0.25">
      <c r="A1863" s="16">
        <v>19050016</v>
      </c>
      <c r="B1863" s="11" t="s">
        <v>2673</v>
      </c>
      <c r="C1863" s="11" t="s">
        <v>12</v>
      </c>
      <c r="D1863" s="1">
        <f>G1863</f>
        <v>30</v>
      </c>
      <c r="F1863" s="1"/>
      <c r="G1863" s="1">
        <v>30</v>
      </c>
      <c r="H1863" s="1" t="s">
        <v>2811</v>
      </c>
      <c r="I1863" s="1" t="s">
        <v>2726</v>
      </c>
    </row>
    <row r="1864" spans="1:46" ht="15.75" customHeight="1" x14ac:dyDescent="0.25">
      <c r="A1864" s="16">
        <v>19050016</v>
      </c>
      <c r="B1864" s="11" t="s">
        <v>2673</v>
      </c>
      <c r="C1864" s="11" t="s">
        <v>13</v>
      </c>
      <c r="D1864" s="1">
        <v>60</v>
      </c>
      <c r="F1864" s="1"/>
      <c r="G1864" s="1">
        <v>60</v>
      </c>
      <c r="H1864" s="1" t="s">
        <v>2811</v>
      </c>
      <c r="I1864" s="1" t="s">
        <v>2727</v>
      </c>
    </row>
    <row r="1865" spans="1:46" ht="15.75" customHeight="1" x14ac:dyDescent="0.25">
      <c r="A1865" s="24">
        <v>19050016</v>
      </c>
      <c r="B1865" s="25" t="s">
        <v>2673</v>
      </c>
      <c r="C1865" s="25" t="s">
        <v>29</v>
      </c>
      <c r="D1865" s="21">
        <v>60</v>
      </c>
      <c r="E1865" s="11"/>
      <c r="F1865" s="21"/>
      <c r="G1865" s="11"/>
      <c r="H1865" s="11" t="s">
        <v>3138</v>
      </c>
      <c r="I1865" s="11"/>
      <c r="J1865" s="11"/>
      <c r="K1865" s="11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  <c r="Y1865" s="11"/>
      <c r="Z1865" s="11"/>
      <c r="AA1865" s="11"/>
      <c r="AB1865" s="11"/>
      <c r="AC1865" s="11"/>
      <c r="AD1865" s="11"/>
      <c r="AE1865" s="11"/>
      <c r="AF1865" s="11"/>
      <c r="AG1865" s="11"/>
      <c r="AH1865" s="11"/>
      <c r="AI1865" s="11"/>
      <c r="AJ1865" s="11"/>
      <c r="AK1865" s="11"/>
      <c r="AL1865" s="11"/>
      <c r="AM1865" s="11"/>
      <c r="AN1865" s="11"/>
      <c r="AO1865" s="11"/>
      <c r="AP1865" s="11"/>
      <c r="AQ1865" s="11"/>
      <c r="AR1865" s="11"/>
      <c r="AS1865" s="11"/>
      <c r="AT1865" s="11"/>
    </row>
    <row r="1866" spans="1:46" ht="15.75" customHeight="1" x14ac:dyDescent="0.25">
      <c r="A1866" s="24">
        <v>19050017</v>
      </c>
      <c r="B1866" s="25" t="s">
        <v>3227</v>
      </c>
      <c r="C1866" s="25" t="s">
        <v>24</v>
      </c>
      <c r="D1866" s="21">
        <v>18</v>
      </c>
      <c r="E1866" s="11"/>
      <c r="F1866" s="21"/>
      <c r="G1866" s="11"/>
      <c r="H1866" s="11" t="s">
        <v>3238</v>
      </c>
      <c r="I1866" s="11" t="s">
        <v>3236</v>
      </c>
      <c r="J1866" s="11"/>
      <c r="K1866" s="11"/>
      <c r="L1866" s="11"/>
      <c r="M1866" s="11"/>
      <c r="N1866" s="11"/>
      <c r="O1866" s="11"/>
      <c r="P1866" s="11"/>
      <c r="Q1866" s="11"/>
      <c r="R1866" s="11"/>
      <c r="S1866" s="11"/>
      <c r="T1866" s="11"/>
      <c r="U1866" s="11"/>
      <c r="V1866" s="11"/>
      <c r="W1866" s="11"/>
      <c r="X1866" s="11"/>
      <c r="Y1866" s="11"/>
      <c r="Z1866" s="11"/>
      <c r="AA1866" s="11"/>
      <c r="AB1866" s="11"/>
      <c r="AC1866" s="11"/>
      <c r="AD1866" s="11"/>
      <c r="AE1866" s="11"/>
      <c r="AF1866" s="11"/>
      <c r="AG1866" s="11"/>
      <c r="AH1866" s="11"/>
      <c r="AI1866" s="11"/>
      <c r="AJ1866" s="11"/>
      <c r="AK1866" s="11"/>
      <c r="AL1866" s="11"/>
      <c r="AM1866" s="11"/>
      <c r="AN1866" s="11"/>
      <c r="AO1866" s="11"/>
      <c r="AP1866" s="11"/>
      <c r="AQ1866" s="11"/>
      <c r="AR1866" s="11"/>
      <c r="AS1866" s="11"/>
      <c r="AT1866" s="11"/>
    </row>
    <row r="1867" spans="1:46" ht="15.75" customHeight="1" x14ac:dyDescent="0.25">
      <c r="A1867" s="24">
        <v>19050017</v>
      </c>
      <c r="B1867" s="25" t="s">
        <v>3227</v>
      </c>
      <c r="C1867" s="25" t="s">
        <v>27</v>
      </c>
      <c r="D1867" s="21">
        <v>27</v>
      </c>
      <c r="E1867" s="11"/>
      <c r="F1867" s="21"/>
      <c r="G1867" s="11"/>
      <c r="H1867" s="11" t="s">
        <v>3237</v>
      </c>
      <c r="I1867" s="11" t="s">
        <v>3236</v>
      </c>
      <c r="J1867" s="11"/>
      <c r="K1867" s="11"/>
      <c r="L1867" s="11"/>
      <c r="M1867" s="11"/>
      <c r="N1867" s="11"/>
      <c r="O1867" s="11"/>
      <c r="P1867" s="11"/>
      <c r="Q1867" s="11"/>
      <c r="R1867" s="11"/>
      <c r="S1867" s="11"/>
      <c r="T1867" s="11"/>
      <c r="U1867" s="11"/>
      <c r="V1867" s="11"/>
      <c r="W1867" s="11"/>
      <c r="X1867" s="11"/>
      <c r="Y1867" s="11"/>
      <c r="Z1867" s="11"/>
      <c r="AA1867" s="11"/>
      <c r="AB1867" s="11"/>
      <c r="AC1867" s="11"/>
      <c r="AD1867" s="11"/>
      <c r="AE1867" s="11"/>
      <c r="AF1867" s="11"/>
      <c r="AG1867" s="11"/>
      <c r="AH1867" s="11"/>
      <c r="AI1867" s="11"/>
      <c r="AJ1867" s="11"/>
      <c r="AK1867" s="11"/>
      <c r="AL1867" s="11"/>
      <c r="AM1867" s="11"/>
      <c r="AN1867" s="11"/>
      <c r="AO1867" s="11"/>
      <c r="AP1867" s="11"/>
      <c r="AQ1867" s="11"/>
      <c r="AR1867" s="11"/>
      <c r="AS1867" s="11"/>
      <c r="AT1867" s="11"/>
    </row>
    <row r="1868" spans="1:46" ht="15.75" customHeight="1" x14ac:dyDescent="0.25">
      <c r="A1868" s="24">
        <v>19050017</v>
      </c>
      <c r="B1868" s="25" t="s">
        <v>3227</v>
      </c>
      <c r="C1868" s="25" t="s">
        <v>13</v>
      </c>
      <c r="D1868" s="21">
        <v>18</v>
      </c>
      <c r="E1868" s="11"/>
      <c r="F1868" s="21"/>
      <c r="G1868" s="11"/>
      <c r="H1868" s="11" t="s">
        <v>3026</v>
      </c>
      <c r="I1868" s="11" t="s">
        <v>3236</v>
      </c>
      <c r="J1868" s="11"/>
      <c r="K1868" s="11"/>
      <c r="L1868" s="11"/>
      <c r="M1868" s="11"/>
      <c r="N1868" s="11"/>
      <c r="O1868" s="11"/>
      <c r="P1868" s="11"/>
      <c r="Q1868" s="11"/>
      <c r="R1868" s="11"/>
      <c r="S1868" s="11"/>
      <c r="T1868" s="11"/>
      <c r="U1868" s="11"/>
      <c r="V1868" s="11"/>
      <c r="W1868" s="11"/>
      <c r="X1868" s="11"/>
      <c r="Y1868" s="11"/>
      <c r="Z1868" s="11"/>
      <c r="AA1868" s="11"/>
      <c r="AB1868" s="11"/>
      <c r="AC1868" s="11"/>
      <c r="AD1868" s="11"/>
      <c r="AE1868" s="11"/>
      <c r="AF1868" s="11"/>
      <c r="AG1868" s="11"/>
      <c r="AH1868" s="11"/>
      <c r="AI1868" s="11"/>
      <c r="AJ1868" s="11"/>
      <c r="AK1868" s="11"/>
      <c r="AL1868" s="11"/>
      <c r="AM1868" s="11"/>
      <c r="AN1868" s="11"/>
      <c r="AO1868" s="11"/>
      <c r="AP1868" s="11"/>
      <c r="AQ1868" s="11"/>
      <c r="AR1868" s="11"/>
      <c r="AS1868" s="11"/>
      <c r="AT1868" s="11"/>
    </row>
    <row r="1869" spans="1:46" ht="15.75" customHeight="1" x14ac:dyDescent="0.25">
      <c r="A1869" s="3">
        <v>19060001</v>
      </c>
      <c r="B1869" s="11" t="s">
        <v>912</v>
      </c>
      <c r="C1869" s="11" t="s">
        <v>2059</v>
      </c>
      <c r="D1869" s="1">
        <f>G1869</f>
        <v>55</v>
      </c>
      <c r="F1869" s="1"/>
      <c r="G1869" s="1">
        <v>55</v>
      </c>
      <c r="H1869" s="1" t="s">
        <v>2816</v>
      </c>
      <c r="I1869" s="1" t="s">
        <v>2520</v>
      </c>
    </row>
    <row r="1870" spans="1:46" ht="15.75" customHeight="1" x14ac:dyDescent="0.25">
      <c r="A1870" s="3">
        <v>19060002</v>
      </c>
      <c r="B1870" s="1" t="s">
        <v>914</v>
      </c>
      <c r="C1870" s="11" t="s">
        <v>2059</v>
      </c>
      <c r="D1870" s="1">
        <f>G1870</f>
        <v>26</v>
      </c>
      <c r="F1870" s="1"/>
      <c r="G1870" s="1">
        <v>26</v>
      </c>
      <c r="H1870" s="1" t="s">
        <v>2817</v>
      </c>
    </row>
    <row r="1871" spans="1:46" ht="15.75" customHeight="1" x14ac:dyDescent="0.25">
      <c r="A1871" s="5">
        <v>19060003</v>
      </c>
      <c r="B1871" s="1" t="s">
        <v>913</v>
      </c>
      <c r="C1871" s="11" t="s">
        <v>23</v>
      </c>
      <c r="D1871" s="1">
        <f>G1871</f>
        <v>36</v>
      </c>
      <c r="F1871" s="1"/>
      <c r="G1871" s="1">
        <v>36</v>
      </c>
      <c r="H1871" s="1" t="s">
        <v>2835</v>
      </c>
      <c r="I1871" s="1" t="s">
        <v>2701</v>
      </c>
    </row>
    <row r="1872" spans="1:46" ht="15.75" customHeight="1" x14ac:dyDescent="0.25">
      <c r="A1872" s="3">
        <v>19060003</v>
      </c>
      <c r="B1872" s="1" t="s">
        <v>913</v>
      </c>
      <c r="C1872" s="11" t="s">
        <v>2059</v>
      </c>
      <c r="D1872" s="1">
        <f>G1872</f>
        <v>54</v>
      </c>
      <c r="F1872" s="1"/>
      <c r="G1872" s="1">
        <v>54</v>
      </c>
      <c r="H1872" s="1" t="s">
        <v>2835</v>
      </c>
      <c r="I1872" s="1" t="s">
        <v>2734</v>
      </c>
    </row>
    <row r="1873" spans="1:46" ht="15.75" customHeight="1" x14ac:dyDescent="0.25">
      <c r="A1873" s="5">
        <v>19060004</v>
      </c>
      <c r="B1873" s="1" t="s">
        <v>915</v>
      </c>
      <c r="C1873" s="11" t="s">
        <v>32</v>
      </c>
      <c r="D1873" s="4">
        <f>G1873</f>
        <v>1</v>
      </c>
      <c r="F1873" s="1"/>
      <c r="G1873" s="4">
        <v>1</v>
      </c>
      <c r="H1873" s="1" t="s">
        <v>2817</v>
      </c>
    </row>
    <row r="1874" spans="1:46" ht="15.75" customHeight="1" x14ac:dyDescent="0.25">
      <c r="A1874" s="16">
        <v>19060004</v>
      </c>
      <c r="B1874" s="11" t="s">
        <v>915</v>
      </c>
      <c r="C1874" s="11" t="s">
        <v>11</v>
      </c>
      <c r="D1874" s="1">
        <v>26</v>
      </c>
      <c r="F1874" s="1"/>
      <c r="G1874" s="1">
        <v>26</v>
      </c>
      <c r="H1874" s="1" t="s">
        <v>2817</v>
      </c>
      <c r="I1874" s="1" t="s">
        <v>2891</v>
      </c>
    </row>
    <row r="1875" spans="1:46" ht="15.75" customHeight="1" x14ac:dyDescent="0.25">
      <c r="A1875" s="16">
        <v>19060004</v>
      </c>
      <c r="B1875" s="11" t="s">
        <v>915</v>
      </c>
      <c r="C1875" s="11" t="s">
        <v>13</v>
      </c>
      <c r="D1875" s="1">
        <v>104</v>
      </c>
      <c r="F1875" s="1"/>
      <c r="G1875" s="1">
        <v>104</v>
      </c>
      <c r="H1875" s="1" t="s">
        <v>2817</v>
      </c>
      <c r="I1875" s="1" t="s">
        <v>2892</v>
      </c>
    </row>
    <row r="1876" spans="1:46" ht="15.75" customHeight="1" x14ac:dyDescent="0.25">
      <c r="A1876" s="3">
        <v>19060004</v>
      </c>
      <c r="B1876" s="11" t="s">
        <v>2515</v>
      </c>
      <c r="C1876" s="11" t="s">
        <v>2059</v>
      </c>
      <c r="D1876" s="1">
        <v>26</v>
      </c>
      <c r="F1876" s="1"/>
      <c r="G1876" s="1">
        <v>26</v>
      </c>
      <c r="H1876" s="1" t="s">
        <v>2817</v>
      </c>
      <c r="I1876" s="1" t="s">
        <v>2891</v>
      </c>
    </row>
    <row r="1877" spans="1:46" ht="15.75" customHeight="1" x14ac:dyDescent="0.25">
      <c r="A1877" s="3">
        <v>19060005</v>
      </c>
      <c r="B1877" s="1" t="s">
        <v>916</v>
      </c>
      <c r="C1877" s="11" t="s">
        <v>2059</v>
      </c>
      <c r="D1877" s="1">
        <v>50</v>
      </c>
      <c r="F1877" s="1"/>
      <c r="G1877" s="1">
        <v>50</v>
      </c>
      <c r="H1877" s="1" t="s">
        <v>2893</v>
      </c>
    </row>
    <row r="1878" spans="1:46" ht="15.75" customHeight="1" x14ac:dyDescent="0.25">
      <c r="A1878" s="3">
        <v>19060006</v>
      </c>
      <c r="B1878" s="1" t="s">
        <v>917</v>
      </c>
      <c r="C1878" s="11" t="s">
        <v>2059</v>
      </c>
      <c r="D1878" s="1">
        <f>G1878</f>
        <v>55</v>
      </c>
      <c r="F1878" s="1"/>
      <c r="G1878" s="1">
        <v>55</v>
      </c>
      <c r="H1878" s="1" t="s">
        <v>2816</v>
      </c>
      <c r="I1878" s="1" t="s">
        <v>2890</v>
      </c>
    </row>
    <row r="1879" spans="1:46" ht="15.75" customHeight="1" x14ac:dyDescent="0.25">
      <c r="A1879" s="24">
        <v>19060007</v>
      </c>
      <c r="B1879" s="25" t="s">
        <v>918</v>
      </c>
      <c r="C1879" s="25" t="s">
        <v>13</v>
      </c>
      <c r="D1879" s="21">
        <v>60</v>
      </c>
      <c r="E1879" s="11"/>
      <c r="F1879" s="21"/>
      <c r="G1879" s="11"/>
      <c r="H1879" s="11" t="s">
        <v>2811</v>
      </c>
      <c r="I1879" s="11"/>
      <c r="J1879" s="11"/>
      <c r="K1879" s="11"/>
      <c r="L1879" s="11"/>
      <c r="M1879" s="11"/>
      <c r="N1879" s="11"/>
      <c r="O1879" s="11"/>
      <c r="P1879" s="11"/>
      <c r="Q1879" s="11"/>
      <c r="R1879" s="11"/>
      <c r="S1879" s="11"/>
      <c r="T1879" s="11"/>
      <c r="U1879" s="11"/>
      <c r="V1879" s="11"/>
      <c r="W1879" s="11"/>
      <c r="X1879" s="11"/>
      <c r="Y1879" s="11"/>
      <c r="Z1879" s="11"/>
      <c r="AA1879" s="11"/>
      <c r="AB1879" s="11"/>
      <c r="AC1879" s="11"/>
      <c r="AD1879" s="11"/>
      <c r="AE1879" s="11"/>
      <c r="AF1879" s="11"/>
      <c r="AG1879" s="11"/>
      <c r="AH1879" s="11"/>
      <c r="AI1879" s="11"/>
      <c r="AJ1879" s="11"/>
      <c r="AK1879" s="11"/>
      <c r="AL1879" s="11"/>
      <c r="AM1879" s="11"/>
      <c r="AN1879" s="11"/>
      <c r="AO1879" s="11"/>
      <c r="AP1879" s="11"/>
      <c r="AQ1879" s="11"/>
      <c r="AR1879" s="11"/>
      <c r="AS1879" s="11"/>
      <c r="AT1879" s="11"/>
    </row>
    <row r="1880" spans="1:46" ht="15.75" customHeight="1" x14ac:dyDescent="0.25">
      <c r="A1880" s="3">
        <v>19060007</v>
      </c>
      <c r="B1880" s="1" t="s">
        <v>918</v>
      </c>
      <c r="C1880" s="11" t="s">
        <v>2059</v>
      </c>
      <c r="D1880" s="1">
        <f>G1880</f>
        <v>17</v>
      </c>
      <c r="F1880" s="1"/>
      <c r="G1880" s="1">
        <v>17</v>
      </c>
      <c r="H1880" s="1" t="s">
        <v>2818</v>
      </c>
    </row>
    <row r="1881" spans="1:46" s="11" customFormat="1" ht="15.75" customHeight="1" x14ac:dyDescent="0.25">
      <c r="A1881" s="16">
        <v>19060008</v>
      </c>
      <c r="B1881" s="11" t="s">
        <v>920</v>
      </c>
      <c r="C1881" s="11" t="s">
        <v>13</v>
      </c>
      <c r="D1881" s="1">
        <v>60</v>
      </c>
      <c r="E1881" s="1"/>
      <c r="F1881" s="1"/>
      <c r="G1881" s="1">
        <v>60</v>
      </c>
      <c r="H1881" s="1" t="s">
        <v>2819</v>
      </c>
      <c r="I1881" s="1" t="s">
        <v>2721</v>
      </c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</row>
    <row r="1882" spans="1:46" ht="15.75" customHeight="1" x14ac:dyDescent="0.25">
      <c r="A1882" s="3">
        <v>19060008</v>
      </c>
      <c r="B1882" s="1" t="s">
        <v>920</v>
      </c>
      <c r="C1882" s="11" t="s">
        <v>2061</v>
      </c>
      <c r="D1882" s="4">
        <f>G1882</f>
        <v>30</v>
      </c>
      <c r="E1882" s="10"/>
      <c r="F1882" s="1"/>
      <c r="G1882" s="1">
        <v>30</v>
      </c>
      <c r="H1882" s="1" t="s">
        <v>2819</v>
      </c>
    </row>
    <row r="1883" spans="1:46" ht="15.75" customHeight="1" x14ac:dyDescent="0.25">
      <c r="A1883" s="16">
        <v>19060009</v>
      </c>
      <c r="B1883" s="11" t="s">
        <v>922</v>
      </c>
      <c r="C1883" s="11" t="s">
        <v>26</v>
      </c>
      <c r="D1883" s="1">
        <f>ROUND(E1883*F1883,0)</f>
        <v>20</v>
      </c>
      <c r="E1883" s="1">
        <v>1.1000000000000001</v>
      </c>
      <c r="F1883" s="1">
        <v>18</v>
      </c>
      <c r="H1883" s="1" t="s">
        <v>2895</v>
      </c>
    </row>
    <row r="1884" spans="1:46" s="11" customFormat="1" ht="15.75" customHeight="1" x14ac:dyDescent="0.25">
      <c r="A1884" s="3">
        <v>19060009</v>
      </c>
      <c r="B1884" s="1" t="s">
        <v>922</v>
      </c>
      <c r="C1884" s="11" t="s">
        <v>27</v>
      </c>
      <c r="D1884" s="4">
        <f>ROUND(E1884*F1884,0)</f>
        <v>143</v>
      </c>
      <c r="E1884" s="1">
        <v>1.1000000000000001</v>
      </c>
      <c r="F1884" s="1">
        <v>130</v>
      </c>
      <c r="G1884" s="1"/>
      <c r="H1884" s="1" t="s">
        <v>2895</v>
      </c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  <c r="AS1884" s="1"/>
      <c r="AT1884" s="1"/>
    </row>
    <row r="1885" spans="1:46" ht="15.75" customHeight="1" x14ac:dyDescent="0.25">
      <c r="A1885" s="3">
        <v>19060009</v>
      </c>
      <c r="B1885" s="1" t="s">
        <v>922</v>
      </c>
      <c r="C1885" s="11" t="s">
        <v>28</v>
      </c>
      <c r="D1885" s="1">
        <f>ROUND(E1885*F1885,0)</f>
        <v>363</v>
      </c>
      <c r="E1885" s="1">
        <v>1.1000000000000001</v>
      </c>
      <c r="F1885" s="1">
        <v>330</v>
      </c>
      <c r="H1885" s="1" t="s">
        <v>2895</v>
      </c>
    </row>
    <row r="1886" spans="1:46" ht="15.75" customHeight="1" x14ac:dyDescent="0.25">
      <c r="A1886" s="3">
        <v>19060009</v>
      </c>
      <c r="B1886" s="1" t="s">
        <v>922</v>
      </c>
      <c r="C1886" s="11" t="s">
        <v>2064</v>
      </c>
      <c r="D1886" s="1">
        <f>ROUND(E1886*F1886,0)</f>
        <v>275</v>
      </c>
      <c r="E1886" s="1">
        <v>1.1000000000000001</v>
      </c>
      <c r="F1886" s="1">
        <v>250</v>
      </c>
      <c r="H1886" s="1" t="s">
        <v>2895</v>
      </c>
    </row>
    <row r="1887" spans="1:46" ht="15.75" customHeight="1" x14ac:dyDescent="0.25">
      <c r="A1887" s="3">
        <v>19060009</v>
      </c>
      <c r="B1887" s="1" t="s">
        <v>922</v>
      </c>
      <c r="C1887" s="11" t="s">
        <v>2063</v>
      </c>
      <c r="D1887" s="1">
        <f>ROUND(E1887*F1887,0)</f>
        <v>143</v>
      </c>
      <c r="E1887" s="1">
        <v>1.1000000000000001</v>
      </c>
      <c r="F1887" s="1">
        <v>130</v>
      </c>
      <c r="H1887" s="1" t="s">
        <v>2895</v>
      </c>
      <c r="I1887" s="1" t="s">
        <v>2896</v>
      </c>
    </row>
    <row r="1888" spans="1:46" ht="15.75" customHeight="1" x14ac:dyDescent="0.25">
      <c r="A1888" s="3">
        <v>19060010</v>
      </c>
      <c r="B1888" s="11" t="s">
        <v>2523</v>
      </c>
      <c r="C1888" s="11" t="s">
        <v>2061</v>
      </c>
      <c r="D1888" s="2">
        <v>10</v>
      </c>
      <c r="F1888" s="1"/>
      <c r="G1888" s="1">
        <v>10</v>
      </c>
      <c r="H1888" s="1" t="s">
        <v>2808</v>
      </c>
    </row>
    <row r="1889" spans="1:46" s="11" customFormat="1" ht="15.75" customHeight="1" x14ac:dyDescent="0.25">
      <c r="A1889" s="3">
        <v>19060011</v>
      </c>
      <c r="B1889" s="1" t="s">
        <v>923</v>
      </c>
      <c r="C1889" s="11" t="s">
        <v>2065</v>
      </c>
      <c r="D1889" s="1">
        <v>60</v>
      </c>
      <c r="E1889" s="1"/>
      <c r="F1889" s="1"/>
      <c r="G1889" s="1">
        <v>60</v>
      </c>
      <c r="H1889" s="1" t="s">
        <v>2820</v>
      </c>
      <c r="I1889" s="1" t="s">
        <v>2702</v>
      </c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</row>
    <row r="1890" spans="1:46" ht="15.75" customHeight="1" x14ac:dyDescent="0.25">
      <c r="A1890" s="5">
        <v>19060011</v>
      </c>
      <c r="B1890" s="1" t="s">
        <v>923</v>
      </c>
      <c r="C1890" s="11" t="s">
        <v>28</v>
      </c>
      <c r="D1890" s="1">
        <v>270</v>
      </c>
      <c r="F1890" s="1">
        <v>330</v>
      </c>
      <c r="G1890" s="1">
        <f>15*18</f>
        <v>270</v>
      </c>
      <c r="H1890" s="1" t="s">
        <v>2820</v>
      </c>
      <c r="I1890" s="1" t="s">
        <v>2730</v>
      </c>
    </row>
    <row r="1891" spans="1:46" s="11" customFormat="1" ht="15.75" customHeight="1" x14ac:dyDescent="0.25">
      <c r="A1891" s="16">
        <v>19060012</v>
      </c>
      <c r="B1891" s="11" t="s">
        <v>910</v>
      </c>
      <c r="C1891" s="11" t="s">
        <v>17</v>
      </c>
      <c r="D1891" s="1">
        <f>ROUND(E1891*F1891,0)</f>
        <v>16</v>
      </c>
      <c r="E1891" s="1">
        <v>0.95</v>
      </c>
      <c r="F1891" s="4">
        <f>2.54*2.54*2.54</f>
        <v>16.387063999999999</v>
      </c>
      <c r="G1891" s="4"/>
      <c r="H1891" s="1" t="s">
        <v>3151</v>
      </c>
      <c r="I1891" s="1"/>
      <c r="J1891" s="1" t="s">
        <v>3132</v>
      </c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</row>
    <row r="1892" spans="1:46" ht="15.75" customHeight="1" x14ac:dyDescent="0.25">
      <c r="A1892" s="3">
        <v>19060012</v>
      </c>
      <c r="B1892" s="1" t="s">
        <v>910</v>
      </c>
      <c r="C1892" s="11" t="s">
        <v>29</v>
      </c>
      <c r="D1892" s="1">
        <v>25</v>
      </c>
      <c r="F1892" s="1"/>
      <c r="G1892" s="1">
        <f>500/20</f>
        <v>25</v>
      </c>
      <c r="H1892" s="1" t="s">
        <v>2731</v>
      </c>
    </row>
    <row r="1893" spans="1:46" ht="15.75" customHeight="1" x14ac:dyDescent="0.25">
      <c r="A1893" s="3">
        <v>19060012</v>
      </c>
      <c r="B1893" s="1" t="s">
        <v>910</v>
      </c>
      <c r="C1893" s="11" t="s">
        <v>27</v>
      </c>
      <c r="D1893" s="4">
        <v>130</v>
      </c>
      <c r="E1893" s="1">
        <v>1</v>
      </c>
      <c r="F1893" s="1">
        <v>130</v>
      </c>
      <c r="H1893" s="1" t="s">
        <v>2732</v>
      </c>
    </row>
    <row r="1894" spans="1:46" ht="15.75" customHeight="1" x14ac:dyDescent="0.25">
      <c r="A1894" s="3">
        <v>19060012</v>
      </c>
      <c r="B1894" s="1" t="s">
        <v>910</v>
      </c>
      <c r="C1894" s="11" t="s">
        <v>28</v>
      </c>
      <c r="D1894" s="1">
        <v>330</v>
      </c>
      <c r="E1894" s="1">
        <v>1</v>
      </c>
      <c r="F1894" s="1">
        <v>330</v>
      </c>
      <c r="H1894" s="1" t="s">
        <v>2732</v>
      </c>
    </row>
    <row r="1895" spans="1:46" ht="15.75" customHeight="1" x14ac:dyDescent="0.25">
      <c r="A1895" s="16">
        <v>19060012</v>
      </c>
      <c r="B1895" s="11" t="s">
        <v>924</v>
      </c>
      <c r="C1895" s="11" t="s">
        <v>2066</v>
      </c>
      <c r="D1895" s="1">
        <v>18</v>
      </c>
      <c r="E1895" s="1">
        <v>1</v>
      </c>
      <c r="F1895" s="1">
        <v>18</v>
      </c>
      <c r="H1895" s="1" t="s">
        <v>2731</v>
      </c>
    </row>
    <row r="1896" spans="1:46" ht="15.75" customHeight="1" x14ac:dyDescent="0.25">
      <c r="A1896" s="16">
        <v>19060012</v>
      </c>
      <c r="B1896" s="11" t="s">
        <v>910</v>
      </c>
      <c r="C1896" s="11" t="s">
        <v>2058</v>
      </c>
      <c r="D1896" s="1">
        <v>25</v>
      </c>
      <c r="F1896" s="1"/>
      <c r="G1896" s="1">
        <v>25</v>
      </c>
      <c r="H1896" s="1" t="s">
        <v>2731</v>
      </c>
    </row>
    <row r="1897" spans="1:46" ht="15.75" customHeight="1" x14ac:dyDescent="0.25">
      <c r="A1897" s="3">
        <v>19060012</v>
      </c>
      <c r="B1897" s="1" t="s">
        <v>910</v>
      </c>
      <c r="C1897" s="11" t="s">
        <v>25</v>
      </c>
      <c r="D1897" s="1">
        <v>5</v>
      </c>
      <c r="E1897" s="1">
        <v>1</v>
      </c>
      <c r="F1897" s="1">
        <v>5</v>
      </c>
      <c r="H1897" s="1" t="s">
        <v>2731</v>
      </c>
    </row>
    <row r="1898" spans="1:46" ht="15.75" customHeight="1" x14ac:dyDescent="0.25">
      <c r="A1898" s="3">
        <v>19060012</v>
      </c>
      <c r="B1898" s="1" t="s">
        <v>910</v>
      </c>
      <c r="C1898" s="11" t="s">
        <v>24</v>
      </c>
      <c r="D1898" s="1">
        <v>84</v>
      </c>
      <c r="E1898" s="1">
        <v>1</v>
      </c>
      <c r="F1898" s="1">
        <v>84</v>
      </c>
      <c r="H1898" s="1" t="s">
        <v>2732</v>
      </c>
    </row>
    <row r="1899" spans="1:46" ht="15.75" customHeight="1" x14ac:dyDescent="0.25">
      <c r="A1899" s="3">
        <v>19060012</v>
      </c>
      <c r="B1899" s="1" t="s">
        <v>910</v>
      </c>
      <c r="C1899" s="11" t="s">
        <v>30</v>
      </c>
      <c r="D1899" s="1">
        <v>200</v>
      </c>
      <c r="E1899" s="1">
        <v>1</v>
      </c>
      <c r="F1899" s="1">
        <v>200</v>
      </c>
      <c r="H1899" s="1" t="s">
        <v>2731</v>
      </c>
    </row>
    <row r="1900" spans="1:46" ht="15.75" customHeight="1" x14ac:dyDescent="0.25">
      <c r="A1900" s="3">
        <v>19060013</v>
      </c>
      <c r="B1900" s="1" t="s">
        <v>919</v>
      </c>
      <c r="C1900" s="11" t="s">
        <v>2060</v>
      </c>
      <c r="D1900" s="1">
        <v>20</v>
      </c>
      <c r="F1900" s="1"/>
      <c r="G1900" s="1">
        <v>20</v>
      </c>
      <c r="H1900" s="1" t="s">
        <v>2821</v>
      </c>
      <c r="I1900" s="1" t="s">
        <v>2722</v>
      </c>
    </row>
    <row r="1901" spans="1:46" ht="15.75" customHeight="1" x14ac:dyDescent="0.25">
      <c r="A1901" s="3">
        <v>19060013</v>
      </c>
      <c r="B1901" s="11" t="s">
        <v>926</v>
      </c>
      <c r="C1901" s="11" t="s">
        <v>2067</v>
      </c>
      <c r="D1901" s="1">
        <v>20</v>
      </c>
      <c r="F1901" s="1"/>
      <c r="G1901" s="1">
        <v>20</v>
      </c>
      <c r="H1901" s="1" t="s">
        <v>2821</v>
      </c>
    </row>
    <row r="1902" spans="1:46" ht="15.75" customHeight="1" x14ac:dyDescent="0.25">
      <c r="A1902" s="3">
        <v>19060014</v>
      </c>
      <c r="B1902" s="1" t="s">
        <v>928</v>
      </c>
      <c r="C1902" s="11" t="s">
        <v>2068</v>
      </c>
      <c r="D1902" s="4">
        <f>G1902</f>
        <v>1</v>
      </c>
      <c r="F1902" s="1"/>
      <c r="G1902" s="4">
        <v>1</v>
      </c>
      <c r="H1902" s="1" t="s">
        <v>2816</v>
      </c>
    </row>
    <row r="1903" spans="1:46" ht="15.75" customHeight="1" x14ac:dyDescent="0.25">
      <c r="A1903" s="16">
        <v>19060014</v>
      </c>
      <c r="B1903" s="11" t="s">
        <v>911</v>
      </c>
      <c r="C1903" s="11" t="s">
        <v>13</v>
      </c>
      <c r="D1903" s="1">
        <v>110</v>
      </c>
      <c r="F1903" s="1"/>
      <c r="G1903" s="1">
        <v>110</v>
      </c>
      <c r="H1903" s="1" t="s">
        <v>2816</v>
      </c>
      <c r="I1903" s="1" t="s">
        <v>2727</v>
      </c>
    </row>
    <row r="1904" spans="1:46" ht="15.75" customHeight="1" x14ac:dyDescent="0.25">
      <c r="A1904" s="16">
        <v>19060014</v>
      </c>
      <c r="B1904" s="11" t="s">
        <v>921</v>
      </c>
      <c r="C1904" s="11" t="s">
        <v>2062</v>
      </c>
      <c r="D1904" s="1">
        <v>55</v>
      </c>
      <c r="F1904" s="1"/>
      <c r="G1904" s="1">
        <v>55</v>
      </c>
      <c r="H1904" s="1" t="s">
        <v>2816</v>
      </c>
    </row>
    <row r="1905" spans="1:46" ht="15.75" customHeight="1" x14ac:dyDescent="0.25">
      <c r="A1905" s="16">
        <v>19060014</v>
      </c>
      <c r="B1905" s="1" t="s">
        <v>911</v>
      </c>
      <c r="C1905" s="11" t="s">
        <v>29</v>
      </c>
      <c r="D1905" s="1">
        <f>G1905</f>
        <v>55</v>
      </c>
      <c r="F1905" s="1"/>
      <c r="G1905" s="1">
        <v>55</v>
      </c>
      <c r="H1905" s="1" t="s">
        <v>2816</v>
      </c>
    </row>
    <row r="1906" spans="1:46" ht="15.75" customHeight="1" x14ac:dyDescent="0.25">
      <c r="A1906" s="3">
        <v>19060014</v>
      </c>
      <c r="B1906" s="1" t="s">
        <v>925</v>
      </c>
      <c r="C1906" s="11" t="s">
        <v>2067</v>
      </c>
      <c r="D1906" s="1">
        <v>55</v>
      </c>
      <c r="F1906" s="1"/>
      <c r="G1906" s="1">
        <v>55</v>
      </c>
      <c r="H1906" s="1" t="s">
        <v>2816</v>
      </c>
      <c r="I1906" s="1" t="s">
        <v>2520</v>
      </c>
    </row>
    <row r="1907" spans="1:46" ht="15.75" customHeight="1" x14ac:dyDescent="0.25">
      <c r="A1907" s="3">
        <v>19060015</v>
      </c>
      <c r="B1907" s="1" t="s">
        <v>927</v>
      </c>
      <c r="C1907" s="11" t="s">
        <v>2067</v>
      </c>
      <c r="D1907" s="1">
        <v>19</v>
      </c>
      <c r="F1907" s="1"/>
      <c r="G1907" s="1">
        <v>19</v>
      </c>
      <c r="H1907" s="1" t="s">
        <v>2894</v>
      </c>
    </row>
    <row r="1908" spans="1:46" ht="15.75" customHeight="1" x14ac:dyDescent="0.25">
      <c r="A1908" s="16">
        <v>19060016</v>
      </c>
      <c r="B1908" s="11" t="s">
        <v>2650</v>
      </c>
      <c r="C1908" s="11" t="s">
        <v>12</v>
      </c>
      <c r="D1908" s="1">
        <v>40</v>
      </c>
      <c r="F1908" s="1"/>
      <c r="G1908" s="1">
        <v>40</v>
      </c>
      <c r="H1908" s="1" t="s">
        <v>2887</v>
      </c>
      <c r="I1908" s="1" t="s">
        <v>2722</v>
      </c>
    </row>
    <row r="1909" spans="1:46" ht="15.75" customHeight="1" x14ac:dyDescent="0.25">
      <c r="A1909" s="16">
        <v>19060016</v>
      </c>
      <c r="B1909" s="11" t="s">
        <v>2650</v>
      </c>
      <c r="C1909" s="11" t="s">
        <v>13</v>
      </c>
      <c r="D1909" s="1">
        <v>80</v>
      </c>
      <c r="F1909" s="1"/>
      <c r="G1909" s="1">
        <v>80</v>
      </c>
      <c r="H1909" s="1" t="s">
        <v>2887</v>
      </c>
      <c r="I1909" s="1" t="s">
        <v>2728</v>
      </c>
    </row>
    <row r="1910" spans="1:46" ht="15.75" customHeight="1" x14ac:dyDescent="0.25">
      <c r="A1910" s="24">
        <v>19060016</v>
      </c>
      <c r="B1910" s="25" t="s">
        <v>2650</v>
      </c>
      <c r="C1910" s="25" t="s">
        <v>29</v>
      </c>
      <c r="D1910" s="21">
        <v>120</v>
      </c>
      <c r="E1910" s="11"/>
      <c r="F1910" s="21"/>
      <c r="G1910" s="11"/>
      <c r="H1910" s="11" t="s">
        <v>3234</v>
      </c>
      <c r="I1910" s="11"/>
      <c r="J1910" s="11"/>
      <c r="K1910" s="11"/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/>
      <c r="Y1910" s="11"/>
      <c r="Z1910" s="11"/>
      <c r="AA1910" s="11"/>
      <c r="AB1910" s="11"/>
      <c r="AC1910" s="11"/>
      <c r="AD1910" s="11"/>
      <c r="AE1910" s="11"/>
      <c r="AF1910" s="11"/>
      <c r="AG1910" s="11"/>
      <c r="AH1910" s="11"/>
      <c r="AI1910" s="11"/>
      <c r="AJ1910" s="11"/>
      <c r="AK1910" s="11"/>
      <c r="AL1910" s="11"/>
      <c r="AM1910" s="11"/>
      <c r="AN1910" s="11"/>
      <c r="AO1910" s="11"/>
      <c r="AP1910" s="11"/>
      <c r="AQ1910" s="11"/>
      <c r="AR1910" s="11"/>
      <c r="AS1910" s="11"/>
      <c r="AT1910" s="11"/>
    </row>
    <row r="1911" spans="1:46" ht="15.75" customHeight="1" x14ac:dyDescent="0.25">
      <c r="A1911" s="16">
        <v>19060017</v>
      </c>
      <c r="B1911" s="11" t="s">
        <v>2657</v>
      </c>
      <c r="C1911" s="11" t="s">
        <v>18</v>
      </c>
      <c r="D1911" s="1">
        <v>67</v>
      </c>
      <c r="F1911" s="1"/>
      <c r="G1911" s="1">
        <v>67</v>
      </c>
      <c r="H1911" s="1" t="s">
        <v>2888</v>
      </c>
      <c r="I1911" s="1" t="s">
        <v>2889</v>
      </c>
    </row>
    <row r="1912" spans="1:46" ht="15.75" customHeight="1" x14ac:dyDescent="0.25">
      <c r="A1912" s="16">
        <v>19060017</v>
      </c>
      <c r="B1912" s="11" t="s">
        <v>2657</v>
      </c>
      <c r="C1912" s="11" t="s">
        <v>13</v>
      </c>
      <c r="D1912" s="1">
        <v>67</v>
      </c>
      <c r="F1912" s="1"/>
      <c r="G1912" s="1">
        <v>67</v>
      </c>
      <c r="H1912" s="1" t="s">
        <v>2888</v>
      </c>
      <c r="I1912" s="1" t="s">
        <v>2889</v>
      </c>
    </row>
    <row r="1913" spans="1:46" ht="15.75" customHeight="1" x14ac:dyDescent="0.25">
      <c r="A1913" s="24">
        <v>19060017</v>
      </c>
      <c r="B1913" s="25" t="s">
        <v>2657</v>
      </c>
      <c r="C1913" s="25" t="s">
        <v>29</v>
      </c>
      <c r="D1913" s="21">
        <v>67</v>
      </c>
      <c r="E1913" s="11"/>
      <c r="F1913" s="21"/>
      <c r="G1913" s="11"/>
      <c r="H1913" s="11" t="s">
        <v>3235</v>
      </c>
      <c r="I1913" s="11"/>
      <c r="J1913" s="11"/>
      <c r="K1913" s="11"/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11"/>
      <c r="Y1913" s="11"/>
      <c r="Z1913" s="11"/>
      <c r="AA1913" s="11"/>
      <c r="AB1913" s="11"/>
      <c r="AC1913" s="11"/>
      <c r="AD1913" s="11"/>
      <c r="AE1913" s="11"/>
      <c r="AF1913" s="11"/>
      <c r="AG1913" s="11"/>
      <c r="AH1913" s="11"/>
      <c r="AI1913" s="11"/>
      <c r="AJ1913" s="11"/>
      <c r="AK1913" s="11"/>
      <c r="AL1913" s="11"/>
      <c r="AM1913" s="11"/>
      <c r="AN1913" s="11"/>
      <c r="AO1913" s="11"/>
      <c r="AP1913" s="11"/>
      <c r="AQ1913" s="11"/>
      <c r="AR1913" s="11"/>
      <c r="AS1913" s="11"/>
      <c r="AT1913" s="11"/>
    </row>
    <row r="1914" spans="1:46" ht="15.75" customHeight="1" x14ac:dyDescent="0.25">
      <c r="A1914" s="16">
        <v>19060018</v>
      </c>
      <c r="B1914" s="11" t="s">
        <v>2635</v>
      </c>
      <c r="C1914" s="11" t="s">
        <v>11</v>
      </c>
      <c r="D1914" s="1">
        <v>15</v>
      </c>
      <c r="E1914" s="4"/>
      <c r="F1914" s="1" t="s">
        <v>3132</v>
      </c>
      <c r="G1914" s="4">
        <v>15</v>
      </c>
      <c r="H1914" s="1" t="s">
        <v>2819</v>
      </c>
      <c r="I1914" s="1" t="s">
        <v>3182</v>
      </c>
      <c r="J1914" s="1" t="s">
        <v>3132</v>
      </c>
    </row>
    <row r="1915" spans="1:46" ht="15.75" customHeight="1" x14ac:dyDescent="0.25">
      <c r="A1915" s="16">
        <v>19060018</v>
      </c>
      <c r="B1915" s="11" t="s">
        <v>2635</v>
      </c>
      <c r="C1915" s="11" t="s">
        <v>12</v>
      </c>
      <c r="D1915" s="4">
        <f>G1915</f>
        <v>30</v>
      </c>
      <c r="E1915" s="10"/>
      <c r="F1915" s="1"/>
      <c r="G1915" s="1">
        <v>30</v>
      </c>
      <c r="H1915" s="1" t="s">
        <v>2819</v>
      </c>
      <c r="I1915" s="1" t="s">
        <v>2897</v>
      </c>
    </row>
    <row r="1916" spans="1:46" ht="15.75" customHeight="1" x14ac:dyDescent="0.25">
      <c r="A1916" s="3">
        <v>19060018</v>
      </c>
      <c r="B1916" s="1" t="s">
        <v>2635</v>
      </c>
      <c r="C1916" s="11" t="s">
        <v>27</v>
      </c>
      <c r="D1916" s="4">
        <v>60</v>
      </c>
      <c r="F1916" s="1"/>
      <c r="G1916" s="1">
        <v>60</v>
      </c>
      <c r="H1916" s="1" t="s">
        <v>2819</v>
      </c>
      <c r="I1916" s="1" t="s">
        <v>2898</v>
      </c>
    </row>
    <row r="1917" spans="1:46" ht="15.75" customHeight="1" x14ac:dyDescent="0.25">
      <c r="A1917" s="24">
        <v>19060018</v>
      </c>
      <c r="B1917" s="25" t="s">
        <v>2635</v>
      </c>
      <c r="C1917" s="25" t="s">
        <v>29</v>
      </c>
      <c r="D1917" s="21">
        <v>30</v>
      </c>
      <c r="E1917" s="11"/>
      <c r="F1917" s="21"/>
      <c r="G1917" s="11"/>
      <c r="H1917" s="11" t="s">
        <v>3147</v>
      </c>
      <c r="I1917" s="11"/>
      <c r="J1917" s="11"/>
      <c r="K1917" s="11"/>
      <c r="L1917" s="11"/>
      <c r="M1917" s="11"/>
      <c r="N1917" s="11"/>
      <c r="O1917" s="11"/>
      <c r="P1917" s="11"/>
      <c r="Q1917" s="11"/>
      <c r="R1917" s="11"/>
      <c r="S1917" s="11"/>
      <c r="T1917" s="11"/>
      <c r="U1917" s="11"/>
      <c r="V1917" s="11"/>
      <c r="W1917" s="11"/>
      <c r="X1917" s="11"/>
      <c r="Y1917" s="11"/>
      <c r="Z1917" s="11"/>
      <c r="AA1917" s="11"/>
      <c r="AB1917" s="11"/>
      <c r="AC1917" s="11"/>
      <c r="AD1917" s="11"/>
      <c r="AE1917" s="11"/>
      <c r="AF1917" s="11"/>
      <c r="AG1917" s="11"/>
      <c r="AH1917" s="11"/>
      <c r="AI1917" s="11"/>
      <c r="AJ1917" s="11"/>
      <c r="AK1917" s="11"/>
      <c r="AL1917" s="11"/>
      <c r="AM1917" s="11"/>
      <c r="AN1917" s="11"/>
      <c r="AO1917" s="11"/>
      <c r="AP1917" s="11"/>
      <c r="AQ1917" s="11"/>
      <c r="AR1917" s="11"/>
      <c r="AS1917" s="11"/>
      <c r="AT1917" s="11"/>
    </row>
    <row r="1918" spans="1:46" ht="15.75" customHeight="1" x14ac:dyDescent="0.25">
      <c r="A1918" s="16">
        <v>19060018</v>
      </c>
      <c r="B1918" s="11" t="s">
        <v>2635</v>
      </c>
      <c r="C1918" s="11" t="s">
        <v>13</v>
      </c>
      <c r="D1918" s="1">
        <v>60</v>
      </c>
      <c r="F1918" s="1"/>
      <c r="G1918" s="1">
        <v>60</v>
      </c>
      <c r="H1918" s="1" t="s">
        <v>2819</v>
      </c>
      <c r="I1918" s="1" t="s">
        <v>2898</v>
      </c>
    </row>
    <row r="1919" spans="1:46" ht="15.75" customHeight="1" x14ac:dyDescent="0.25">
      <c r="A1919" s="3">
        <v>19060019</v>
      </c>
      <c r="B1919" s="1" t="s">
        <v>3091</v>
      </c>
      <c r="C1919" s="11" t="s">
        <v>25</v>
      </c>
      <c r="D1919" s="1">
        <f>G1919</f>
        <v>14</v>
      </c>
      <c r="E1919" s="4"/>
      <c r="F1919" s="1" t="s">
        <v>3132</v>
      </c>
      <c r="G1919" s="1">
        <v>14</v>
      </c>
      <c r="H1919" s="1" t="s">
        <v>3181</v>
      </c>
      <c r="I1919" s="1" t="s">
        <v>3132</v>
      </c>
      <c r="J1919" s="1" t="s">
        <v>3132</v>
      </c>
    </row>
    <row r="1920" spans="1:46" ht="15.75" customHeight="1" x14ac:dyDescent="0.25">
      <c r="A1920" s="16">
        <v>19060019</v>
      </c>
      <c r="B1920" s="11" t="s">
        <v>3091</v>
      </c>
      <c r="C1920" s="11" t="s">
        <v>13</v>
      </c>
      <c r="D1920" s="1">
        <f>G1920</f>
        <v>56</v>
      </c>
      <c r="E1920" s="4"/>
      <c r="F1920" s="1" t="s">
        <v>3132</v>
      </c>
      <c r="G1920" s="1">
        <v>56</v>
      </c>
      <c r="H1920" s="1" t="s">
        <v>3135</v>
      </c>
      <c r="I1920" s="1" t="s">
        <v>3132</v>
      </c>
      <c r="J1920" s="1" t="s">
        <v>3132</v>
      </c>
    </row>
    <row r="1921" spans="1:46" ht="15.75" customHeight="1" x14ac:dyDescent="0.25">
      <c r="A1921" s="24">
        <v>19060019</v>
      </c>
      <c r="B1921" s="25" t="s">
        <v>3091</v>
      </c>
      <c r="C1921" s="25" t="s">
        <v>29</v>
      </c>
      <c r="D1921" s="21">
        <v>56</v>
      </c>
      <c r="E1921" s="11"/>
      <c r="F1921" s="21"/>
      <c r="G1921" s="11"/>
      <c r="H1921" s="11" t="s">
        <v>3235</v>
      </c>
      <c r="I1921" s="11"/>
      <c r="J1921" s="11"/>
      <c r="K1921" s="11"/>
      <c r="L1921" s="11"/>
      <c r="M1921" s="11"/>
      <c r="N1921" s="11"/>
      <c r="O1921" s="11"/>
      <c r="P1921" s="11"/>
      <c r="Q1921" s="11"/>
      <c r="R1921" s="11"/>
      <c r="S1921" s="11"/>
      <c r="T1921" s="11"/>
      <c r="U1921" s="11"/>
      <c r="V1921" s="11"/>
      <c r="W1921" s="11"/>
      <c r="X1921" s="11"/>
      <c r="Y1921" s="11"/>
      <c r="Z1921" s="11"/>
      <c r="AA1921" s="11"/>
      <c r="AB1921" s="11"/>
      <c r="AC1921" s="11"/>
      <c r="AD1921" s="11"/>
      <c r="AE1921" s="11"/>
      <c r="AF1921" s="11"/>
      <c r="AG1921" s="11"/>
      <c r="AH1921" s="11"/>
      <c r="AI1921" s="11"/>
      <c r="AJ1921" s="11"/>
      <c r="AK1921" s="11"/>
      <c r="AL1921" s="11"/>
      <c r="AM1921" s="11"/>
      <c r="AN1921" s="11"/>
      <c r="AO1921" s="11"/>
      <c r="AP1921" s="11"/>
      <c r="AQ1921" s="11"/>
      <c r="AR1921" s="11"/>
      <c r="AS1921" s="11"/>
      <c r="AT1921" s="11"/>
    </row>
    <row r="1922" spans="1:46" ht="15.75" customHeight="1" x14ac:dyDescent="0.25">
      <c r="A1922" s="16">
        <v>20010001</v>
      </c>
      <c r="B1922" s="11" t="s">
        <v>929</v>
      </c>
      <c r="C1922" s="11" t="s">
        <v>2069</v>
      </c>
      <c r="D1922" s="4">
        <f>G1922</f>
        <v>25</v>
      </c>
      <c r="E1922" s="10"/>
      <c r="F1922" s="1"/>
      <c r="G1922" s="1">
        <v>25</v>
      </c>
      <c r="H1922" s="1" t="s">
        <v>2822</v>
      </c>
      <c r="I1922" s="1" t="s">
        <v>2700</v>
      </c>
    </row>
    <row r="1923" spans="1:46" ht="15.75" customHeight="1" x14ac:dyDescent="0.25">
      <c r="A1923" s="3">
        <v>20010001</v>
      </c>
      <c r="B1923" s="1" t="s">
        <v>929</v>
      </c>
      <c r="C1923" s="11" t="s">
        <v>2675</v>
      </c>
      <c r="D1923" s="4">
        <v>25</v>
      </c>
      <c r="F1923" s="1"/>
      <c r="G1923" s="1">
        <v>25</v>
      </c>
      <c r="H1923" s="1" t="s">
        <v>2822</v>
      </c>
      <c r="I1923" s="1" t="s">
        <v>2700</v>
      </c>
    </row>
    <row r="1924" spans="1:46" ht="15.75" customHeight="1" x14ac:dyDescent="0.25">
      <c r="A1924" s="16">
        <v>20010001</v>
      </c>
      <c r="B1924" s="11" t="s">
        <v>933</v>
      </c>
      <c r="C1924" s="11" t="s">
        <v>2071</v>
      </c>
      <c r="D1924" s="4">
        <v>31</v>
      </c>
      <c r="E1924" s="10"/>
      <c r="F1924" s="1"/>
      <c r="G1924" s="1">
        <v>31</v>
      </c>
      <c r="H1924" s="1" t="s">
        <v>2822</v>
      </c>
      <c r="I1924" s="1" t="s">
        <v>2846</v>
      </c>
    </row>
    <row r="1925" spans="1:46" ht="15.75" customHeight="1" x14ac:dyDescent="0.25">
      <c r="A1925" s="16">
        <v>20010001</v>
      </c>
      <c r="B1925" s="11" t="s">
        <v>929</v>
      </c>
      <c r="C1925" s="11" t="s">
        <v>12</v>
      </c>
      <c r="D1925" s="4">
        <v>50</v>
      </c>
      <c r="E1925" s="10"/>
      <c r="F1925" s="1"/>
      <c r="G1925" s="1">
        <v>50</v>
      </c>
      <c r="H1925" s="1" t="s">
        <v>2822</v>
      </c>
      <c r="I1925" s="1" t="s">
        <v>2701</v>
      </c>
    </row>
    <row r="1926" spans="1:46" ht="15.75" customHeight="1" x14ac:dyDescent="0.25">
      <c r="A1926" s="3">
        <v>20010001</v>
      </c>
      <c r="B1926" s="11" t="s">
        <v>935</v>
      </c>
      <c r="C1926" s="11" t="s">
        <v>2073</v>
      </c>
      <c r="D1926" s="4">
        <f>ROUND(E1926*F1926*1.25,0)</f>
        <v>76</v>
      </c>
      <c r="E1926" s="10">
        <v>0.72</v>
      </c>
      <c r="F1926" s="1">
        <v>84</v>
      </c>
      <c r="H1926" s="1" t="s">
        <v>2824</v>
      </c>
      <c r="I1926" s="1" t="s">
        <v>2999</v>
      </c>
    </row>
    <row r="1927" spans="1:46" ht="15.75" customHeight="1" x14ac:dyDescent="0.25">
      <c r="A1927" s="16">
        <v>20010001</v>
      </c>
      <c r="B1927" s="11" t="s">
        <v>937</v>
      </c>
      <c r="C1927" s="11" t="s">
        <v>2076</v>
      </c>
      <c r="D1927" s="4">
        <f>G1927</f>
        <v>25</v>
      </c>
      <c r="E1927" s="10"/>
      <c r="F1927" s="1"/>
      <c r="G1927" s="1">
        <v>25</v>
      </c>
      <c r="H1927" s="1" t="s">
        <v>2822</v>
      </c>
    </row>
    <row r="1928" spans="1:46" ht="15.75" customHeight="1" x14ac:dyDescent="0.25">
      <c r="A1928" s="16">
        <v>20010002</v>
      </c>
      <c r="B1928" s="11" t="s">
        <v>936</v>
      </c>
      <c r="C1928" s="11" t="s">
        <v>11</v>
      </c>
      <c r="D1928" s="4">
        <v>19</v>
      </c>
    </row>
    <row r="1929" spans="1:46" ht="15.75" customHeight="1" x14ac:dyDescent="0.25">
      <c r="A1929" s="16">
        <v>20010002</v>
      </c>
      <c r="B1929" s="11" t="s">
        <v>945</v>
      </c>
      <c r="C1929" s="11" t="s">
        <v>2084</v>
      </c>
      <c r="D1929" s="4">
        <v>38</v>
      </c>
      <c r="E1929" s="10"/>
      <c r="F1929" s="1"/>
      <c r="G1929" s="1">
        <v>38</v>
      </c>
      <c r="H1929" s="1" t="s">
        <v>2823</v>
      </c>
      <c r="I1929" s="1" t="s">
        <v>2701</v>
      </c>
    </row>
    <row r="1930" spans="1:46" ht="15.75" customHeight="1" x14ac:dyDescent="0.25">
      <c r="A1930" s="16">
        <v>20010002</v>
      </c>
      <c r="B1930" s="11" t="s">
        <v>936</v>
      </c>
      <c r="C1930" s="11" t="s">
        <v>2074</v>
      </c>
      <c r="D1930" s="4">
        <v>57</v>
      </c>
      <c r="E1930" s="10"/>
      <c r="F1930" s="1"/>
      <c r="G1930" s="1">
        <v>57</v>
      </c>
      <c r="H1930" s="1" t="s">
        <v>2823</v>
      </c>
      <c r="I1930" s="1" t="s">
        <v>2734</v>
      </c>
    </row>
    <row r="1931" spans="1:46" ht="15.75" customHeight="1" x14ac:dyDescent="0.25">
      <c r="A1931" s="16">
        <v>20010002</v>
      </c>
      <c r="B1931" s="11" t="s">
        <v>938</v>
      </c>
      <c r="C1931" s="11" t="s">
        <v>2076</v>
      </c>
      <c r="D1931" s="4">
        <v>19</v>
      </c>
      <c r="E1931" s="10"/>
      <c r="F1931" s="1">
        <v>22.2</v>
      </c>
      <c r="G1931" s="1">
        <v>19</v>
      </c>
      <c r="H1931" s="1" t="s">
        <v>2823</v>
      </c>
    </row>
    <row r="1932" spans="1:46" ht="15.75" customHeight="1" x14ac:dyDescent="0.25">
      <c r="A1932" s="16">
        <v>20010002</v>
      </c>
      <c r="B1932" s="11" t="s">
        <v>936</v>
      </c>
      <c r="C1932" s="11" t="s">
        <v>2075</v>
      </c>
      <c r="D1932" s="4">
        <f>ROUND(E1932*F1932*1.25,0)</f>
        <v>109</v>
      </c>
      <c r="E1932" s="10">
        <v>1.04</v>
      </c>
      <c r="F1932" s="1">
        <v>84</v>
      </c>
      <c r="H1932" s="1" t="s">
        <v>3196</v>
      </c>
      <c r="I1932" s="1" t="s">
        <v>2999</v>
      </c>
    </row>
    <row r="1933" spans="1:46" ht="15.75" customHeight="1" x14ac:dyDescent="0.25">
      <c r="A1933" s="16">
        <v>20010003</v>
      </c>
      <c r="B1933" s="11" t="s">
        <v>931</v>
      </c>
      <c r="C1933" s="11" t="s">
        <v>11</v>
      </c>
      <c r="D1933" s="4">
        <v>19</v>
      </c>
    </row>
    <row r="1934" spans="1:46" ht="15.75" customHeight="1" x14ac:dyDescent="0.25">
      <c r="A1934" s="16">
        <v>20010003</v>
      </c>
      <c r="B1934" s="11" t="s">
        <v>948</v>
      </c>
      <c r="C1934" s="11" t="s">
        <v>2086</v>
      </c>
      <c r="D1934" s="4">
        <f>ROUND(E1934*F1934*1.25,0)</f>
        <v>169</v>
      </c>
      <c r="E1934" s="10">
        <v>1.04</v>
      </c>
      <c r="F1934" s="1">
        <v>130</v>
      </c>
      <c r="H1934" s="1" t="s">
        <v>3196</v>
      </c>
      <c r="I1934" s="1" t="s">
        <v>2999</v>
      </c>
    </row>
    <row r="1935" spans="1:46" ht="15.75" customHeight="1" x14ac:dyDescent="0.25">
      <c r="A1935" s="16">
        <v>20010003</v>
      </c>
      <c r="B1935" s="11" t="s">
        <v>931</v>
      </c>
      <c r="C1935" s="11" t="s">
        <v>2070</v>
      </c>
      <c r="D1935" s="4">
        <v>38</v>
      </c>
      <c r="E1935" s="10"/>
      <c r="F1935" s="1">
        <v>30</v>
      </c>
      <c r="G1935" s="1">
        <v>38</v>
      </c>
      <c r="H1935" s="1" t="s">
        <v>2823</v>
      </c>
      <c r="I1935" s="1" t="s">
        <v>2701</v>
      </c>
    </row>
    <row r="1936" spans="1:46" ht="15.75" customHeight="1" x14ac:dyDescent="0.25">
      <c r="A1936" s="16">
        <v>20010003</v>
      </c>
      <c r="B1936" s="11" t="s">
        <v>940</v>
      </c>
      <c r="C1936" s="11" t="s">
        <v>2078</v>
      </c>
      <c r="D1936" s="4">
        <v>57</v>
      </c>
      <c r="E1936" s="10"/>
      <c r="F1936" s="1"/>
      <c r="G1936" s="1">
        <v>57</v>
      </c>
      <c r="H1936" s="1" t="s">
        <v>2823</v>
      </c>
      <c r="I1936" s="1" t="s">
        <v>2734</v>
      </c>
    </row>
    <row r="1937" spans="1:9" ht="15.75" customHeight="1" x14ac:dyDescent="0.25">
      <c r="A1937" s="16">
        <v>20010003</v>
      </c>
      <c r="B1937" s="11" t="s">
        <v>940</v>
      </c>
      <c r="C1937" s="11" t="s">
        <v>2079</v>
      </c>
      <c r="D1937" s="4">
        <v>19</v>
      </c>
      <c r="E1937" s="10"/>
      <c r="F1937" s="1">
        <v>22.2</v>
      </c>
      <c r="G1937" s="1">
        <v>19</v>
      </c>
      <c r="H1937" s="1" t="s">
        <v>2823</v>
      </c>
    </row>
    <row r="1938" spans="1:9" ht="15.75" customHeight="1" x14ac:dyDescent="0.25">
      <c r="A1938" s="16">
        <v>20010003</v>
      </c>
      <c r="B1938" s="11" t="s">
        <v>2461</v>
      </c>
      <c r="C1938" s="11" t="s">
        <v>2075</v>
      </c>
      <c r="D1938" s="4">
        <f>ROUND(E1938*F1938*1.25,0)</f>
        <v>109</v>
      </c>
      <c r="E1938" s="10">
        <v>1.04</v>
      </c>
      <c r="F1938" s="1">
        <v>84</v>
      </c>
      <c r="H1938" s="1" t="s">
        <v>3196</v>
      </c>
      <c r="I1938" s="1" t="s">
        <v>2999</v>
      </c>
    </row>
    <row r="1939" spans="1:9" ht="15.75" customHeight="1" x14ac:dyDescent="0.25">
      <c r="A1939" s="16">
        <v>20010004</v>
      </c>
      <c r="B1939" s="11" t="s">
        <v>930</v>
      </c>
      <c r="C1939" s="11" t="s">
        <v>2069</v>
      </c>
      <c r="D1939" s="4">
        <v>19</v>
      </c>
      <c r="E1939" s="10"/>
      <c r="F1939" s="1"/>
      <c r="G1939" s="1">
        <v>19</v>
      </c>
      <c r="H1939" s="1" t="s">
        <v>2823</v>
      </c>
      <c r="I1939" s="1" t="s">
        <v>2878</v>
      </c>
    </row>
    <row r="1940" spans="1:9" ht="15.75" customHeight="1" x14ac:dyDescent="0.25">
      <c r="A1940" s="16">
        <v>20010004</v>
      </c>
      <c r="B1940" s="11" t="s">
        <v>932</v>
      </c>
      <c r="C1940" s="11" t="s">
        <v>2070</v>
      </c>
      <c r="D1940" s="4">
        <v>38</v>
      </c>
      <c r="E1940" s="10"/>
      <c r="F1940" s="1">
        <v>30</v>
      </c>
      <c r="G1940" s="1">
        <v>38</v>
      </c>
      <c r="H1940" s="1" t="s">
        <v>2823</v>
      </c>
      <c r="I1940" s="1" t="s">
        <v>2701</v>
      </c>
    </row>
    <row r="1941" spans="1:9" ht="15.75" customHeight="1" x14ac:dyDescent="0.25">
      <c r="A1941" s="16">
        <v>20010004</v>
      </c>
      <c r="B1941" s="11" t="s">
        <v>930</v>
      </c>
      <c r="C1941" s="11" t="s">
        <v>27</v>
      </c>
      <c r="D1941" s="4">
        <f>ROUND(E1941*F1941*1.25,0)</f>
        <v>169</v>
      </c>
      <c r="E1941" s="10">
        <v>1.04</v>
      </c>
      <c r="F1941" s="1">
        <v>130</v>
      </c>
      <c r="H1941" s="1" t="s">
        <v>3196</v>
      </c>
      <c r="I1941" s="1" t="s">
        <v>2999</v>
      </c>
    </row>
    <row r="1942" spans="1:9" ht="15.75" customHeight="1" x14ac:dyDescent="0.25">
      <c r="A1942" s="16">
        <v>20010004</v>
      </c>
      <c r="B1942" s="11" t="s">
        <v>944</v>
      </c>
      <c r="C1942" s="11" t="s">
        <v>2083</v>
      </c>
      <c r="D1942" s="4">
        <v>19</v>
      </c>
      <c r="E1942" s="10"/>
      <c r="F1942" s="1">
        <v>22.2</v>
      </c>
      <c r="G1942" s="1">
        <v>19</v>
      </c>
      <c r="H1942" s="1" t="s">
        <v>2823</v>
      </c>
      <c r="I1942" s="1" t="s">
        <v>2878</v>
      </c>
    </row>
    <row r="1943" spans="1:9" ht="15.75" customHeight="1" x14ac:dyDescent="0.25">
      <c r="A1943" s="16">
        <v>20010004</v>
      </c>
      <c r="B1943" s="11" t="s">
        <v>939</v>
      </c>
      <c r="C1943" s="11" t="s">
        <v>2077</v>
      </c>
      <c r="D1943" s="4">
        <f>ROUND(E1943*F1943*1.25,0)</f>
        <v>109</v>
      </c>
      <c r="E1943" s="10">
        <v>1.04</v>
      </c>
      <c r="F1943" s="1">
        <v>84</v>
      </c>
      <c r="H1943" s="1" t="s">
        <v>3196</v>
      </c>
      <c r="I1943" s="1" t="s">
        <v>2999</v>
      </c>
    </row>
    <row r="1944" spans="1:9" ht="15.75" customHeight="1" x14ac:dyDescent="0.25">
      <c r="A1944" s="16">
        <v>20010005</v>
      </c>
      <c r="B1944" s="11" t="s">
        <v>2512</v>
      </c>
      <c r="C1944" s="11" t="s">
        <v>2080</v>
      </c>
      <c r="D1944" s="4">
        <f>ROUND(E1944*F1944*1.25,0)</f>
        <v>76</v>
      </c>
      <c r="E1944" s="10">
        <v>0.72</v>
      </c>
      <c r="F1944" s="1">
        <v>84</v>
      </c>
      <c r="H1944" s="1" t="s">
        <v>2824</v>
      </c>
      <c r="I1944" s="1" t="s">
        <v>2999</v>
      </c>
    </row>
    <row r="1945" spans="1:9" ht="15.75" customHeight="1" x14ac:dyDescent="0.25">
      <c r="A1945" s="16">
        <v>20010005</v>
      </c>
      <c r="B1945" s="11" t="s">
        <v>941</v>
      </c>
      <c r="C1945" s="11" t="s">
        <v>2081</v>
      </c>
      <c r="D1945" s="4">
        <f>G1945</f>
        <v>25</v>
      </c>
      <c r="E1945" s="10"/>
      <c r="F1945" s="1"/>
      <c r="G1945" s="1">
        <v>25</v>
      </c>
      <c r="H1945" s="1" t="s">
        <v>2822</v>
      </c>
      <c r="I1945" s="1" t="s">
        <v>2879</v>
      </c>
    </row>
    <row r="1946" spans="1:9" ht="15.75" customHeight="1" x14ac:dyDescent="0.25">
      <c r="A1946" s="16">
        <v>20010006</v>
      </c>
      <c r="B1946" s="11" t="s">
        <v>946</v>
      </c>
      <c r="C1946" s="11" t="s">
        <v>2085</v>
      </c>
      <c r="D1946" s="4">
        <f>ROUND(E1946*F1946*1.25,0)</f>
        <v>76</v>
      </c>
      <c r="E1946" s="10">
        <v>0.72</v>
      </c>
      <c r="F1946" s="1">
        <v>84</v>
      </c>
      <c r="H1946" s="1" t="s">
        <v>2824</v>
      </c>
      <c r="I1946" s="1" t="s">
        <v>2999</v>
      </c>
    </row>
    <row r="1947" spans="1:9" ht="15.75" customHeight="1" x14ac:dyDescent="0.25">
      <c r="A1947" s="16">
        <v>20010006</v>
      </c>
      <c r="B1947" s="11" t="s">
        <v>942</v>
      </c>
      <c r="C1947" s="11" t="s">
        <v>2081</v>
      </c>
      <c r="D1947" s="4">
        <v>13</v>
      </c>
      <c r="F1947" s="1"/>
      <c r="G1947" s="1">
        <v>13</v>
      </c>
      <c r="H1947" s="1" t="s">
        <v>2824</v>
      </c>
    </row>
    <row r="1948" spans="1:9" ht="15.75" customHeight="1" x14ac:dyDescent="0.25">
      <c r="A1948" s="3">
        <v>20010007</v>
      </c>
      <c r="B1948" s="1" t="s">
        <v>955</v>
      </c>
      <c r="C1948" s="11" t="s">
        <v>2090</v>
      </c>
      <c r="D1948" s="4">
        <f>ROUND(E1948*F1948,0)</f>
        <v>11</v>
      </c>
      <c r="E1948" s="1">
        <f>ROUND(145/237,2)</f>
        <v>0.61</v>
      </c>
      <c r="F1948" s="1">
        <v>18</v>
      </c>
      <c r="H1948" s="1" t="s">
        <v>2977</v>
      </c>
      <c r="I1948" s="1" t="s">
        <v>2700</v>
      </c>
    </row>
    <row r="1949" spans="1:9" ht="15.75" customHeight="1" x14ac:dyDescent="0.25">
      <c r="A1949" s="16">
        <v>20010007</v>
      </c>
      <c r="B1949" s="11" t="s">
        <v>934</v>
      </c>
      <c r="C1949" s="11" t="s">
        <v>12</v>
      </c>
      <c r="D1949" s="4">
        <v>22</v>
      </c>
    </row>
    <row r="1950" spans="1:9" ht="15.75" customHeight="1" x14ac:dyDescent="0.25">
      <c r="A1950" s="3">
        <v>20010007</v>
      </c>
      <c r="B1950" s="1" t="s">
        <v>934</v>
      </c>
      <c r="C1950" s="11" t="s">
        <v>2072</v>
      </c>
      <c r="D1950" s="4">
        <v>22</v>
      </c>
      <c r="F1950" s="1"/>
      <c r="H1950" s="1" t="s">
        <v>2977</v>
      </c>
      <c r="I1950" s="1" t="s">
        <v>2700</v>
      </c>
    </row>
    <row r="1951" spans="1:9" ht="15.75" customHeight="1" x14ac:dyDescent="0.25">
      <c r="A1951" s="3">
        <v>20010007</v>
      </c>
      <c r="B1951" s="1" t="s">
        <v>943</v>
      </c>
      <c r="C1951" s="11" t="s">
        <v>2082</v>
      </c>
      <c r="D1951" s="4">
        <f>ROUND(E1951*F1951*1.25,0)</f>
        <v>64</v>
      </c>
      <c r="E1951" s="1">
        <f>ROUND(145/237,2)</f>
        <v>0.61</v>
      </c>
      <c r="F1951" s="1">
        <v>84</v>
      </c>
      <c r="H1951" s="1" t="s">
        <v>2977</v>
      </c>
      <c r="I1951" s="1" t="s">
        <v>2999</v>
      </c>
    </row>
    <row r="1952" spans="1:9" ht="15.75" customHeight="1" x14ac:dyDescent="0.25">
      <c r="A1952" s="16">
        <v>20010007</v>
      </c>
      <c r="B1952" s="11" t="s">
        <v>949</v>
      </c>
      <c r="C1952" s="11" t="s">
        <v>2087</v>
      </c>
      <c r="D1952" s="4">
        <f>ROUND(E1952*F1952,0)</f>
        <v>11</v>
      </c>
      <c r="E1952" s="1">
        <f>ROUND(145/237,2)</f>
        <v>0.61</v>
      </c>
      <c r="F1952" s="1">
        <v>18</v>
      </c>
      <c r="H1952" s="1" t="s">
        <v>2977</v>
      </c>
    </row>
    <row r="1953" spans="1:9" ht="15.75" customHeight="1" x14ac:dyDescent="0.25">
      <c r="A1953" s="16">
        <v>20010008</v>
      </c>
      <c r="B1953" s="11" t="s">
        <v>954</v>
      </c>
      <c r="C1953" s="11" t="s">
        <v>2089</v>
      </c>
      <c r="D1953" s="1">
        <v>14</v>
      </c>
      <c r="F1953" s="1"/>
      <c r="G1953" s="1">
        <v>14</v>
      </c>
      <c r="H1953" s="1" t="s">
        <v>2978</v>
      </c>
    </row>
    <row r="1954" spans="1:9" ht="15.75" customHeight="1" x14ac:dyDescent="0.25">
      <c r="A1954" s="5">
        <v>20010008</v>
      </c>
      <c r="B1954" s="1" t="s">
        <v>947</v>
      </c>
      <c r="C1954" s="11" t="s">
        <v>29</v>
      </c>
      <c r="D1954" s="1">
        <v>28</v>
      </c>
      <c r="F1954" s="1"/>
      <c r="G1954" s="1">
        <v>28</v>
      </c>
      <c r="H1954" s="1" t="s">
        <v>2978</v>
      </c>
      <c r="I1954" s="1" t="s">
        <v>2701</v>
      </c>
    </row>
    <row r="1955" spans="1:9" ht="15.75" customHeight="1" x14ac:dyDescent="0.25">
      <c r="A1955" s="24">
        <v>20010008</v>
      </c>
      <c r="B1955" s="25" t="s">
        <v>947</v>
      </c>
      <c r="C1955" s="25" t="s">
        <v>13</v>
      </c>
      <c r="D1955" s="4">
        <v>80</v>
      </c>
      <c r="H1955" s="1" t="s">
        <v>3196</v>
      </c>
    </row>
    <row r="1956" spans="1:9" ht="15.75" customHeight="1" x14ac:dyDescent="0.25">
      <c r="A1956" s="3">
        <v>20010008</v>
      </c>
      <c r="B1956" s="1" t="s">
        <v>947</v>
      </c>
      <c r="C1956" s="11" t="s">
        <v>2085</v>
      </c>
      <c r="D1956" s="4">
        <f>ROUND(E1956*F1956*1.25,0)</f>
        <v>109</v>
      </c>
      <c r="E1956" s="10">
        <v>1.04</v>
      </c>
      <c r="F1956" s="1">
        <v>84</v>
      </c>
      <c r="G1956" s="1">
        <v>56</v>
      </c>
      <c r="H1956" s="1" t="s">
        <v>3196</v>
      </c>
      <c r="I1956" s="1" t="s">
        <v>2999</v>
      </c>
    </row>
    <row r="1957" spans="1:9" ht="15.75" customHeight="1" x14ac:dyDescent="0.25">
      <c r="A1957" s="3">
        <v>20010009</v>
      </c>
      <c r="B1957" s="1" t="s">
        <v>950</v>
      </c>
      <c r="C1957" s="11" t="s">
        <v>2088</v>
      </c>
      <c r="D1957" s="4">
        <f>ROUND(E1957*F1957*1.25,0)</f>
        <v>109</v>
      </c>
      <c r="E1957" s="10">
        <v>1.04</v>
      </c>
      <c r="F1957" s="1">
        <v>84</v>
      </c>
      <c r="G1957" s="1">
        <v>56</v>
      </c>
      <c r="H1957" s="1" t="s">
        <v>3196</v>
      </c>
      <c r="I1957" s="1" t="s">
        <v>2999</v>
      </c>
    </row>
    <row r="1958" spans="1:9" ht="15.75" customHeight="1" x14ac:dyDescent="0.25">
      <c r="A1958" s="16">
        <v>20010009</v>
      </c>
      <c r="B1958" s="11" t="s">
        <v>952</v>
      </c>
      <c r="C1958" s="11" t="s">
        <v>2089</v>
      </c>
      <c r="D1958" s="1">
        <v>14</v>
      </c>
      <c r="F1958" s="1"/>
      <c r="G1958" s="1">
        <v>14</v>
      </c>
      <c r="H1958" s="1" t="s">
        <v>2978</v>
      </c>
    </row>
    <row r="1959" spans="1:9" ht="15.75" customHeight="1" x14ac:dyDescent="0.25">
      <c r="A1959" s="3">
        <v>20010010</v>
      </c>
      <c r="B1959" s="1" t="s">
        <v>956</v>
      </c>
      <c r="C1959" s="11" t="s">
        <v>2091</v>
      </c>
      <c r="D1959" s="4">
        <f>ROUND(E1959*F1959*1.25,0)</f>
        <v>109</v>
      </c>
      <c r="E1959" s="10">
        <v>1.04</v>
      </c>
      <c r="F1959" s="1">
        <v>84</v>
      </c>
      <c r="G1959" s="1">
        <v>56</v>
      </c>
      <c r="H1959" s="1" t="s">
        <v>3196</v>
      </c>
      <c r="I1959" s="1" t="s">
        <v>2999</v>
      </c>
    </row>
    <row r="1960" spans="1:9" ht="15.75" customHeight="1" x14ac:dyDescent="0.25">
      <c r="A1960" s="16">
        <v>20010010</v>
      </c>
      <c r="B1960" s="11" t="s">
        <v>953</v>
      </c>
      <c r="C1960" s="11" t="s">
        <v>2089</v>
      </c>
      <c r="D1960" s="1">
        <v>14</v>
      </c>
      <c r="F1960" s="1"/>
      <c r="G1960" s="1">
        <v>14</v>
      </c>
      <c r="H1960" s="1" t="s">
        <v>2978</v>
      </c>
      <c r="I1960" s="1" t="s">
        <v>2980</v>
      </c>
    </row>
    <row r="1961" spans="1:9" ht="15.75" customHeight="1" x14ac:dyDescent="0.25">
      <c r="A1961" s="16">
        <v>20010011</v>
      </c>
      <c r="B1961" s="11" t="s">
        <v>958</v>
      </c>
      <c r="C1961" s="11" t="s">
        <v>2093</v>
      </c>
      <c r="D1961" s="1">
        <v>14</v>
      </c>
      <c r="F1961" s="1"/>
      <c r="G1961" s="1">
        <v>14</v>
      </c>
      <c r="H1961" s="1" t="s">
        <v>2978</v>
      </c>
      <c r="I1961" s="1" t="s">
        <v>2980</v>
      </c>
    </row>
    <row r="1962" spans="1:9" ht="15.75" customHeight="1" x14ac:dyDescent="0.25">
      <c r="A1962" s="3">
        <v>20010012</v>
      </c>
      <c r="B1962" s="1" t="s">
        <v>951</v>
      </c>
      <c r="C1962" s="11" t="s">
        <v>2088</v>
      </c>
      <c r="D1962" s="4">
        <f>ROUND(E1962*F1962*1.25,0)</f>
        <v>76</v>
      </c>
      <c r="E1962" s="10">
        <v>0.72</v>
      </c>
      <c r="F1962" s="1">
        <v>84</v>
      </c>
      <c r="H1962" s="1" t="s">
        <v>2824</v>
      </c>
      <c r="I1962" s="1" t="s">
        <v>2999</v>
      </c>
    </row>
    <row r="1963" spans="1:9" ht="15.75" customHeight="1" x14ac:dyDescent="0.25">
      <c r="A1963" s="16">
        <v>20010012</v>
      </c>
      <c r="B1963" s="11" t="s">
        <v>959</v>
      </c>
      <c r="C1963" s="11" t="s">
        <v>2093</v>
      </c>
      <c r="D1963" s="1">
        <v>25</v>
      </c>
      <c r="F1963" s="1"/>
      <c r="G1963" s="1">
        <v>25</v>
      </c>
      <c r="H1963" s="1" t="s">
        <v>2822</v>
      </c>
      <c r="I1963" s="1" t="s">
        <v>2981</v>
      </c>
    </row>
    <row r="1964" spans="1:9" ht="15.75" customHeight="1" x14ac:dyDescent="0.25">
      <c r="A1964" s="3">
        <v>20010013</v>
      </c>
      <c r="B1964" s="1" t="s">
        <v>961</v>
      </c>
      <c r="C1964" s="11" t="s">
        <v>2096</v>
      </c>
      <c r="D1964" s="1">
        <v>38</v>
      </c>
      <c r="F1964" s="1"/>
      <c r="G1964" s="1">
        <v>38</v>
      </c>
      <c r="H1964" s="1" t="s">
        <v>2823</v>
      </c>
      <c r="I1964" s="1" t="s">
        <v>2701</v>
      </c>
    </row>
    <row r="1965" spans="1:9" ht="15.75" customHeight="1" x14ac:dyDescent="0.25">
      <c r="A1965" s="3">
        <v>20010013</v>
      </c>
      <c r="B1965" s="1" t="s">
        <v>957</v>
      </c>
      <c r="C1965" s="11" t="s">
        <v>2092</v>
      </c>
      <c r="D1965" s="4">
        <f>ROUND(E1965*F1965*1.25,0)</f>
        <v>109</v>
      </c>
      <c r="E1965" s="10">
        <v>1.04</v>
      </c>
      <c r="F1965" s="1">
        <v>84</v>
      </c>
      <c r="G1965" s="1">
        <v>76</v>
      </c>
      <c r="H1965" s="1" t="s">
        <v>3196</v>
      </c>
      <c r="I1965" s="1" t="s">
        <v>2999</v>
      </c>
    </row>
    <row r="1966" spans="1:9" ht="15.75" customHeight="1" x14ac:dyDescent="0.25">
      <c r="A1966" s="16">
        <v>20010013</v>
      </c>
      <c r="B1966" s="11" t="s">
        <v>961</v>
      </c>
      <c r="C1966" s="11" t="s">
        <v>2095</v>
      </c>
      <c r="D1966" s="1">
        <v>19</v>
      </c>
      <c r="F1966" s="1"/>
      <c r="G1966" s="1">
        <v>19</v>
      </c>
      <c r="H1966" s="1" t="s">
        <v>2823</v>
      </c>
      <c r="I1966" s="1" t="s">
        <v>2982</v>
      </c>
    </row>
    <row r="1967" spans="1:9" ht="15.75" customHeight="1" x14ac:dyDescent="0.25">
      <c r="A1967" s="16">
        <v>20010014</v>
      </c>
      <c r="B1967" s="11" t="s">
        <v>960</v>
      </c>
      <c r="C1967" s="11" t="s">
        <v>13</v>
      </c>
      <c r="D1967" s="4">
        <v>80</v>
      </c>
    </row>
    <row r="1968" spans="1:9" ht="15.75" customHeight="1" x14ac:dyDescent="0.25">
      <c r="A1968" s="24">
        <v>20010014</v>
      </c>
      <c r="B1968" s="25" t="s">
        <v>960</v>
      </c>
      <c r="C1968" s="25" t="s">
        <v>11</v>
      </c>
      <c r="D1968" s="4">
        <v>14</v>
      </c>
      <c r="H1968" s="1" t="s">
        <v>2979</v>
      </c>
    </row>
    <row r="1969" spans="1:10" ht="15.75" customHeight="1" x14ac:dyDescent="0.25">
      <c r="A1969" s="3">
        <v>20010014</v>
      </c>
      <c r="B1969" s="1" t="s">
        <v>960</v>
      </c>
      <c r="C1969" s="11" t="s">
        <v>2094</v>
      </c>
      <c r="D1969" s="4">
        <f>ROUND(E1969*F1969*1.25,0)</f>
        <v>106</v>
      </c>
      <c r="E1969" s="1">
        <f>ROUND(240/237,2)</f>
        <v>1.01</v>
      </c>
      <c r="F1969" s="1">
        <v>84</v>
      </c>
      <c r="H1969" s="1" t="s">
        <v>2979</v>
      </c>
      <c r="I1969" s="1" t="s">
        <v>2999</v>
      </c>
    </row>
    <row r="1970" spans="1:10" ht="15.75" customHeight="1" x14ac:dyDescent="0.25">
      <c r="A1970" s="16">
        <v>20010014</v>
      </c>
      <c r="B1970" s="11" t="s">
        <v>2534</v>
      </c>
      <c r="C1970" s="11" t="s">
        <v>2095</v>
      </c>
      <c r="D1970" s="1">
        <v>14</v>
      </c>
      <c r="F1970" s="1"/>
      <c r="G1970" s="1">
        <v>9</v>
      </c>
      <c r="H1970" s="1" t="s">
        <v>2825</v>
      </c>
    </row>
    <row r="1971" spans="1:10" ht="15.75" customHeight="1" x14ac:dyDescent="0.25">
      <c r="A1971" s="3">
        <v>20010015</v>
      </c>
      <c r="B1971" s="1" t="s">
        <v>2983</v>
      </c>
      <c r="C1971" s="11" t="s">
        <v>25</v>
      </c>
      <c r="D1971" s="1">
        <v>7</v>
      </c>
      <c r="F1971" s="1"/>
      <c r="G1971" s="1">
        <v>7</v>
      </c>
      <c r="H1971" s="1" t="s">
        <v>2984</v>
      </c>
      <c r="I1971" s="1" t="s">
        <v>2987</v>
      </c>
    </row>
    <row r="1972" spans="1:10" ht="15.75" customHeight="1" x14ac:dyDescent="0.25">
      <c r="A1972" s="16">
        <v>20010015</v>
      </c>
      <c r="B1972" s="11" t="s">
        <v>2983</v>
      </c>
      <c r="C1972" s="11" t="s">
        <v>26</v>
      </c>
      <c r="D1972" s="1">
        <v>13</v>
      </c>
      <c r="F1972" s="1"/>
      <c r="G1972" s="1">
        <v>13</v>
      </c>
      <c r="H1972" s="1" t="s">
        <v>2984</v>
      </c>
      <c r="I1972" s="1" t="s">
        <v>2985</v>
      </c>
    </row>
    <row r="1973" spans="1:10" ht="15.75" customHeight="1" x14ac:dyDescent="0.25">
      <c r="A1973" s="3">
        <v>20010015</v>
      </c>
      <c r="B1973" s="1" t="s">
        <v>2983</v>
      </c>
      <c r="C1973" s="11" t="s">
        <v>24</v>
      </c>
      <c r="D1973" s="4">
        <f>ROUND(E1973*F1973*1.25,0)</f>
        <v>76</v>
      </c>
      <c r="E1973" s="10">
        <v>0.72</v>
      </c>
      <c r="F1973" s="1">
        <v>84</v>
      </c>
      <c r="H1973" s="1" t="s">
        <v>2824</v>
      </c>
      <c r="I1973" s="1" t="s">
        <v>2999</v>
      </c>
    </row>
    <row r="1974" spans="1:10" ht="15.75" customHeight="1" x14ac:dyDescent="0.25">
      <c r="A1974" s="3">
        <v>20010015</v>
      </c>
      <c r="B1974" s="1" t="s">
        <v>2983</v>
      </c>
      <c r="C1974" s="11" t="s">
        <v>27</v>
      </c>
      <c r="D1974" s="4">
        <v>104</v>
      </c>
      <c r="F1974" s="1"/>
      <c r="G1974" s="1">
        <v>104</v>
      </c>
      <c r="H1974" s="1" t="s">
        <v>2984</v>
      </c>
      <c r="I1974" s="1" t="s">
        <v>2988</v>
      </c>
    </row>
    <row r="1975" spans="1:10" ht="15.75" customHeight="1" x14ac:dyDescent="0.25">
      <c r="A1975" s="16">
        <v>20010016</v>
      </c>
      <c r="B1975" s="11" t="s">
        <v>2986</v>
      </c>
      <c r="C1975" s="11" t="s">
        <v>26</v>
      </c>
      <c r="D1975" s="1">
        <v>13</v>
      </c>
      <c r="F1975" s="1"/>
      <c r="G1975" s="1">
        <v>13</v>
      </c>
      <c r="H1975" s="1" t="s">
        <v>2984</v>
      </c>
      <c r="I1975" s="1" t="s">
        <v>2985</v>
      </c>
    </row>
    <row r="1976" spans="1:10" ht="15.75" customHeight="1" x14ac:dyDescent="0.25">
      <c r="A1976" s="3">
        <v>20010016</v>
      </c>
      <c r="B1976" s="1" t="s">
        <v>2986</v>
      </c>
      <c r="C1976" s="11" t="s">
        <v>24</v>
      </c>
      <c r="D1976" s="4">
        <f>ROUND(E1976*F1976*1.25,0)</f>
        <v>76</v>
      </c>
      <c r="E1976" s="10">
        <v>0.72</v>
      </c>
      <c r="F1976" s="1">
        <v>84</v>
      </c>
      <c r="H1976" s="1" t="s">
        <v>2824</v>
      </c>
      <c r="I1976" s="1" t="s">
        <v>2999</v>
      </c>
    </row>
    <row r="1977" spans="1:10" ht="15.75" customHeight="1" x14ac:dyDescent="0.25">
      <c r="A1977" s="16">
        <v>20010017</v>
      </c>
      <c r="B1977" s="11" t="s">
        <v>3092</v>
      </c>
      <c r="C1977" s="11" t="s">
        <v>26</v>
      </c>
      <c r="D1977" s="1">
        <f>ROUND((D1972+D2194)/2,0)</f>
        <v>16</v>
      </c>
      <c r="E1977" s="4"/>
      <c r="F1977" s="1" t="s">
        <v>3132</v>
      </c>
      <c r="G1977" s="4"/>
      <c r="H1977" s="1" t="s">
        <v>3190</v>
      </c>
      <c r="I1977" s="1" t="s">
        <v>3132</v>
      </c>
      <c r="J1977" s="1" t="s">
        <v>3132</v>
      </c>
    </row>
    <row r="1978" spans="1:10" ht="15.75" customHeight="1" x14ac:dyDescent="0.25">
      <c r="A1978" s="3">
        <v>20010017</v>
      </c>
      <c r="B1978" s="1" t="s">
        <v>3092</v>
      </c>
      <c r="C1978" s="11" t="s">
        <v>24</v>
      </c>
      <c r="D1978" s="1">
        <f>ROUND((D2195+D1973)/2,0)</f>
        <v>94</v>
      </c>
      <c r="E1978" s="4"/>
      <c r="F1978" s="1" t="s">
        <v>3132</v>
      </c>
      <c r="G1978" s="4"/>
      <c r="H1978" s="1" t="s">
        <v>3190</v>
      </c>
      <c r="I1978" s="1" t="s">
        <v>3132</v>
      </c>
      <c r="J1978" s="1" t="s">
        <v>3132</v>
      </c>
    </row>
    <row r="1979" spans="1:10" ht="15.75" customHeight="1" x14ac:dyDescent="0.25">
      <c r="A1979" s="16">
        <v>20020101</v>
      </c>
      <c r="B1979" s="11" t="s">
        <v>3093</v>
      </c>
      <c r="C1979" s="11" t="s">
        <v>26</v>
      </c>
      <c r="D1979" s="1">
        <v>15</v>
      </c>
      <c r="E1979" s="4"/>
      <c r="F1979" s="1" t="s">
        <v>3132</v>
      </c>
      <c r="G1979" s="4">
        <v>15</v>
      </c>
      <c r="H1979" s="1" t="s">
        <v>2829</v>
      </c>
      <c r="I1979" s="1" t="s">
        <v>3132</v>
      </c>
      <c r="J1979" s="1" t="s">
        <v>3132</v>
      </c>
    </row>
    <row r="1980" spans="1:10" ht="15.75" customHeight="1" x14ac:dyDescent="0.25">
      <c r="A1980" s="3">
        <v>20020101</v>
      </c>
      <c r="B1980" s="1" t="s">
        <v>2536</v>
      </c>
      <c r="C1980" s="11" t="s">
        <v>2098</v>
      </c>
      <c r="D1980" s="1">
        <v>60</v>
      </c>
      <c r="F1980" s="1"/>
      <c r="G1980" s="1">
        <v>60</v>
      </c>
      <c r="H1980" s="1" t="s">
        <v>2829</v>
      </c>
      <c r="I1980" s="1" t="s">
        <v>2989</v>
      </c>
    </row>
    <row r="1981" spans="1:10" ht="15.75" customHeight="1" x14ac:dyDescent="0.25">
      <c r="A1981" s="3">
        <v>20020102</v>
      </c>
      <c r="B1981" s="1" t="s">
        <v>965</v>
      </c>
      <c r="C1981" s="11" t="s">
        <v>2100</v>
      </c>
      <c r="D1981" s="1">
        <v>60</v>
      </c>
      <c r="F1981" s="1"/>
      <c r="G1981" s="1">
        <v>60</v>
      </c>
      <c r="H1981" s="1" t="s">
        <v>2829</v>
      </c>
      <c r="I1981" s="1" t="s">
        <v>2989</v>
      </c>
    </row>
    <row r="1982" spans="1:10" ht="15.75" customHeight="1" x14ac:dyDescent="0.25">
      <c r="A1982" s="16">
        <v>20020102</v>
      </c>
      <c r="B1982" s="11" t="s">
        <v>967</v>
      </c>
      <c r="C1982" s="11" t="s">
        <v>2102</v>
      </c>
      <c r="D1982" s="1">
        <v>15</v>
      </c>
      <c r="F1982" s="1"/>
      <c r="G1982" s="1">
        <v>15</v>
      </c>
      <c r="H1982" s="1" t="s">
        <v>2829</v>
      </c>
      <c r="I1982" s="1" t="s">
        <v>2852</v>
      </c>
    </row>
    <row r="1983" spans="1:10" ht="15.75" customHeight="1" x14ac:dyDescent="0.25">
      <c r="A1983" s="20">
        <v>20020103</v>
      </c>
      <c r="B1983" s="11" t="s">
        <v>962</v>
      </c>
      <c r="C1983" s="11" t="s">
        <v>19</v>
      </c>
      <c r="D1983" s="1">
        <v>64</v>
      </c>
      <c r="F1983" s="1"/>
      <c r="G1983" s="1">
        <v>64</v>
      </c>
      <c r="H1983" s="1" t="s">
        <v>2789</v>
      </c>
      <c r="I1983" s="1" t="s">
        <v>2851</v>
      </c>
    </row>
    <row r="1984" spans="1:10" ht="15.75" customHeight="1" x14ac:dyDescent="0.25">
      <c r="A1984" s="3">
        <v>20020103</v>
      </c>
      <c r="B1984" s="1" t="s">
        <v>962</v>
      </c>
      <c r="C1984" s="11" t="s">
        <v>2097</v>
      </c>
      <c r="D1984" s="1">
        <v>8</v>
      </c>
      <c r="E1984" s="10"/>
      <c r="F1984" s="1"/>
      <c r="G1984" s="1">
        <v>8</v>
      </c>
      <c r="H1984" s="1" t="s">
        <v>2826</v>
      </c>
    </row>
    <row r="1985" spans="1:9" ht="15.75" customHeight="1" x14ac:dyDescent="0.25">
      <c r="A1985" s="3">
        <v>20020103</v>
      </c>
      <c r="B1985" s="1" t="s">
        <v>968</v>
      </c>
      <c r="C1985" s="11" t="s">
        <v>2103</v>
      </c>
      <c r="D1985" s="1">
        <v>16</v>
      </c>
      <c r="E1985" s="10"/>
      <c r="F1985" s="1"/>
      <c r="G1985" s="1">
        <v>16</v>
      </c>
      <c r="H1985" s="1" t="s">
        <v>2826</v>
      </c>
      <c r="I1985" s="1" t="s">
        <v>2701</v>
      </c>
    </row>
    <row r="1986" spans="1:9" ht="15.75" customHeight="1" x14ac:dyDescent="0.25">
      <c r="A1986" s="3">
        <v>20020103</v>
      </c>
      <c r="B1986" s="1" t="s">
        <v>964</v>
      </c>
      <c r="C1986" s="11" t="s">
        <v>2099</v>
      </c>
      <c r="D1986" s="1">
        <v>48</v>
      </c>
      <c r="F1986" s="1"/>
      <c r="G1986" s="1">
        <v>48</v>
      </c>
      <c r="H1986" s="1" t="s">
        <v>2789</v>
      </c>
      <c r="I1986" s="1" t="s">
        <v>2850</v>
      </c>
    </row>
    <row r="1987" spans="1:9" ht="15.75" customHeight="1" x14ac:dyDescent="0.25">
      <c r="A1987" s="16">
        <v>20020103</v>
      </c>
      <c r="B1987" s="11" t="s">
        <v>2498</v>
      </c>
      <c r="C1987" s="11" t="s">
        <v>2102</v>
      </c>
      <c r="D1987" s="1">
        <v>16</v>
      </c>
      <c r="F1987" s="1"/>
      <c r="G1987" s="1">
        <v>16</v>
      </c>
      <c r="H1987" s="1" t="s">
        <v>2789</v>
      </c>
      <c r="I1987" s="1" t="s">
        <v>2849</v>
      </c>
    </row>
    <row r="1988" spans="1:9" ht="15.75" customHeight="1" x14ac:dyDescent="0.25">
      <c r="A1988" s="3">
        <v>20020103</v>
      </c>
      <c r="B1988" s="1" t="s">
        <v>2498</v>
      </c>
      <c r="C1988" s="11" t="s">
        <v>2098</v>
      </c>
      <c r="D1988" s="4">
        <f>ROUND(E1988*F1988*1.25,0)</f>
        <v>112</v>
      </c>
      <c r="E1988" s="1">
        <v>1.07</v>
      </c>
      <c r="F1988" s="1">
        <v>84</v>
      </c>
      <c r="H1988" s="1" t="s">
        <v>3195</v>
      </c>
      <c r="I1988" s="1" t="s">
        <v>2999</v>
      </c>
    </row>
    <row r="1989" spans="1:9" ht="15.75" customHeight="1" x14ac:dyDescent="0.25">
      <c r="A1989" s="4">
        <v>20020104</v>
      </c>
      <c r="B1989" s="1" t="s">
        <v>963</v>
      </c>
      <c r="C1989" s="11" t="s">
        <v>2675</v>
      </c>
      <c r="D1989" s="1">
        <v>16</v>
      </c>
      <c r="F1989" s="1"/>
      <c r="G1989" s="1">
        <v>16</v>
      </c>
      <c r="H1989" s="1" t="s">
        <v>2789</v>
      </c>
      <c r="I1989" s="1" t="s">
        <v>2990</v>
      </c>
    </row>
    <row r="1990" spans="1:9" ht="15.75" customHeight="1" x14ac:dyDescent="0.25">
      <c r="A1990" s="16">
        <v>20020104</v>
      </c>
      <c r="B1990" s="11" t="s">
        <v>963</v>
      </c>
      <c r="C1990" s="11" t="s">
        <v>13</v>
      </c>
      <c r="D1990" s="4">
        <v>64</v>
      </c>
    </row>
    <row r="1991" spans="1:9" ht="15.75" customHeight="1" x14ac:dyDescent="0.25">
      <c r="A1991" s="3">
        <v>20020104</v>
      </c>
      <c r="B1991" s="1" t="s">
        <v>966</v>
      </c>
      <c r="C1991" s="11" t="s">
        <v>2101</v>
      </c>
      <c r="D1991" s="1">
        <v>48</v>
      </c>
      <c r="F1991" s="1"/>
      <c r="G1991" s="1">
        <v>48</v>
      </c>
      <c r="H1991" s="1" t="s">
        <v>2789</v>
      </c>
      <c r="I1991" s="1" t="s">
        <v>2850</v>
      </c>
    </row>
    <row r="1992" spans="1:9" ht="15.75" customHeight="1" x14ac:dyDescent="0.25">
      <c r="A1992" s="16">
        <v>20020104</v>
      </c>
      <c r="B1992" s="11" t="s">
        <v>969</v>
      </c>
      <c r="C1992" s="11" t="s">
        <v>2104</v>
      </c>
      <c r="D1992" s="1">
        <v>16</v>
      </c>
      <c r="F1992" s="1"/>
      <c r="G1992" s="1">
        <v>16</v>
      </c>
      <c r="H1992" s="1" t="s">
        <v>2789</v>
      </c>
      <c r="I1992" s="1" t="s">
        <v>2849</v>
      </c>
    </row>
    <row r="1993" spans="1:9" ht="15.75" customHeight="1" x14ac:dyDescent="0.25">
      <c r="A1993" s="16">
        <v>20020104</v>
      </c>
      <c r="B1993" s="11" t="s">
        <v>963</v>
      </c>
      <c r="C1993" s="11" t="s">
        <v>2098</v>
      </c>
      <c r="D1993" s="4">
        <f>ROUND(E1993*F1993*1.25,0)</f>
        <v>112</v>
      </c>
      <c r="E1993" s="1">
        <v>1.07</v>
      </c>
      <c r="F1993" s="1">
        <v>84</v>
      </c>
      <c r="H1993" s="1" t="s">
        <v>3195</v>
      </c>
      <c r="I1993" s="1" t="s">
        <v>2999</v>
      </c>
    </row>
    <row r="1994" spans="1:9" ht="15.75" customHeight="1" x14ac:dyDescent="0.25">
      <c r="A1994" s="16">
        <v>20020201</v>
      </c>
      <c r="B1994" s="11" t="s">
        <v>970</v>
      </c>
      <c r="C1994" s="11" t="s">
        <v>2105</v>
      </c>
      <c r="D1994" s="4">
        <v>25</v>
      </c>
      <c r="E1994" s="10"/>
      <c r="F1994" s="1"/>
      <c r="G1994" s="1">
        <v>25</v>
      </c>
      <c r="H1994" s="1" t="s">
        <v>2991</v>
      </c>
      <c r="I1994" s="1" t="s">
        <v>2700</v>
      </c>
    </row>
    <row r="1995" spans="1:9" ht="15.75" customHeight="1" x14ac:dyDescent="0.25">
      <c r="A1995" s="3">
        <v>20020201</v>
      </c>
      <c r="B1995" s="1" t="s">
        <v>973</v>
      </c>
      <c r="C1995" s="11" t="s">
        <v>2106</v>
      </c>
      <c r="D1995" s="4">
        <f>ROUND(E1995*F1995*1.25,0)</f>
        <v>68</v>
      </c>
      <c r="E1995" s="10">
        <v>0.65</v>
      </c>
      <c r="F1995" s="1">
        <v>84</v>
      </c>
      <c r="H1995" s="1" t="s">
        <v>3176</v>
      </c>
      <c r="I1995" s="1" t="s">
        <v>2999</v>
      </c>
    </row>
    <row r="1996" spans="1:9" ht="15.75" customHeight="1" x14ac:dyDescent="0.25">
      <c r="A1996" s="16">
        <v>20020201</v>
      </c>
      <c r="B1996" s="11" t="s">
        <v>2476</v>
      </c>
      <c r="C1996" s="11" t="s">
        <v>2107</v>
      </c>
      <c r="D1996" s="4">
        <v>25</v>
      </c>
      <c r="E1996" s="10"/>
      <c r="F1996" s="1"/>
      <c r="G1996" s="1">
        <v>25</v>
      </c>
      <c r="H1996" s="1" t="s">
        <v>2991</v>
      </c>
    </row>
    <row r="1997" spans="1:9" ht="15.75" customHeight="1" x14ac:dyDescent="0.25">
      <c r="A1997" s="16">
        <v>20020202</v>
      </c>
      <c r="B1997" s="11" t="s">
        <v>971</v>
      </c>
      <c r="C1997" s="11" t="s">
        <v>2105</v>
      </c>
      <c r="D1997" s="4">
        <f>G1997</f>
        <v>22</v>
      </c>
      <c r="E1997" s="10"/>
      <c r="F1997" s="1"/>
      <c r="G1997" s="1">
        <v>22</v>
      </c>
      <c r="H1997" s="1" t="s">
        <v>2828</v>
      </c>
      <c r="I1997" s="1" t="s">
        <v>2700</v>
      </c>
    </row>
    <row r="1998" spans="1:9" ht="15.75" customHeight="1" x14ac:dyDescent="0.25">
      <c r="A1998" s="16">
        <v>20020202</v>
      </c>
      <c r="B1998" s="11" t="s">
        <v>2513</v>
      </c>
      <c r="C1998" s="11" t="s">
        <v>2109</v>
      </c>
      <c r="D1998" s="4">
        <f>G1998</f>
        <v>22</v>
      </c>
      <c r="E1998" s="10"/>
      <c r="F1998" s="1"/>
      <c r="G1998" s="1">
        <v>22</v>
      </c>
      <c r="H1998" s="1" t="s">
        <v>2828</v>
      </c>
    </row>
    <row r="1999" spans="1:9" ht="15.75" customHeight="1" x14ac:dyDescent="0.25">
      <c r="A1999" s="3">
        <v>20020202</v>
      </c>
      <c r="B1999" s="1" t="s">
        <v>974</v>
      </c>
      <c r="C1999" s="11" t="s">
        <v>2108</v>
      </c>
      <c r="D1999" s="4">
        <f>ROUND(E1999*F1999*1.25,0)</f>
        <v>112</v>
      </c>
      <c r="E1999" s="1">
        <v>1.07</v>
      </c>
      <c r="F1999" s="1">
        <v>84</v>
      </c>
      <c r="H1999" s="1" t="s">
        <v>3195</v>
      </c>
      <c r="I1999" s="1" t="s">
        <v>2999</v>
      </c>
    </row>
    <row r="2000" spans="1:9" ht="15.75" customHeight="1" x14ac:dyDescent="0.25">
      <c r="A2000" s="16">
        <v>20020203</v>
      </c>
      <c r="B2000" s="11" t="s">
        <v>972</v>
      </c>
      <c r="C2000" s="11" t="s">
        <v>2105</v>
      </c>
      <c r="D2000" s="1">
        <f>G2000</f>
        <v>22</v>
      </c>
      <c r="E2000" s="10"/>
      <c r="F2000" s="1"/>
      <c r="G2000" s="1">
        <v>22</v>
      </c>
      <c r="H2000" s="1" t="s">
        <v>2828</v>
      </c>
      <c r="I2000" s="1" t="s">
        <v>2700</v>
      </c>
    </row>
    <row r="2001" spans="1:9" ht="15.75" customHeight="1" x14ac:dyDescent="0.25">
      <c r="A2001" s="3">
        <v>20020203</v>
      </c>
      <c r="B2001" s="1" t="s">
        <v>972</v>
      </c>
      <c r="C2001" s="11" t="s">
        <v>29</v>
      </c>
      <c r="D2001" s="1">
        <v>44</v>
      </c>
      <c r="E2001" s="10"/>
      <c r="F2001" s="1"/>
      <c r="G2001" s="1">
        <v>44</v>
      </c>
      <c r="H2001" s="1" t="s">
        <v>2828</v>
      </c>
      <c r="I2001" s="1" t="s">
        <v>2701</v>
      </c>
    </row>
    <row r="2002" spans="1:9" ht="15.75" customHeight="1" x14ac:dyDescent="0.25">
      <c r="A2002" s="16">
        <v>20020203</v>
      </c>
      <c r="B2002" s="11" t="s">
        <v>976</v>
      </c>
      <c r="C2002" s="11" t="s">
        <v>2111</v>
      </c>
      <c r="D2002" s="1">
        <f>G2002</f>
        <v>22</v>
      </c>
      <c r="E2002" s="10"/>
      <c r="F2002" s="1"/>
      <c r="G2002" s="1">
        <v>22</v>
      </c>
      <c r="H2002" s="1" t="s">
        <v>2828</v>
      </c>
    </row>
    <row r="2003" spans="1:9" ht="15.75" customHeight="1" x14ac:dyDescent="0.25">
      <c r="A2003" s="3">
        <v>20020203</v>
      </c>
      <c r="B2003" s="1" t="s">
        <v>2497</v>
      </c>
      <c r="C2003" s="11" t="s">
        <v>2108</v>
      </c>
      <c r="D2003" s="4">
        <f>ROUND(E2003*F2003*1.25,0)</f>
        <v>112</v>
      </c>
      <c r="E2003" s="1">
        <v>1.07</v>
      </c>
      <c r="F2003" s="1">
        <v>84</v>
      </c>
      <c r="H2003" s="1" t="s">
        <v>3195</v>
      </c>
      <c r="I2003" s="1" t="s">
        <v>2999</v>
      </c>
    </row>
    <row r="2004" spans="1:9" ht="15.75" customHeight="1" x14ac:dyDescent="0.25">
      <c r="A2004" s="3">
        <v>20020204</v>
      </c>
      <c r="B2004" s="1" t="s">
        <v>975</v>
      </c>
      <c r="C2004" s="11" t="s">
        <v>2675</v>
      </c>
      <c r="D2004" s="1">
        <f>G2004</f>
        <v>22</v>
      </c>
      <c r="E2004" s="10"/>
      <c r="F2004" s="1"/>
      <c r="G2004" s="1">
        <v>22</v>
      </c>
      <c r="H2004" s="1" t="s">
        <v>2828</v>
      </c>
      <c r="I2004" s="1" t="s">
        <v>2876</v>
      </c>
    </row>
    <row r="2005" spans="1:9" ht="15.75" customHeight="1" x14ac:dyDescent="0.25">
      <c r="A2005" s="3">
        <v>20020204</v>
      </c>
      <c r="B2005" s="1" t="s">
        <v>977</v>
      </c>
      <c r="C2005" s="11" t="s">
        <v>2112</v>
      </c>
      <c r="D2005" s="4">
        <f>ROUND(E2005*F2005*1.25,0)</f>
        <v>174</v>
      </c>
      <c r="E2005" s="1">
        <v>1.07</v>
      </c>
      <c r="F2005" s="1">
        <v>130</v>
      </c>
      <c r="H2005" s="1" t="s">
        <v>3195</v>
      </c>
      <c r="I2005" s="1" t="s">
        <v>2999</v>
      </c>
    </row>
    <row r="2006" spans="1:9" ht="15.75" customHeight="1" x14ac:dyDescent="0.25">
      <c r="A2006" s="3">
        <v>20020204</v>
      </c>
      <c r="B2006" s="1" t="s">
        <v>975</v>
      </c>
      <c r="C2006" s="11" t="s">
        <v>2110</v>
      </c>
      <c r="D2006" s="4">
        <f>ROUND(E2006*F2006*1.25,0)</f>
        <v>112</v>
      </c>
      <c r="E2006" s="1">
        <v>1.07</v>
      </c>
      <c r="F2006" s="1">
        <v>84</v>
      </c>
      <c r="H2006" s="1" t="s">
        <v>3195</v>
      </c>
      <c r="I2006" s="1" t="s">
        <v>2999</v>
      </c>
    </row>
    <row r="2007" spans="1:9" ht="15.75" customHeight="1" x14ac:dyDescent="0.25">
      <c r="A2007" s="16">
        <v>20020204</v>
      </c>
      <c r="B2007" s="11" t="s">
        <v>977</v>
      </c>
      <c r="C2007" s="11" t="s">
        <v>2111</v>
      </c>
      <c r="D2007" s="1">
        <f>G2007</f>
        <v>22</v>
      </c>
      <c r="E2007" s="10"/>
      <c r="F2007" s="1"/>
      <c r="G2007" s="1">
        <v>22</v>
      </c>
      <c r="H2007" s="1" t="s">
        <v>2828</v>
      </c>
      <c r="I2007" s="1" t="s">
        <v>2876</v>
      </c>
    </row>
    <row r="2008" spans="1:9" ht="15.75" customHeight="1" x14ac:dyDescent="0.25">
      <c r="A2008" s="3">
        <v>20020205</v>
      </c>
      <c r="B2008" s="1" t="s">
        <v>2617</v>
      </c>
      <c r="C2008" s="11" t="s">
        <v>24</v>
      </c>
      <c r="D2008" s="1">
        <v>88</v>
      </c>
      <c r="F2008" s="1"/>
      <c r="G2008" s="1">
        <v>88</v>
      </c>
      <c r="H2008" s="1" t="s">
        <v>2828</v>
      </c>
      <c r="I2008" s="1" t="s">
        <v>2992</v>
      </c>
    </row>
    <row r="2009" spans="1:9" ht="15.75" customHeight="1" x14ac:dyDescent="0.25">
      <c r="A2009" s="16">
        <v>20020205</v>
      </c>
      <c r="B2009" s="11" t="s">
        <v>2617</v>
      </c>
      <c r="C2009" s="11" t="s">
        <v>26</v>
      </c>
      <c r="D2009" s="4">
        <v>25</v>
      </c>
      <c r="E2009" s="10"/>
      <c r="F2009" s="1"/>
      <c r="G2009" s="1">
        <v>25</v>
      </c>
      <c r="H2009" s="1" t="s">
        <v>2875</v>
      </c>
      <c r="I2009" s="1" t="s">
        <v>2877</v>
      </c>
    </row>
    <row r="2010" spans="1:9" ht="15.75" customHeight="1" x14ac:dyDescent="0.25">
      <c r="A2010" s="3">
        <v>20020301</v>
      </c>
      <c r="B2010" s="1" t="s">
        <v>979</v>
      </c>
      <c r="C2010" s="11" t="s">
        <v>2114</v>
      </c>
      <c r="D2010" s="4">
        <f>ROUND(E2010*F2010*1.25,0)</f>
        <v>68</v>
      </c>
      <c r="E2010" s="10">
        <v>0.65</v>
      </c>
      <c r="F2010" s="1">
        <v>84</v>
      </c>
      <c r="H2010" s="1" t="s">
        <v>3176</v>
      </c>
      <c r="I2010" s="1" t="s">
        <v>2999</v>
      </c>
    </row>
    <row r="2011" spans="1:9" ht="15.75" customHeight="1" x14ac:dyDescent="0.25">
      <c r="A2011" s="16">
        <v>20020301</v>
      </c>
      <c r="B2011" s="11" t="s">
        <v>983</v>
      </c>
      <c r="C2011" s="11" t="s">
        <v>2117</v>
      </c>
      <c r="D2011" s="4">
        <f>E2011*F2011</f>
        <v>14.31</v>
      </c>
      <c r="E2011" s="1">
        <f>ROUND(125/237,2)</f>
        <v>0.53</v>
      </c>
      <c r="F2011" s="1">
        <v>27</v>
      </c>
      <c r="H2011" s="1" t="s">
        <v>2864</v>
      </c>
    </row>
    <row r="2012" spans="1:9" ht="15.75" customHeight="1" x14ac:dyDescent="0.25">
      <c r="A2012" s="3">
        <v>20020302</v>
      </c>
      <c r="B2012" s="1" t="s">
        <v>982</v>
      </c>
      <c r="C2012" s="11" t="s">
        <v>2116</v>
      </c>
      <c r="D2012" s="4">
        <f>ROUND(E2012*F2012*1.25,0)</f>
        <v>68</v>
      </c>
      <c r="E2012" s="10">
        <v>0.65</v>
      </c>
      <c r="F2012" s="1">
        <v>84</v>
      </c>
      <c r="H2012" s="1" t="s">
        <v>3176</v>
      </c>
      <c r="I2012" s="1" t="s">
        <v>2999</v>
      </c>
    </row>
    <row r="2013" spans="1:9" ht="15.75" customHeight="1" x14ac:dyDescent="0.25">
      <c r="A2013" s="16">
        <v>20020302</v>
      </c>
      <c r="B2013" s="11" t="s">
        <v>980</v>
      </c>
      <c r="C2013" s="11" t="s">
        <v>2115</v>
      </c>
      <c r="D2013" s="4">
        <v>15</v>
      </c>
      <c r="F2013" s="1"/>
      <c r="G2013" s="1">
        <v>15</v>
      </c>
      <c r="H2013" s="1" t="s">
        <v>2829</v>
      </c>
    </row>
    <row r="2014" spans="1:9" ht="15.75" customHeight="1" x14ac:dyDescent="0.25">
      <c r="A2014" s="16">
        <v>20020303</v>
      </c>
      <c r="B2014" s="11" t="s">
        <v>981</v>
      </c>
      <c r="C2014" s="11" t="s">
        <v>11</v>
      </c>
      <c r="D2014" s="4">
        <v>16</v>
      </c>
    </row>
    <row r="2015" spans="1:9" ht="15.75" customHeight="1" x14ac:dyDescent="0.25">
      <c r="A2015" s="16">
        <v>20020303</v>
      </c>
      <c r="B2015" s="11" t="s">
        <v>985</v>
      </c>
      <c r="C2015" s="11" t="s">
        <v>2119</v>
      </c>
      <c r="D2015" s="4">
        <f>G2015</f>
        <v>16</v>
      </c>
      <c r="E2015" s="10"/>
      <c r="F2015" s="1"/>
      <c r="G2015" s="1">
        <v>16</v>
      </c>
      <c r="H2015" s="1" t="s">
        <v>2789</v>
      </c>
    </row>
    <row r="2016" spans="1:9" ht="15.75" customHeight="1" x14ac:dyDescent="0.25">
      <c r="A2016" s="16">
        <v>20020303</v>
      </c>
      <c r="B2016" s="11" t="s">
        <v>981</v>
      </c>
      <c r="C2016" s="11" t="s">
        <v>2116</v>
      </c>
      <c r="D2016" s="4">
        <f>ROUND(E2016*F2016*1.25,0)</f>
        <v>112</v>
      </c>
      <c r="E2016" s="1">
        <v>1.07</v>
      </c>
      <c r="F2016" s="1">
        <v>84</v>
      </c>
      <c r="H2016" s="1" t="s">
        <v>3195</v>
      </c>
      <c r="I2016" s="1" t="s">
        <v>2999</v>
      </c>
    </row>
    <row r="2017" spans="1:10" ht="15.75" customHeight="1" x14ac:dyDescent="0.25">
      <c r="A2017" s="16">
        <v>20020304</v>
      </c>
      <c r="B2017" s="11" t="s">
        <v>984</v>
      </c>
      <c r="C2017" s="11" t="s">
        <v>24</v>
      </c>
      <c r="D2017" s="4">
        <f>ROUND(E2017*F2017*1.25,0)</f>
        <v>68</v>
      </c>
      <c r="E2017" s="10">
        <v>0.65</v>
      </c>
      <c r="F2017" s="1">
        <v>84</v>
      </c>
      <c r="H2017" s="1" t="s">
        <v>3176</v>
      </c>
      <c r="I2017" s="1" t="s">
        <v>2999</v>
      </c>
      <c r="J2017" s="1" t="s">
        <v>3132</v>
      </c>
    </row>
    <row r="2018" spans="1:10" ht="15.75" customHeight="1" x14ac:dyDescent="0.25">
      <c r="A2018" s="21">
        <v>20020304</v>
      </c>
      <c r="B2018" s="11" t="s">
        <v>991</v>
      </c>
      <c r="C2018" s="11" t="s">
        <v>2123</v>
      </c>
      <c r="D2018" s="4">
        <v>14</v>
      </c>
      <c r="E2018" s="10">
        <v>0.53</v>
      </c>
      <c r="F2018" s="1">
        <v>27</v>
      </c>
      <c r="H2018" s="1" t="s">
        <v>2864</v>
      </c>
    </row>
    <row r="2019" spans="1:10" ht="15.75" customHeight="1" x14ac:dyDescent="0.25">
      <c r="A2019" s="21">
        <v>20020304</v>
      </c>
      <c r="B2019" s="11" t="s">
        <v>984</v>
      </c>
      <c r="C2019" s="11" t="s">
        <v>2118</v>
      </c>
      <c r="D2019" s="4">
        <f>ROUND(E2019*F2019*1.25,0)</f>
        <v>68</v>
      </c>
      <c r="E2019" s="10">
        <v>0.65</v>
      </c>
      <c r="F2019" s="1">
        <v>84</v>
      </c>
      <c r="H2019" s="1" t="s">
        <v>3176</v>
      </c>
      <c r="I2019" s="1" t="s">
        <v>2999</v>
      </c>
    </row>
    <row r="2020" spans="1:10" ht="15.75" customHeight="1" x14ac:dyDescent="0.25">
      <c r="A2020" s="21">
        <v>20020305</v>
      </c>
      <c r="B2020" s="11" t="s">
        <v>986</v>
      </c>
      <c r="C2020" s="11" t="s">
        <v>2675</v>
      </c>
      <c r="D2020" s="4">
        <f>G2020</f>
        <v>15</v>
      </c>
      <c r="E2020" s="10"/>
      <c r="F2020" s="1"/>
      <c r="G2020" s="1">
        <v>15</v>
      </c>
      <c r="H2020" s="1" t="s">
        <v>2830</v>
      </c>
      <c r="I2020" s="1" t="s">
        <v>2700</v>
      </c>
    </row>
    <row r="2021" spans="1:10" ht="15.75" customHeight="1" x14ac:dyDescent="0.25">
      <c r="A2021" s="21">
        <v>20020305</v>
      </c>
      <c r="B2021" s="11" t="s">
        <v>986</v>
      </c>
      <c r="C2021" s="11" t="s">
        <v>2120</v>
      </c>
      <c r="D2021" s="4">
        <v>60</v>
      </c>
      <c r="F2021" s="1"/>
      <c r="G2021" s="1">
        <v>60</v>
      </c>
      <c r="H2021" s="1" t="s">
        <v>2995</v>
      </c>
      <c r="I2021" s="1" t="s">
        <v>2702</v>
      </c>
    </row>
    <row r="2022" spans="1:10" ht="15.75" customHeight="1" x14ac:dyDescent="0.25">
      <c r="A2022" s="21">
        <v>20020305</v>
      </c>
      <c r="B2022" s="11" t="s">
        <v>988</v>
      </c>
      <c r="C2022" s="11" t="s">
        <v>2121</v>
      </c>
      <c r="D2022" s="4">
        <f>G2022</f>
        <v>15</v>
      </c>
      <c r="E2022" s="10"/>
      <c r="F2022" s="1"/>
      <c r="G2022" s="1">
        <v>15</v>
      </c>
      <c r="H2022" s="1" t="s">
        <v>2995</v>
      </c>
    </row>
    <row r="2023" spans="1:10" ht="15.75" customHeight="1" x14ac:dyDescent="0.25">
      <c r="A2023" s="21">
        <v>20020306</v>
      </c>
      <c r="B2023" s="11" t="s">
        <v>992</v>
      </c>
      <c r="C2023" s="11" t="s">
        <v>2124</v>
      </c>
      <c r="D2023" s="4">
        <v>7</v>
      </c>
      <c r="E2023" s="10"/>
      <c r="F2023" s="1"/>
      <c r="G2023" s="1">
        <v>7</v>
      </c>
      <c r="H2023" s="1" t="s">
        <v>2831</v>
      </c>
    </row>
    <row r="2024" spans="1:10" ht="15.75" customHeight="1" x14ac:dyDescent="0.25">
      <c r="A2024" s="21">
        <v>20020306</v>
      </c>
      <c r="B2024" s="11" t="s">
        <v>978</v>
      </c>
      <c r="C2024" s="11" t="s">
        <v>2675</v>
      </c>
      <c r="D2024" s="4">
        <v>23</v>
      </c>
      <c r="F2024" s="1"/>
      <c r="G2024" s="1">
        <v>23</v>
      </c>
      <c r="H2024" s="1" t="s">
        <v>2831</v>
      </c>
      <c r="I2024" s="1" t="s">
        <v>2700</v>
      </c>
    </row>
    <row r="2025" spans="1:10" ht="15.75" customHeight="1" x14ac:dyDescent="0.25">
      <c r="A2025" s="21">
        <v>20020306</v>
      </c>
      <c r="B2025" s="11" t="s">
        <v>978</v>
      </c>
      <c r="C2025" s="11" t="s">
        <v>2113</v>
      </c>
      <c r="D2025" s="4">
        <v>92</v>
      </c>
      <c r="E2025" s="10"/>
      <c r="F2025" s="1"/>
      <c r="G2025" s="1">
        <v>92</v>
      </c>
      <c r="H2025" s="1" t="s">
        <v>2831</v>
      </c>
      <c r="I2025" s="1" t="s">
        <v>2702</v>
      </c>
    </row>
    <row r="2026" spans="1:10" ht="15.75" customHeight="1" x14ac:dyDescent="0.25">
      <c r="A2026" s="21">
        <v>20020306</v>
      </c>
      <c r="B2026" s="11" t="s">
        <v>978</v>
      </c>
      <c r="C2026" s="11" t="s">
        <v>11</v>
      </c>
      <c r="D2026" s="4">
        <v>23</v>
      </c>
    </row>
    <row r="2027" spans="1:10" ht="15.75" customHeight="1" x14ac:dyDescent="0.25">
      <c r="A2027" s="21">
        <v>20020306</v>
      </c>
      <c r="B2027" s="11" t="s">
        <v>987</v>
      </c>
      <c r="C2027" s="11" t="s">
        <v>2121</v>
      </c>
      <c r="D2027" s="4">
        <v>23</v>
      </c>
      <c r="F2027" s="1"/>
      <c r="G2027" s="1">
        <v>23</v>
      </c>
      <c r="H2027" s="1" t="s">
        <v>2831</v>
      </c>
    </row>
    <row r="2028" spans="1:10" ht="15.75" customHeight="1" x14ac:dyDescent="0.25">
      <c r="A2028" s="21">
        <v>20020306</v>
      </c>
      <c r="B2028" s="11" t="s">
        <v>987</v>
      </c>
      <c r="C2028" s="11" t="s">
        <v>2120</v>
      </c>
      <c r="D2028" s="4">
        <f>ROUND(E2028*F2028*1.25,0)</f>
        <v>112</v>
      </c>
      <c r="E2028" s="1">
        <v>1.07</v>
      </c>
      <c r="F2028" s="1">
        <v>84</v>
      </c>
      <c r="H2028" s="1" t="s">
        <v>3195</v>
      </c>
      <c r="I2028" s="1" t="s">
        <v>2999</v>
      </c>
    </row>
    <row r="2029" spans="1:10" ht="15.75" customHeight="1" x14ac:dyDescent="0.25">
      <c r="A2029" s="21">
        <v>20020307</v>
      </c>
      <c r="B2029" s="11" t="s">
        <v>989</v>
      </c>
      <c r="C2029" s="11" t="s">
        <v>11</v>
      </c>
      <c r="D2029" s="4">
        <v>23</v>
      </c>
    </row>
    <row r="2030" spans="1:10" ht="15.75" customHeight="1" x14ac:dyDescent="0.25">
      <c r="A2030" s="4">
        <v>20020307</v>
      </c>
      <c r="B2030" s="1" t="s">
        <v>998</v>
      </c>
      <c r="C2030" s="11" t="s">
        <v>2131</v>
      </c>
      <c r="D2030" s="4">
        <f>G2030</f>
        <v>46</v>
      </c>
      <c r="E2030" s="10"/>
      <c r="F2030" s="1"/>
      <c r="G2030" s="1">
        <v>46</v>
      </c>
      <c r="H2030" s="1" t="s">
        <v>2831</v>
      </c>
      <c r="I2030" s="1" t="s">
        <v>2701</v>
      </c>
    </row>
    <row r="2031" spans="1:10" ht="15.75" customHeight="1" x14ac:dyDescent="0.25">
      <c r="A2031" s="21">
        <v>20020307</v>
      </c>
      <c r="B2031" s="11" t="s">
        <v>998</v>
      </c>
      <c r="C2031" s="11" t="s">
        <v>2130</v>
      </c>
      <c r="D2031" s="4">
        <f>ROUND(E2031*F2031*1.25,0)</f>
        <v>174</v>
      </c>
      <c r="E2031" s="1">
        <v>1.07</v>
      </c>
      <c r="F2031" s="1">
        <v>130</v>
      </c>
      <c r="H2031" s="1" t="s">
        <v>3195</v>
      </c>
      <c r="I2031" s="1" t="s">
        <v>2999</v>
      </c>
    </row>
    <row r="2032" spans="1:10" ht="15.75" customHeight="1" x14ac:dyDescent="0.25">
      <c r="A2032" s="21">
        <v>20020307</v>
      </c>
      <c r="B2032" s="11" t="s">
        <v>989</v>
      </c>
      <c r="C2032" s="11" t="s">
        <v>2122</v>
      </c>
      <c r="D2032" s="4">
        <f>ROUND(E2032*F2032*1.25,0)</f>
        <v>112</v>
      </c>
      <c r="E2032" s="1">
        <v>1.07</v>
      </c>
      <c r="F2032" s="1">
        <v>84</v>
      </c>
      <c r="H2032" s="1" t="s">
        <v>3195</v>
      </c>
      <c r="I2032" s="1" t="s">
        <v>2999</v>
      </c>
    </row>
    <row r="2033" spans="1:9" ht="15.75" customHeight="1" x14ac:dyDescent="0.25">
      <c r="A2033" s="21">
        <v>20020307</v>
      </c>
      <c r="B2033" s="11" t="s">
        <v>2466</v>
      </c>
      <c r="C2033" s="11" t="s">
        <v>2125</v>
      </c>
      <c r="D2033" s="4">
        <f>G2033</f>
        <v>23</v>
      </c>
      <c r="E2033" s="10"/>
      <c r="F2033" s="1"/>
      <c r="G2033" s="1">
        <v>23</v>
      </c>
      <c r="H2033" s="1" t="s">
        <v>2831</v>
      </c>
    </row>
    <row r="2034" spans="1:9" ht="15.75" customHeight="1" x14ac:dyDescent="0.25">
      <c r="A2034" s="21">
        <v>20020308</v>
      </c>
      <c r="B2034" s="11" t="s">
        <v>997</v>
      </c>
      <c r="C2034" s="11" t="s">
        <v>2129</v>
      </c>
      <c r="D2034" s="4">
        <v>15</v>
      </c>
      <c r="E2034" s="10"/>
      <c r="F2034" s="1"/>
      <c r="G2034" s="1">
        <v>8</v>
      </c>
      <c r="H2034" s="1" t="s">
        <v>2829</v>
      </c>
      <c r="I2034" s="1" t="s">
        <v>2993</v>
      </c>
    </row>
    <row r="2035" spans="1:9" ht="15.75" customHeight="1" x14ac:dyDescent="0.25">
      <c r="A2035" s="4">
        <v>20020308</v>
      </c>
      <c r="B2035" s="1" t="s">
        <v>990</v>
      </c>
      <c r="C2035" s="11" t="s">
        <v>2122</v>
      </c>
      <c r="D2035" s="4">
        <f>ROUND(E2035*F2035*1.25,0)</f>
        <v>68</v>
      </c>
      <c r="E2035" s="10">
        <v>0.65</v>
      </c>
      <c r="F2035" s="1">
        <v>84</v>
      </c>
      <c r="H2035" s="1" t="s">
        <v>3176</v>
      </c>
      <c r="I2035" s="1" t="s">
        <v>2999</v>
      </c>
    </row>
    <row r="2036" spans="1:9" ht="15.75" customHeight="1" x14ac:dyDescent="0.25">
      <c r="A2036" s="4">
        <v>20020309</v>
      </c>
      <c r="B2036" s="1" t="s">
        <v>993</v>
      </c>
      <c r="C2036" s="11" t="s">
        <v>2126</v>
      </c>
      <c r="D2036" s="4">
        <f>ROUND(E2036*F2036*1.25,0)</f>
        <v>68</v>
      </c>
      <c r="E2036" s="10">
        <v>0.65</v>
      </c>
      <c r="F2036" s="1">
        <v>84</v>
      </c>
      <c r="H2036" s="1" t="s">
        <v>3176</v>
      </c>
      <c r="I2036" s="1" t="s">
        <v>2999</v>
      </c>
    </row>
    <row r="2037" spans="1:9" ht="15.75" customHeight="1" x14ac:dyDescent="0.25">
      <c r="A2037" s="21">
        <v>20020309</v>
      </c>
      <c r="B2037" s="11" t="s">
        <v>2528</v>
      </c>
      <c r="C2037" s="11" t="s">
        <v>2127</v>
      </c>
      <c r="D2037" s="4">
        <v>15</v>
      </c>
      <c r="E2037" s="10"/>
      <c r="F2037" s="1"/>
      <c r="G2037" s="1">
        <v>8</v>
      </c>
      <c r="H2037" s="1" t="s">
        <v>2829</v>
      </c>
      <c r="I2037" s="1" t="s">
        <v>2993</v>
      </c>
    </row>
    <row r="2038" spans="1:9" ht="15.75" customHeight="1" x14ac:dyDescent="0.25">
      <c r="A2038" s="21">
        <v>20020310</v>
      </c>
      <c r="B2038" s="11" t="s">
        <v>995</v>
      </c>
      <c r="C2038" s="11" t="s">
        <v>2127</v>
      </c>
      <c r="D2038" s="4">
        <v>15</v>
      </c>
      <c r="E2038" s="10"/>
      <c r="F2038" s="1"/>
      <c r="G2038" s="1">
        <v>15</v>
      </c>
      <c r="H2038" s="1" t="s">
        <v>2994</v>
      </c>
    </row>
    <row r="2039" spans="1:9" ht="15.75" customHeight="1" x14ac:dyDescent="0.25">
      <c r="A2039" s="4">
        <v>20020310</v>
      </c>
      <c r="B2039" s="1" t="s">
        <v>995</v>
      </c>
      <c r="C2039" s="11" t="s">
        <v>2128</v>
      </c>
      <c r="D2039" s="4">
        <f>ROUND(E2039*F2039*1.25,0)</f>
        <v>112</v>
      </c>
      <c r="E2039" s="1">
        <v>1.07</v>
      </c>
      <c r="F2039" s="1">
        <v>84</v>
      </c>
      <c r="H2039" s="1" t="s">
        <v>3195</v>
      </c>
      <c r="I2039" s="1" t="s">
        <v>2999</v>
      </c>
    </row>
    <row r="2040" spans="1:9" ht="15.75" customHeight="1" x14ac:dyDescent="0.25">
      <c r="A2040" s="4">
        <v>20020311</v>
      </c>
      <c r="B2040" s="1" t="s">
        <v>996</v>
      </c>
      <c r="C2040" s="11" t="s">
        <v>2128</v>
      </c>
      <c r="D2040" s="4">
        <f>ROUND(E2040*F2040*1.25,0)</f>
        <v>112</v>
      </c>
      <c r="E2040" s="1">
        <v>1.07</v>
      </c>
      <c r="F2040" s="1">
        <v>84</v>
      </c>
      <c r="H2040" s="1" t="s">
        <v>3195</v>
      </c>
      <c r="I2040" s="1" t="s">
        <v>2999</v>
      </c>
    </row>
    <row r="2041" spans="1:9" ht="15.75" customHeight="1" x14ac:dyDescent="0.25">
      <c r="A2041" s="21">
        <v>20020311</v>
      </c>
      <c r="B2041" s="11" t="s">
        <v>999</v>
      </c>
      <c r="C2041" s="11" t="s">
        <v>2133</v>
      </c>
      <c r="D2041" s="4">
        <v>15</v>
      </c>
      <c r="E2041" s="10"/>
      <c r="F2041" s="1"/>
      <c r="G2041" s="1">
        <v>15</v>
      </c>
      <c r="H2041" s="1" t="s">
        <v>2994</v>
      </c>
    </row>
    <row r="2042" spans="1:9" ht="15.75" customHeight="1" x14ac:dyDescent="0.25">
      <c r="A2042" s="4">
        <v>20020312</v>
      </c>
      <c r="B2042" s="1" t="s">
        <v>994</v>
      </c>
      <c r="C2042" s="11" t="s">
        <v>2126</v>
      </c>
      <c r="D2042" s="4">
        <f>ROUND(E2042*F2042*1.25,0)</f>
        <v>68</v>
      </c>
      <c r="E2042" s="10">
        <v>0.65</v>
      </c>
      <c r="F2042" s="1">
        <v>84</v>
      </c>
      <c r="H2042" s="1" t="s">
        <v>3176</v>
      </c>
      <c r="I2042" s="1" t="s">
        <v>2999</v>
      </c>
    </row>
    <row r="2043" spans="1:9" ht="15.75" customHeight="1" x14ac:dyDescent="0.25">
      <c r="A2043" s="21">
        <v>20020312</v>
      </c>
      <c r="B2043" s="11" t="s">
        <v>1000</v>
      </c>
      <c r="C2043" s="11" t="s">
        <v>2133</v>
      </c>
      <c r="D2043" s="4">
        <v>15</v>
      </c>
      <c r="E2043" s="10"/>
      <c r="F2043" s="1"/>
      <c r="G2043" s="1">
        <v>8</v>
      </c>
      <c r="H2043" s="1" t="s">
        <v>2829</v>
      </c>
    </row>
    <row r="2044" spans="1:9" ht="15.75" customHeight="1" x14ac:dyDescent="0.25">
      <c r="A2044" s="4">
        <v>20020313</v>
      </c>
      <c r="B2044" s="1" t="s">
        <v>1001</v>
      </c>
      <c r="C2044" s="11" t="s">
        <v>2134</v>
      </c>
      <c r="D2044" s="4">
        <v>8</v>
      </c>
      <c r="E2044" s="10"/>
      <c r="F2044" s="1"/>
      <c r="G2044" s="1">
        <v>8</v>
      </c>
      <c r="H2044" s="1" t="s">
        <v>2789</v>
      </c>
    </row>
    <row r="2045" spans="1:9" ht="15.75" customHeight="1" x14ac:dyDescent="0.25">
      <c r="A2045" s="4">
        <v>20020313</v>
      </c>
      <c r="B2045" s="1" t="s">
        <v>1001</v>
      </c>
      <c r="C2045" s="11" t="s">
        <v>2675</v>
      </c>
      <c r="D2045" s="4">
        <v>16</v>
      </c>
      <c r="E2045" s="10"/>
      <c r="F2045" s="1"/>
      <c r="G2045" s="1">
        <v>16</v>
      </c>
      <c r="H2045" s="1" t="s">
        <v>2789</v>
      </c>
      <c r="I2045" s="1" t="s">
        <v>2700</v>
      </c>
    </row>
    <row r="2046" spans="1:9" ht="15.75" customHeight="1" x14ac:dyDescent="0.25">
      <c r="A2046" s="21">
        <v>20020313</v>
      </c>
      <c r="B2046" s="11" t="s">
        <v>1001</v>
      </c>
      <c r="C2046" s="11" t="s">
        <v>11</v>
      </c>
      <c r="D2046" s="4">
        <v>16</v>
      </c>
    </row>
    <row r="2047" spans="1:9" ht="15.75" customHeight="1" x14ac:dyDescent="0.25">
      <c r="A2047" s="4">
        <v>20020313</v>
      </c>
      <c r="B2047" s="1" t="s">
        <v>2508</v>
      </c>
      <c r="C2047" s="11" t="s">
        <v>2132</v>
      </c>
      <c r="D2047" s="4">
        <f>ROUND(E2047*F2047*1.25,0)</f>
        <v>112</v>
      </c>
      <c r="E2047" s="1">
        <v>1.07</v>
      </c>
      <c r="F2047" s="1">
        <v>84</v>
      </c>
      <c r="H2047" s="1" t="s">
        <v>3195</v>
      </c>
      <c r="I2047" s="1" t="s">
        <v>2999</v>
      </c>
    </row>
    <row r="2048" spans="1:9" ht="15.75" customHeight="1" x14ac:dyDescent="0.25">
      <c r="A2048" s="21">
        <v>20020313</v>
      </c>
      <c r="B2048" s="11" t="s">
        <v>2508</v>
      </c>
      <c r="C2048" s="11" t="s">
        <v>2133</v>
      </c>
      <c r="D2048" s="4">
        <v>16</v>
      </c>
      <c r="E2048" s="10"/>
      <c r="F2048" s="1"/>
      <c r="G2048" s="1">
        <v>16</v>
      </c>
      <c r="H2048" s="1" t="s">
        <v>2789</v>
      </c>
    </row>
    <row r="2049" spans="1:10" ht="15.75" customHeight="1" x14ac:dyDescent="0.25">
      <c r="A2049" s="21">
        <v>20020314</v>
      </c>
      <c r="B2049" s="11" t="s">
        <v>2626</v>
      </c>
      <c r="C2049" s="11" t="s">
        <v>26</v>
      </c>
      <c r="D2049" s="1">
        <v>15</v>
      </c>
      <c r="F2049" s="1"/>
      <c r="G2049" s="1">
        <v>15</v>
      </c>
      <c r="H2049" s="1" t="s">
        <v>2995</v>
      </c>
      <c r="I2049" s="1" t="s">
        <v>2996</v>
      </c>
    </row>
    <row r="2050" spans="1:10" ht="15.75" customHeight="1" x14ac:dyDescent="0.25">
      <c r="A2050" s="4">
        <v>20020314</v>
      </c>
      <c r="B2050" s="1" t="s">
        <v>2626</v>
      </c>
      <c r="C2050" s="11" t="s">
        <v>24</v>
      </c>
      <c r="D2050" s="1">
        <v>60</v>
      </c>
      <c r="F2050" s="1"/>
      <c r="G2050" s="1">
        <v>60</v>
      </c>
      <c r="H2050" s="1" t="s">
        <v>2995</v>
      </c>
      <c r="I2050" s="1" t="s">
        <v>2997</v>
      </c>
    </row>
    <row r="2051" spans="1:10" ht="15.75" customHeight="1" x14ac:dyDescent="0.25">
      <c r="A2051" s="4">
        <v>20020315</v>
      </c>
      <c r="B2051" s="1" t="s">
        <v>2625</v>
      </c>
      <c r="C2051" s="11" t="s">
        <v>24</v>
      </c>
      <c r="D2051" s="1">
        <v>60</v>
      </c>
      <c r="F2051" s="1"/>
      <c r="G2051" s="1">
        <v>60</v>
      </c>
      <c r="H2051" s="1" t="s">
        <v>2995</v>
      </c>
      <c r="I2051" s="1" t="s">
        <v>2997</v>
      </c>
    </row>
    <row r="2052" spans="1:10" ht="15.75" customHeight="1" x14ac:dyDescent="0.25">
      <c r="A2052" s="21">
        <v>20020315</v>
      </c>
      <c r="B2052" s="11" t="s">
        <v>2625</v>
      </c>
      <c r="C2052" s="11" t="s">
        <v>26</v>
      </c>
      <c r="D2052" s="1">
        <v>15</v>
      </c>
      <c r="F2052" s="1"/>
      <c r="G2052" s="1">
        <v>15</v>
      </c>
      <c r="H2052" s="1" t="s">
        <v>2995</v>
      </c>
      <c r="I2052" s="1" t="s">
        <v>2996</v>
      </c>
    </row>
    <row r="2053" spans="1:10" ht="15.75" customHeight="1" x14ac:dyDescent="0.25">
      <c r="A2053" s="21">
        <v>20030101</v>
      </c>
      <c r="B2053" s="11" t="s">
        <v>1004</v>
      </c>
      <c r="C2053" s="11" t="s">
        <v>2136</v>
      </c>
      <c r="D2053" s="10">
        <f>ROUND(E2053*F2053*1.25,0)</f>
        <v>17</v>
      </c>
      <c r="E2053" s="1">
        <v>0.92</v>
      </c>
      <c r="F2053" s="1">
        <v>15</v>
      </c>
      <c r="H2053" s="1" t="s">
        <v>3192</v>
      </c>
      <c r="I2053" s="1" t="s">
        <v>2999</v>
      </c>
    </row>
    <row r="2054" spans="1:10" ht="15.75" customHeight="1" x14ac:dyDescent="0.25">
      <c r="A2054" s="4">
        <v>20030101</v>
      </c>
      <c r="B2054" s="11" t="s">
        <v>1002</v>
      </c>
      <c r="C2054" s="11" t="s">
        <v>2135</v>
      </c>
      <c r="D2054" s="4">
        <f>ROUND(E2054*F2054*1.25,0)</f>
        <v>97</v>
      </c>
      <c r="E2054" s="1">
        <v>0.92</v>
      </c>
      <c r="F2054" s="1">
        <v>84</v>
      </c>
      <c r="H2054" s="1" t="s">
        <v>3192</v>
      </c>
      <c r="I2054" s="1" t="s">
        <v>2999</v>
      </c>
    </row>
    <row r="2055" spans="1:10" ht="15.75" customHeight="1" x14ac:dyDescent="0.25">
      <c r="A2055" s="4">
        <v>20030101</v>
      </c>
      <c r="B2055" s="11" t="s">
        <v>1002</v>
      </c>
      <c r="C2055" s="11" t="s">
        <v>27</v>
      </c>
      <c r="D2055" s="4">
        <f>ROUND(E2055*F2055*1.25,0)</f>
        <v>150</v>
      </c>
      <c r="E2055" s="1">
        <v>0.92</v>
      </c>
      <c r="F2055" s="1">
        <v>130</v>
      </c>
      <c r="H2055" s="1" t="s">
        <v>3192</v>
      </c>
      <c r="I2055" s="1" t="s">
        <v>2999</v>
      </c>
    </row>
    <row r="2056" spans="1:10" ht="15.75" customHeight="1" x14ac:dyDescent="0.25">
      <c r="A2056" s="4">
        <v>20030102</v>
      </c>
      <c r="B2056" s="1" t="s">
        <v>1003</v>
      </c>
      <c r="C2056" s="11" t="s">
        <v>29</v>
      </c>
      <c r="D2056" s="1">
        <v>36</v>
      </c>
      <c r="F2056" s="1"/>
      <c r="G2056" s="1">
        <v>36</v>
      </c>
      <c r="H2056" s="1" t="s">
        <v>2867</v>
      </c>
      <c r="I2056" s="1" t="s">
        <v>2701</v>
      </c>
    </row>
    <row r="2057" spans="1:10" ht="15.75" customHeight="1" x14ac:dyDescent="0.25">
      <c r="A2057" s="21">
        <v>20030102</v>
      </c>
      <c r="B2057" s="11" t="s">
        <v>2671</v>
      </c>
      <c r="C2057" s="11" t="s">
        <v>2136</v>
      </c>
      <c r="D2057" s="10">
        <f>ROUND(E2057*F2057*1.25,0)</f>
        <v>17</v>
      </c>
      <c r="E2057" s="1">
        <v>0.92</v>
      </c>
      <c r="F2057" s="1">
        <v>15</v>
      </c>
      <c r="H2057" s="1" t="s">
        <v>3192</v>
      </c>
      <c r="I2057" s="1" t="s">
        <v>2999</v>
      </c>
    </row>
    <row r="2058" spans="1:10" ht="15.75" customHeight="1" x14ac:dyDescent="0.25">
      <c r="A2058" s="21">
        <v>20030102</v>
      </c>
      <c r="B2058" s="11" t="s">
        <v>1003</v>
      </c>
      <c r="C2058" s="11" t="s">
        <v>2135</v>
      </c>
      <c r="D2058" s="4">
        <f>ROUND(E2058*F2058*1.25,0)</f>
        <v>97</v>
      </c>
      <c r="E2058" s="1">
        <v>0.92</v>
      </c>
      <c r="F2058" s="1">
        <v>84</v>
      </c>
      <c r="H2058" s="1" t="s">
        <v>3192</v>
      </c>
      <c r="I2058" s="1" t="s">
        <v>2999</v>
      </c>
    </row>
    <row r="2059" spans="1:10" ht="15.75" customHeight="1" x14ac:dyDescent="0.25">
      <c r="A2059" s="21">
        <v>20030103</v>
      </c>
      <c r="B2059" s="11" t="s">
        <v>1005</v>
      </c>
      <c r="C2059" s="11" t="s">
        <v>2136</v>
      </c>
      <c r="D2059" s="4">
        <f>ROUND(E2059*F2059*1.25,0)</f>
        <v>20</v>
      </c>
      <c r="E2059" s="10">
        <v>1.04</v>
      </c>
      <c r="F2059" s="1">
        <v>15</v>
      </c>
      <c r="H2059" s="1" t="s">
        <v>3192</v>
      </c>
      <c r="I2059" s="1" t="s">
        <v>2999</v>
      </c>
    </row>
    <row r="2060" spans="1:10" ht="15.75" customHeight="1" x14ac:dyDescent="0.25">
      <c r="A2060" s="4">
        <v>20030103</v>
      </c>
      <c r="B2060" s="1" t="s">
        <v>1005</v>
      </c>
      <c r="C2060" s="11" t="s">
        <v>27</v>
      </c>
      <c r="D2060" s="4">
        <f>ROUND(E2060*F2060*1.25,0)</f>
        <v>169</v>
      </c>
      <c r="E2060" s="10">
        <v>1.04</v>
      </c>
      <c r="F2060" s="1">
        <v>130</v>
      </c>
      <c r="G2060" s="4"/>
      <c r="H2060" s="1" t="s">
        <v>3196</v>
      </c>
      <c r="I2060" s="1" t="s">
        <v>2999</v>
      </c>
      <c r="J2060" s="1" t="s">
        <v>3132</v>
      </c>
    </row>
    <row r="2061" spans="1:10" ht="15.75" customHeight="1" x14ac:dyDescent="0.25">
      <c r="A2061" s="26">
        <v>20030103</v>
      </c>
      <c r="B2061" s="25" t="s">
        <v>1005</v>
      </c>
      <c r="C2061" s="25" t="s">
        <v>24</v>
      </c>
      <c r="D2061" s="4">
        <v>97</v>
      </c>
      <c r="H2061" s="1" t="s">
        <v>3196</v>
      </c>
    </row>
    <row r="2062" spans="1:10" ht="15.75" customHeight="1" x14ac:dyDescent="0.25">
      <c r="A2062" s="21">
        <v>20030104</v>
      </c>
      <c r="B2062" s="11" t="s">
        <v>2679</v>
      </c>
      <c r="C2062" s="11" t="s">
        <v>26</v>
      </c>
      <c r="D2062" s="10">
        <f t="shared" ref="D2062:D2068" si="52">ROUND(E2062*F2062*1.25,0)</f>
        <v>17</v>
      </c>
      <c r="E2062" s="1">
        <v>0.92</v>
      </c>
      <c r="F2062" s="1">
        <v>15</v>
      </c>
      <c r="H2062" s="1" t="s">
        <v>3192</v>
      </c>
      <c r="I2062" s="1" t="s">
        <v>2999</v>
      </c>
    </row>
    <row r="2063" spans="1:10" ht="15.75" customHeight="1" x14ac:dyDescent="0.25">
      <c r="A2063" s="21">
        <v>20030104</v>
      </c>
      <c r="B2063" s="11" t="s">
        <v>2679</v>
      </c>
      <c r="C2063" s="11" t="s">
        <v>12</v>
      </c>
      <c r="D2063" s="4">
        <f t="shared" si="52"/>
        <v>39</v>
      </c>
      <c r="E2063" s="10">
        <v>1.04</v>
      </c>
      <c r="F2063" s="1">
        <v>30</v>
      </c>
      <c r="G2063" s="4"/>
      <c r="H2063" s="1" t="s">
        <v>3192</v>
      </c>
      <c r="I2063" s="1" t="s">
        <v>2701</v>
      </c>
      <c r="J2063" s="1" t="s">
        <v>3132</v>
      </c>
    </row>
    <row r="2064" spans="1:10" ht="15.75" customHeight="1" x14ac:dyDescent="0.25">
      <c r="A2064" s="21">
        <v>20030104</v>
      </c>
      <c r="B2064" s="11" t="s">
        <v>2679</v>
      </c>
      <c r="C2064" s="11" t="s">
        <v>13</v>
      </c>
      <c r="D2064" s="4">
        <f t="shared" si="52"/>
        <v>78</v>
      </c>
      <c r="E2064" s="10">
        <v>1.04</v>
      </c>
      <c r="F2064" s="1">
        <v>60</v>
      </c>
      <c r="G2064" s="4"/>
      <c r="H2064" s="1" t="s">
        <v>3192</v>
      </c>
      <c r="I2064" s="1" t="s">
        <v>2702</v>
      </c>
      <c r="J2064" s="1" t="s">
        <v>3132</v>
      </c>
    </row>
    <row r="2065" spans="1:46" ht="15.75" customHeight="1" x14ac:dyDescent="0.25">
      <c r="A2065" s="4">
        <v>20030104</v>
      </c>
      <c r="B2065" s="1" t="s">
        <v>2679</v>
      </c>
      <c r="C2065" s="11" t="s">
        <v>27</v>
      </c>
      <c r="D2065" s="4">
        <f t="shared" si="52"/>
        <v>150</v>
      </c>
      <c r="E2065" s="1">
        <v>0.92</v>
      </c>
      <c r="F2065" s="1">
        <v>130</v>
      </c>
      <c r="H2065" s="1" t="s">
        <v>3192</v>
      </c>
      <c r="I2065" s="1" t="s">
        <v>2999</v>
      </c>
      <c r="J2065" s="1" t="s">
        <v>3132</v>
      </c>
    </row>
    <row r="2066" spans="1:46" ht="15.75" customHeight="1" x14ac:dyDescent="0.25">
      <c r="A2066" s="4">
        <v>20030104</v>
      </c>
      <c r="B2066" s="1" t="s">
        <v>2679</v>
      </c>
      <c r="C2066" s="11" t="s">
        <v>24</v>
      </c>
      <c r="D2066" s="10">
        <f t="shared" si="52"/>
        <v>97</v>
      </c>
      <c r="E2066" s="1">
        <v>0.92</v>
      </c>
      <c r="F2066" s="1">
        <v>84</v>
      </c>
      <c r="H2066" s="1" t="s">
        <v>3192</v>
      </c>
      <c r="I2066" s="1" t="s">
        <v>2999</v>
      </c>
      <c r="J2066" s="1" t="s">
        <v>3132</v>
      </c>
    </row>
    <row r="2067" spans="1:46" ht="15.75" customHeight="1" x14ac:dyDescent="0.25">
      <c r="A2067" s="4">
        <v>20030105</v>
      </c>
      <c r="B2067" s="1" t="s">
        <v>3094</v>
      </c>
      <c r="C2067" s="11" t="s">
        <v>24</v>
      </c>
      <c r="D2067" s="1">
        <f t="shared" si="52"/>
        <v>68</v>
      </c>
      <c r="E2067" s="1">
        <v>0.65</v>
      </c>
      <c r="F2067" s="1">
        <v>84</v>
      </c>
      <c r="G2067" s="4"/>
      <c r="H2067" s="1" t="s">
        <v>3151</v>
      </c>
      <c r="I2067" s="1" t="s">
        <v>3155</v>
      </c>
      <c r="J2067" s="1" t="s">
        <v>3132</v>
      </c>
    </row>
    <row r="2068" spans="1:46" ht="15.75" customHeight="1" x14ac:dyDescent="0.25">
      <c r="A2068" s="4">
        <v>20030105</v>
      </c>
      <c r="B2068" s="1" t="s">
        <v>3094</v>
      </c>
      <c r="C2068" s="11" t="s">
        <v>27</v>
      </c>
      <c r="D2068" s="4">
        <f t="shared" si="52"/>
        <v>106</v>
      </c>
      <c r="E2068" s="1">
        <v>0.65</v>
      </c>
      <c r="F2068" s="1">
        <v>130</v>
      </c>
      <c r="G2068" s="4"/>
      <c r="H2068" s="1" t="s">
        <v>3151</v>
      </c>
      <c r="I2068" s="1" t="s">
        <v>3155</v>
      </c>
      <c r="J2068" s="1" t="s">
        <v>3132</v>
      </c>
    </row>
    <row r="2069" spans="1:46" ht="15.75" customHeight="1" x14ac:dyDescent="0.25">
      <c r="A2069" s="21">
        <v>20030105</v>
      </c>
      <c r="B2069" s="11" t="s">
        <v>3094</v>
      </c>
      <c r="C2069" s="11" t="s">
        <v>26</v>
      </c>
      <c r="D2069" s="1">
        <v>18</v>
      </c>
      <c r="E2069" s="4"/>
      <c r="F2069" s="1" t="s">
        <v>3132</v>
      </c>
      <c r="G2069" s="4">
        <v>18</v>
      </c>
      <c r="H2069" s="1" t="s">
        <v>3152</v>
      </c>
      <c r="I2069" s="1" t="s">
        <v>3153</v>
      </c>
      <c r="J2069" s="1" t="s">
        <v>3132</v>
      </c>
    </row>
    <row r="2070" spans="1:46" ht="15.75" customHeight="1" x14ac:dyDescent="0.25">
      <c r="A2070" s="21">
        <v>20030201</v>
      </c>
      <c r="B2070" s="11" t="s">
        <v>1010</v>
      </c>
      <c r="C2070" s="11" t="s">
        <v>2142</v>
      </c>
      <c r="D2070" s="1">
        <v>20</v>
      </c>
      <c r="F2070" s="1"/>
      <c r="G2070" s="1">
        <v>20</v>
      </c>
      <c r="H2070" s="1" t="s">
        <v>2931</v>
      </c>
      <c r="I2070" s="1" t="s">
        <v>2932</v>
      </c>
    </row>
    <row r="2071" spans="1:46" s="11" customFormat="1" ht="15.75" customHeight="1" x14ac:dyDescent="0.25">
      <c r="A2071" s="21">
        <v>20030201</v>
      </c>
      <c r="B2071" s="11" t="s">
        <v>1006</v>
      </c>
      <c r="C2071" s="11" t="s">
        <v>2137</v>
      </c>
      <c r="D2071" s="1">
        <v>35</v>
      </c>
      <c r="E2071" s="1"/>
      <c r="F2071" s="1"/>
      <c r="G2071" s="1">
        <v>35</v>
      </c>
      <c r="H2071" s="1" t="s">
        <v>2931</v>
      </c>
      <c r="I2071" s="1" t="s">
        <v>2700</v>
      </c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  <c r="AD2071" s="1"/>
      <c r="AE2071" s="1"/>
      <c r="AF2071" s="1"/>
      <c r="AG2071" s="1"/>
      <c r="AH2071" s="1"/>
      <c r="AI2071" s="1"/>
      <c r="AJ2071" s="1"/>
      <c r="AK2071" s="1"/>
      <c r="AL2071" s="1"/>
      <c r="AM2071" s="1"/>
      <c r="AN2071" s="1"/>
      <c r="AO2071" s="1"/>
      <c r="AP2071" s="1"/>
      <c r="AQ2071" s="1"/>
      <c r="AR2071" s="1"/>
      <c r="AS2071" s="1"/>
      <c r="AT2071" s="1"/>
    </row>
    <row r="2072" spans="1:46" s="11" customFormat="1" ht="15.75" customHeight="1" x14ac:dyDescent="0.25">
      <c r="A2072" s="4">
        <v>20030201</v>
      </c>
      <c r="B2072" s="1" t="s">
        <v>1007</v>
      </c>
      <c r="C2072" s="11" t="s">
        <v>2138</v>
      </c>
      <c r="D2072" s="1">
        <f>ROUND(E2072*F2072*1.25,0)</f>
        <v>76</v>
      </c>
      <c r="E2072" s="1">
        <f>ROUND(170/237,2)</f>
        <v>0.72</v>
      </c>
      <c r="F2072" s="1">
        <v>84</v>
      </c>
      <c r="G2072" s="1"/>
      <c r="H2072" s="1" t="s">
        <v>2931</v>
      </c>
      <c r="I2072" s="1" t="s">
        <v>2999</v>
      </c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  <c r="AD2072" s="1"/>
      <c r="AE2072" s="1"/>
      <c r="AF2072" s="1"/>
      <c r="AG2072" s="1"/>
      <c r="AH2072" s="1"/>
      <c r="AI2072" s="1"/>
      <c r="AJ2072" s="1"/>
      <c r="AK2072" s="1"/>
      <c r="AL2072" s="1"/>
      <c r="AM2072" s="1"/>
      <c r="AN2072" s="1"/>
      <c r="AO2072" s="1"/>
      <c r="AP2072" s="1"/>
      <c r="AQ2072" s="1"/>
      <c r="AR2072" s="1"/>
      <c r="AS2072" s="1"/>
      <c r="AT2072" s="1"/>
    </row>
    <row r="2073" spans="1:46" ht="15.75" customHeight="1" x14ac:dyDescent="0.25">
      <c r="A2073" s="4">
        <v>20030202</v>
      </c>
      <c r="B2073" s="1" t="s">
        <v>1008</v>
      </c>
      <c r="C2073" s="11" t="s">
        <v>25</v>
      </c>
      <c r="D2073" s="4">
        <f>G2073</f>
        <v>11</v>
      </c>
      <c r="F2073" s="1">
        <v>5</v>
      </c>
      <c r="G2073" s="1">
        <v>11</v>
      </c>
      <c r="H2073" s="1" t="s">
        <v>2832</v>
      </c>
    </row>
    <row r="2074" spans="1:46" ht="15.75" customHeight="1" x14ac:dyDescent="0.25">
      <c r="A2074" s="4">
        <v>20030202</v>
      </c>
      <c r="B2074" s="1" t="s">
        <v>1008</v>
      </c>
      <c r="C2074" s="11" t="s">
        <v>29</v>
      </c>
      <c r="D2074" s="4">
        <v>40</v>
      </c>
      <c r="F2074" s="1"/>
      <c r="G2074" s="1">
        <v>40</v>
      </c>
      <c r="H2074" s="1" t="s">
        <v>2832</v>
      </c>
      <c r="I2074" s="1" t="s">
        <v>2701</v>
      </c>
    </row>
    <row r="2075" spans="1:46" ht="15.75" customHeight="1" x14ac:dyDescent="0.25">
      <c r="A2075" s="21">
        <v>20030202</v>
      </c>
      <c r="B2075" s="11" t="s">
        <v>1008</v>
      </c>
      <c r="C2075" s="11" t="s">
        <v>13</v>
      </c>
      <c r="D2075" s="4">
        <v>80</v>
      </c>
      <c r="F2075" s="1">
        <v>60</v>
      </c>
      <c r="H2075" s="1" t="s">
        <v>2832</v>
      </c>
      <c r="I2075" s="1" t="s">
        <v>2702</v>
      </c>
    </row>
    <row r="2076" spans="1:46" ht="15.75" customHeight="1" x14ac:dyDescent="0.25">
      <c r="A2076" s="4">
        <v>20030202</v>
      </c>
      <c r="B2076" s="1" t="s">
        <v>1012</v>
      </c>
      <c r="C2076" s="11" t="s">
        <v>2143</v>
      </c>
      <c r="D2076" s="4">
        <f>ROUND(E2076*F2076*1.25,0)</f>
        <v>150</v>
      </c>
      <c r="E2076" s="1">
        <v>0.92</v>
      </c>
      <c r="F2076" s="1">
        <v>130</v>
      </c>
      <c r="H2076" s="1" t="s">
        <v>3192</v>
      </c>
      <c r="I2076" s="1" t="s">
        <v>2999</v>
      </c>
    </row>
    <row r="2077" spans="1:46" ht="15.75" customHeight="1" x14ac:dyDescent="0.25">
      <c r="A2077" s="4">
        <v>20030202</v>
      </c>
      <c r="B2077" s="1" t="s">
        <v>1008</v>
      </c>
      <c r="C2077" s="11" t="s">
        <v>2675</v>
      </c>
      <c r="D2077" s="10">
        <f>ROUND(E2077*F2077*1.25,0)</f>
        <v>58</v>
      </c>
      <c r="E2077" s="1">
        <v>0.92</v>
      </c>
      <c r="F2077" s="1">
        <v>50</v>
      </c>
      <c r="H2077" s="1" t="s">
        <v>3192</v>
      </c>
      <c r="I2077" s="1" t="s">
        <v>2999</v>
      </c>
    </row>
    <row r="2078" spans="1:46" ht="15.75" customHeight="1" x14ac:dyDescent="0.25">
      <c r="A2078" s="21">
        <v>20030202</v>
      </c>
      <c r="B2078" s="11" t="s">
        <v>1008</v>
      </c>
      <c r="C2078" s="11" t="s">
        <v>2140</v>
      </c>
      <c r="D2078" s="4">
        <v>20</v>
      </c>
      <c r="F2078" s="1"/>
      <c r="G2078" s="1">
        <v>20</v>
      </c>
      <c r="H2078" s="1" t="s">
        <v>2832</v>
      </c>
    </row>
    <row r="2079" spans="1:46" ht="15.75" customHeight="1" x14ac:dyDescent="0.25">
      <c r="A2079" s="4">
        <v>20030202</v>
      </c>
      <c r="B2079" s="11" t="s">
        <v>1008</v>
      </c>
      <c r="C2079" s="11" t="s">
        <v>2139</v>
      </c>
      <c r="D2079" s="4">
        <f>ROUND(E2079*F2079*1.25,0)</f>
        <v>97</v>
      </c>
      <c r="E2079" s="1">
        <v>0.92</v>
      </c>
      <c r="F2079" s="1">
        <v>84</v>
      </c>
      <c r="H2079" s="1" t="s">
        <v>3192</v>
      </c>
      <c r="I2079" s="1" t="s">
        <v>2999</v>
      </c>
    </row>
    <row r="2080" spans="1:46" ht="15.75" customHeight="1" x14ac:dyDescent="0.25">
      <c r="A2080" s="4">
        <v>20030203</v>
      </c>
      <c r="B2080" s="1" t="s">
        <v>1009</v>
      </c>
      <c r="C2080" s="11" t="s">
        <v>27</v>
      </c>
      <c r="D2080" s="4">
        <f>ROUND(E2080*F2080*1.25,0)</f>
        <v>150</v>
      </c>
      <c r="E2080" s="1">
        <v>0.92</v>
      </c>
      <c r="F2080" s="1">
        <v>130</v>
      </c>
      <c r="H2080" s="1" t="s">
        <v>3192</v>
      </c>
      <c r="I2080" s="1" t="s">
        <v>2999</v>
      </c>
    </row>
    <row r="2081" spans="1:9" ht="15.75" customHeight="1" x14ac:dyDescent="0.25">
      <c r="A2081" s="4">
        <v>20030203</v>
      </c>
      <c r="B2081" s="1" t="s">
        <v>1009</v>
      </c>
      <c r="C2081" s="11" t="s">
        <v>2141</v>
      </c>
      <c r="D2081" s="4">
        <f>ROUND(E2081*F2081*1.25,0)</f>
        <v>97</v>
      </c>
      <c r="E2081" s="1">
        <v>0.92</v>
      </c>
      <c r="F2081" s="1">
        <v>84</v>
      </c>
      <c r="H2081" s="1" t="s">
        <v>3192</v>
      </c>
      <c r="I2081" s="1" t="s">
        <v>2999</v>
      </c>
    </row>
    <row r="2082" spans="1:9" ht="15.75" customHeight="1" x14ac:dyDescent="0.25">
      <c r="A2082" s="21">
        <v>20030203</v>
      </c>
      <c r="B2082" s="11" t="s">
        <v>1011</v>
      </c>
      <c r="C2082" s="11" t="s">
        <v>2142</v>
      </c>
      <c r="D2082" s="4">
        <f>G2082</f>
        <v>20</v>
      </c>
      <c r="F2082" s="1"/>
      <c r="G2082" s="1">
        <v>20</v>
      </c>
      <c r="H2082" s="1" t="s">
        <v>2832</v>
      </c>
    </row>
    <row r="2083" spans="1:9" ht="15.75" customHeight="1" x14ac:dyDescent="0.25">
      <c r="A2083" s="21">
        <v>20030204</v>
      </c>
      <c r="B2083" s="11" t="s">
        <v>2645</v>
      </c>
      <c r="C2083" s="11" t="s">
        <v>26</v>
      </c>
      <c r="D2083" s="1">
        <v>20</v>
      </c>
      <c r="F2083" s="1"/>
      <c r="G2083" s="1">
        <v>20</v>
      </c>
      <c r="H2083" s="1" t="s">
        <v>2931</v>
      </c>
      <c r="I2083" s="1" t="s">
        <v>2932</v>
      </c>
    </row>
    <row r="2084" spans="1:9" ht="15.75" customHeight="1" x14ac:dyDescent="0.25">
      <c r="A2084" s="4">
        <v>20030204</v>
      </c>
      <c r="B2084" s="1" t="s">
        <v>2645</v>
      </c>
      <c r="C2084" s="11" t="s">
        <v>24</v>
      </c>
      <c r="D2084" s="1">
        <f>ROUND(E2084*F2084*1.25,0)</f>
        <v>76</v>
      </c>
      <c r="E2084" s="1">
        <f>ROUND(170/237,2)</f>
        <v>0.72</v>
      </c>
      <c r="F2084" s="1">
        <v>84</v>
      </c>
      <c r="H2084" s="1" t="s">
        <v>2931</v>
      </c>
      <c r="I2084" s="1" t="s">
        <v>2999</v>
      </c>
    </row>
    <row r="2085" spans="1:9" ht="15.75" customHeight="1" x14ac:dyDescent="0.25">
      <c r="A2085" s="21">
        <v>20030301</v>
      </c>
      <c r="B2085" s="11" t="s">
        <v>1014</v>
      </c>
      <c r="C2085" s="11" t="s">
        <v>2145</v>
      </c>
      <c r="D2085" s="4">
        <v>14</v>
      </c>
      <c r="F2085" s="1"/>
      <c r="G2085" s="1">
        <v>14</v>
      </c>
      <c r="H2085" s="1" t="s">
        <v>3152</v>
      </c>
      <c r="I2085" s="1" t="s">
        <v>3186</v>
      </c>
    </row>
    <row r="2086" spans="1:9" ht="15.75" customHeight="1" x14ac:dyDescent="0.25">
      <c r="A2086" s="4">
        <v>20030302</v>
      </c>
      <c r="B2086" s="1" t="s">
        <v>1015</v>
      </c>
      <c r="C2086" s="11" t="s">
        <v>2146</v>
      </c>
      <c r="D2086" s="4">
        <f>ROUND(E2086*F2086*1.25,0)</f>
        <v>109</v>
      </c>
      <c r="E2086" s="10">
        <v>1.04</v>
      </c>
      <c r="F2086" s="1">
        <v>84</v>
      </c>
      <c r="H2086" s="1" t="s">
        <v>3196</v>
      </c>
      <c r="I2086" s="1" t="s">
        <v>2999</v>
      </c>
    </row>
    <row r="2087" spans="1:9" ht="15.75" customHeight="1" x14ac:dyDescent="0.25">
      <c r="A2087" s="21">
        <v>20030302</v>
      </c>
      <c r="B2087" s="11" t="s">
        <v>1017</v>
      </c>
      <c r="C2087" s="11" t="s">
        <v>2147</v>
      </c>
      <c r="D2087" s="4">
        <f>ROUND(E2087*F2087*1.25,0)</f>
        <v>20</v>
      </c>
      <c r="E2087" s="10">
        <v>1.04</v>
      </c>
      <c r="F2087" s="1">
        <v>15</v>
      </c>
      <c r="H2087" s="1" t="s">
        <v>3196</v>
      </c>
      <c r="I2087" s="1" t="s">
        <v>2999</v>
      </c>
    </row>
    <row r="2088" spans="1:9" ht="15.75" customHeight="1" x14ac:dyDescent="0.25">
      <c r="A2088" s="1">
        <v>20030303</v>
      </c>
      <c r="B2088" s="1" t="s">
        <v>1013</v>
      </c>
      <c r="C2088" s="11" t="s">
        <v>27</v>
      </c>
      <c r="D2088" s="4">
        <f>ROUND(E2088*F2088*1.25,0)</f>
        <v>169</v>
      </c>
      <c r="E2088" s="10">
        <v>1.04</v>
      </c>
      <c r="F2088" s="1">
        <v>130</v>
      </c>
      <c r="H2088" s="1" t="s">
        <v>3196</v>
      </c>
      <c r="I2088" s="1" t="s">
        <v>2999</v>
      </c>
    </row>
    <row r="2089" spans="1:9" ht="15.75" customHeight="1" x14ac:dyDescent="0.25">
      <c r="A2089" s="4">
        <v>20030303</v>
      </c>
      <c r="B2089" s="1" t="s">
        <v>1013</v>
      </c>
      <c r="C2089" s="11" t="s">
        <v>2144</v>
      </c>
      <c r="D2089" s="4">
        <f>ROUND(E2089*F2089*1.25,0)</f>
        <v>109</v>
      </c>
      <c r="E2089" s="10">
        <v>1.04</v>
      </c>
      <c r="F2089" s="1">
        <v>84</v>
      </c>
      <c r="H2089" s="1" t="s">
        <v>3196</v>
      </c>
      <c r="I2089" s="1" t="s">
        <v>2999</v>
      </c>
    </row>
    <row r="2090" spans="1:9" ht="15.75" customHeight="1" x14ac:dyDescent="0.25">
      <c r="A2090" s="21">
        <v>20030303</v>
      </c>
      <c r="B2090" s="11" t="s">
        <v>1019</v>
      </c>
      <c r="C2090" s="11" t="s">
        <v>2149</v>
      </c>
      <c r="D2090" s="1">
        <v>31</v>
      </c>
      <c r="F2090" s="1"/>
      <c r="H2090" s="1" t="s">
        <v>2833</v>
      </c>
    </row>
    <row r="2091" spans="1:9" ht="15.75" customHeight="1" x14ac:dyDescent="0.25">
      <c r="A2091" s="4">
        <v>20030304</v>
      </c>
      <c r="B2091" s="11" t="s">
        <v>1016</v>
      </c>
      <c r="C2091" s="11" t="s">
        <v>2146</v>
      </c>
      <c r="D2091" s="4">
        <f>ROUND(E2091*F2091*1.25,0)</f>
        <v>71</v>
      </c>
      <c r="E2091" s="1">
        <v>0.68</v>
      </c>
      <c r="F2091" s="1">
        <v>84</v>
      </c>
      <c r="H2091" s="1" t="s">
        <v>3188</v>
      </c>
      <c r="I2091" s="1" t="s">
        <v>2999</v>
      </c>
    </row>
    <row r="2092" spans="1:9" ht="15.75" customHeight="1" x14ac:dyDescent="0.25">
      <c r="A2092" s="21">
        <v>20030304</v>
      </c>
      <c r="B2092" s="11" t="s">
        <v>2524</v>
      </c>
      <c r="C2092" s="11" t="s">
        <v>2150</v>
      </c>
      <c r="D2092" s="4">
        <v>14</v>
      </c>
      <c r="F2092" s="1"/>
      <c r="G2092" s="1">
        <v>14</v>
      </c>
      <c r="H2092" s="1" t="s">
        <v>3152</v>
      </c>
      <c r="I2092" s="1" t="s">
        <v>3186</v>
      </c>
    </row>
    <row r="2093" spans="1:9" ht="15.75" customHeight="1" x14ac:dyDescent="0.25">
      <c r="A2093" s="1">
        <v>20030305</v>
      </c>
      <c r="B2093" s="1" t="s">
        <v>1018</v>
      </c>
      <c r="C2093" s="11" t="s">
        <v>27</v>
      </c>
      <c r="D2093" s="4">
        <f>ROUND(E2093*F2093*1.25,0)</f>
        <v>76</v>
      </c>
      <c r="E2093" s="1">
        <v>0.47</v>
      </c>
      <c r="F2093" s="1">
        <v>130</v>
      </c>
      <c r="H2093" s="1" t="s">
        <v>3187</v>
      </c>
      <c r="I2093" s="1" t="s">
        <v>2999</v>
      </c>
    </row>
    <row r="2094" spans="1:9" ht="15.75" customHeight="1" x14ac:dyDescent="0.25">
      <c r="A2094" s="4">
        <v>20030305</v>
      </c>
      <c r="B2094" s="11" t="s">
        <v>1018</v>
      </c>
      <c r="C2094" s="11" t="s">
        <v>2148</v>
      </c>
      <c r="D2094" s="4">
        <f>ROUND(E2094*F2094*1.25,0)</f>
        <v>49</v>
      </c>
      <c r="E2094" s="1">
        <v>0.47</v>
      </c>
      <c r="F2094" s="1">
        <v>84</v>
      </c>
      <c r="H2094" s="1" t="s">
        <v>3187</v>
      </c>
      <c r="I2094" s="1" t="s">
        <v>2999</v>
      </c>
    </row>
    <row r="2095" spans="1:9" ht="15.75" customHeight="1" x14ac:dyDescent="0.25">
      <c r="A2095" s="21">
        <v>20030305</v>
      </c>
      <c r="B2095" s="11" t="s">
        <v>2516</v>
      </c>
      <c r="C2095" s="11" t="s">
        <v>2150</v>
      </c>
      <c r="D2095" s="4">
        <v>13</v>
      </c>
      <c r="F2095" s="1"/>
      <c r="G2095" s="1">
        <v>13</v>
      </c>
      <c r="H2095" s="1" t="s">
        <v>3152</v>
      </c>
      <c r="I2095" s="1" t="s">
        <v>3185</v>
      </c>
    </row>
    <row r="2096" spans="1:9" ht="15.75" customHeight="1" x14ac:dyDescent="0.25">
      <c r="A2096" s="21">
        <v>20030401</v>
      </c>
      <c r="B2096" s="11" t="s">
        <v>1026</v>
      </c>
      <c r="C2096" s="11" t="s">
        <v>2154</v>
      </c>
      <c r="D2096" s="4">
        <f>ROUND(E2096*F2096*1.25,0)</f>
        <v>20</v>
      </c>
      <c r="E2096" s="10">
        <v>1.04</v>
      </c>
      <c r="F2096" s="1">
        <v>15</v>
      </c>
      <c r="H2096" s="1" t="s">
        <v>3196</v>
      </c>
      <c r="I2096" s="1" t="s">
        <v>2999</v>
      </c>
    </row>
    <row r="2097" spans="1:46" ht="15.75" customHeight="1" x14ac:dyDescent="0.25">
      <c r="A2097" s="4">
        <v>20030401</v>
      </c>
      <c r="B2097" s="1" t="s">
        <v>1024</v>
      </c>
      <c r="C2097" s="11" t="s">
        <v>2153</v>
      </c>
      <c r="D2097" s="4">
        <f>ROUND(E2097*F2097*1.25,0)</f>
        <v>109</v>
      </c>
      <c r="E2097" s="10">
        <v>1.04</v>
      </c>
      <c r="F2097" s="1">
        <v>84</v>
      </c>
      <c r="H2097" s="1" t="s">
        <v>3196</v>
      </c>
      <c r="I2097" s="1" t="s">
        <v>2999</v>
      </c>
    </row>
    <row r="2098" spans="1:46" ht="15.75" customHeight="1" x14ac:dyDescent="0.25">
      <c r="A2098" s="21">
        <v>20030402</v>
      </c>
      <c r="B2098" s="11" t="s">
        <v>1027</v>
      </c>
      <c r="C2098" s="11" t="s">
        <v>2154</v>
      </c>
      <c r="D2098" s="4">
        <f>ROUND(E2098*F2098*1.25,0)</f>
        <v>20</v>
      </c>
      <c r="E2098" s="10">
        <v>1.04</v>
      </c>
      <c r="F2098" s="1">
        <v>15</v>
      </c>
      <c r="H2098" s="1" t="s">
        <v>3196</v>
      </c>
      <c r="I2098" s="1" t="s">
        <v>2999</v>
      </c>
    </row>
    <row r="2099" spans="1:46" ht="15.75" customHeight="1" x14ac:dyDescent="0.25">
      <c r="A2099" s="4">
        <v>20030402</v>
      </c>
      <c r="B2099" s="1" t="s">
        <v>1023</v>
      </c>
      <c r="C2099" s="11" t="s">
        <v>2152</v>
      </c>
      <c r="D2099" s="4">
        <f>ROUND(E2099*F2099*1.25,0)</f>
        <v>59</v>
      </c>
      <c r="E2099" s="10">
        <v>1.04</v>
      </c>
      <c r="F2099" s="1">
        <v>45</v>
      </c>
      <c r="H2099" s="1" t="s">
        <v>3196</v>
      </c>
      <c r="I2099" s="1" t="s">
        <v>2734</v>
      </c>
    </row>
    <row r="2100" spans="1:46" ht="15.75" customHeight="1" x14ac:dyDescent="0.25">
      <c r="A2100" s="4">
        <v>20030402</v>
      </c>
      <c r="B2100" s="1" t="s">
        <v>1029</v>
      </c>
      <c r="C2100" s="11" t="s">
        <v>2155</v>
      </c>
      <c r="D2100" s="4">
        <f>ROUND(E2100*F2100*1.25,0)</f>
        <v>109</v>
      </c>
      <c r="E2100" s="10">
        <v>1.04</v>
      </c>
      <c r="F2100" s="1">
        <v>84</v>
      </c>
      <c r="H2100" s="1" t="s">
        <v>3196</v>
      </c>
      <c r="I2100" s="1" t="s">
        <v>2999</v>
      </c>
    </row>
    <row r="2101" spans="1:46" ht="15.75" customHeight="1" x14ac:dyDescent="0.25">
      <c r="A2101" s="21">
        <v>20030403</v>
      </c>
      <c r="B2101" s="11" t="s">
        <v>1021</v>
      </c>
      <c r="C2101" s="11" t="s">
        <v>2151</v>
      </c>
      <c r="D2101" s="1">
        <v>13</v>
      </c>
      <c r="F2101" s="1"/>
      <c r="G2101" s="1">
        <v>13</v>
      </c>
      <c r="H2101" s="1" t="s">
        <v>2866</v>
      </c>
      <c r="I2101" s="1" t="s">
        <v>2700</v>
      </c>
    </row>
    <row r="2102" spans="1:46" ht="15.75" customHeight="1" x14ac:dyDescent="0.25">
      <c r="A2102" s="4">
        <v>20030403</v>
      </c>
      <c r="B2102" s="29" t="s">
        <v>1035</v>
      </c>
      <c r="C2102" s="31" t="s">
        <v>2160</v>
      </c>
      <c r="D2102" s="32">
        <v>65</v>
      </c>
      <c r="F2102" s="1"/>
      <c r="G2102" s="1">
        <v>65</v>
      </c>
      <c r="H2102" s="1" t="s">
        <v>2866</v>
      </c>
      <c r="I2102" s="1" t="s">
        <v>3030</v>
      </c>
    </row>
    <row r="2103" spans="1:46" ht="15.75" customHeight="1" x14ac:dyDescent="0.25">
      <c r="A2103" s="21">
        <v>20030403</v>
      </c>
      <c r="B2103" s="11" t="s">
        <v>1021</v>
      </c>
      <c r="C2103" s="11" t="s">
        <v>26</v>
      </c>
      <c r="D2103" s="1">
        <v>13</v>
      </c>
      <c r="F2103" s="1"/>
      <c r="G2103" s="1">
        <v>13</v>
      </c>
      <c r="H2103" s="1" t="s">
        <v>2866</v>
      </c>
    </row>
    <row r="2104" spans="1:46" ht="15.75" customHeight="1" x14ac:dyDescent="0.25">
      <c r="A2104" s="4">
        <v>20030403</v>
      </c>
      <c r="B2104" s="29" t="s">
        <v>1028</v>
      </c>
      <c r="C2104" s="31" t="s">
        <v>2155</v>
      </c>
      <c r="D2104" s="32">
        <f>ROUND(E2104*F2104*1.25,0)</f>
        <v>68</v>
      </c>
      <c r="E2104" s="10">
        <v>0.65</v>
      </c>
      <c r="F2104" s="1">
        <v>84</v>
      </c>
      <c r="H2104" s="1" t="s">
        <v>3176</v>
      </c>
      <c r="I2104" s="1" t="s">
        <v>2999</v>
      </c>
    </row>
    <row r="2105" spans="1:46" ht="15.75" customHeight="1" x14ac:dyDescent="0.25">
      <c r="A2105" s="21">
        <v>20030404</v>
      </c>
      <c r="B2105" s="11" t="s">
        <v>1020</v>
      </c>
      <c r="C2105" s="11" t="s">
        <v>2151</v>
      </c>
      <c r="D2105" s="1">
        <v>18</v>
      </c>
      <c r="F2105" s="1"/>
      <c r="G2105" s="1">
        <v>18</v>
      </c>
      <c r="H2105" s="1" t="s">
        <v>2867</v>
      </c>
      <c r="I2105" s="1" t="s">
        <v>2700</v>
      </c>
    </row>
    <row r="2106" spans="1:46" ht="15.75" customHeight="1" x14ac:dyDescent="0.25">
      <c r="A2106" s="21">
        <v>20030404</v>
      </c>
      <c r="B2106" s="11" t="s">
        <v>1033</v>
      </c>
      <c r="C2106" s="11" t="s">
        <v>2158</v>
      </c>
      <c r="D2106" s="1">
        <v>18</v>
      </c>
      <c r="F2106" s="1"/>
      <c r="G2106" s="1">
        <v>18</v>
      </c>
      <c r="H2106" s="1" t="s">
        <v>2867</v>
      </c>
    </row>
    <row r="2107" spans="1:46" ht="15.75" customHeight="1" x14ac:dyDescent="0.25">
      <c r="A2107" s="4">
        <v>20030404</v>
      </c>
      <c r="B2107" s="11" t="s">
        <v>1025</v>
      </c>
      <c r="C2107" s="11" t="s">
        <v>2153</v>
      </c>
      <c r="D2107" s="4">
        <f>ROUND(E2107*F2107*1.25,0)</f>
        <v>97</v>
      </c>
      <c r="E2107" s="1">
        <v>0.92</v>
      </c>
      <c r="F2107" s="1">
        <v>84</v>
      </c>
      <c r="H2107" s="1" t="s">
        <v>3192</v>
      </c>
      <c r="I2107" s="1" t="s">
        <v>2999</v>
      </c>
    </row>
    <row r="2108" spans="1:46" ht="15.75" customHeight="1" x14ac:dyDescent="0.25">
      <c r="A2108" s="21">
        <v>20030405</v>
      </c>
      <c r="B2108" s="11" t="s">
        <v>1022</v>
      </c>
      <c r="C2108" s="11" t="s">
        <v>2151</v>
      </c>
      <c r="D2108" s="11">
        <v>18</v>
      </c>
      <c r="E2108" s="11"/>
      <c r="F2108" s="11"/>
      <c r="G2108" s="11">
        <v>29</v>
      </c>
      <c r="H2108" s="11" t="s">
        <v>2865</v>
      </c>
      <c r="I2108" s="11" t="s">
        <v>2700</v>
      </c>
      <c r="J2108" s="11"/>
      <c r="K2108" s="11"/>
      <c r="L2108" s="11"/>
      <c r="M2108" s="11"/>
      <c r="N2108" s="11"/>
      <c r="O2108" s="11"/>
      <c r="P2108" s="11"/>
      <c r="Q2108" s="11"/>
      <c r="R2108" s="11"/>
      <c r="S2108" s="11"/>
      <c r="T2108" s="11"/>
      <c r="U2108" s="11"/>
      <c r="V2108" s="11"/>
      <c r="W2108" s="11"/>
      <c r="X2108" s="11"/>
      <c r="Y2108" s="11"/>
      <c r="Z2108" s="11"/>
      <c r="AA2108" s="11"/>
      <c r="AB2108" s="11"/>
      <c r="AC2108" s="11"/>
      <c r="AD2108" s="11"/>
      <c r="AE2108" s="11"/>
      <c r="AF2108" s="11"/>
      <c r="AG2108" s="11"/>
      <c r="AH2108" s="11"/>
      <c r="AI2108" s="11"/>
      <c r="AJ2108" s="11"/>
      <c r="AK2108" s="11"/>
      <c r="AL2108" s="11"/>
      <c r="AM2108" s="11"/>
      <c r="AN2108" s="11"/>
      <c r="AO2108" s="11"/>
      <c r="AP2108" s="11"/>
      <c r="AQ2108" s="11"/>
      <c r="AR2108" s="11"/>
      <c r="AS2108" s="11"/>
      <c r="AT2108" s="11"/>
    </row>
    <row r="2109" spans="1:46" ht="15.75" customHeight="1" x14ac:dyDescent="0.25">
      <c r="A2109" s="26">
        <v>20030405</v>
      </c>
      <c r="B2109" s="25" t="s">
        <v>1022</v>
      </c>
      <c r="C2109" s="25" t="s">
        <v>13</v>
      </c>
      <c r="D2109" s="21">
        <v>72</v>
      </c>
      <c r="E2109" s="11"/>
      <c r="F2109" s="21"/>
      <c r="G2109" s="11"/>
      <c r="H2109" s="11"/>
      <c r="I2109" s="11"/>
      <c r="J2109" s="11"/>
      <c r="K2109" s="11"/>
      <c r="L2109" s="11"/>
      <c r="M2109" s="11"/>
      <c r="N2109" s="11"/>
      <c r="O2109" s="11"/>
      <c r="P2109" s="11"/>
      <c r="Q2109" s="11"/>
      <c r="R2109" s="11"/>
      <c r="S2109" s="11"/>
      <c r="T2109" s="11"/>
      <c r="U2109" s="11"/>
      <c r="V2109" s="11"/>
      <c r="W2109" s="11"/>
      <c r="X2109" s="11"/>
      <c r="Y2109" s="11"/>
      <c r="Z2109" s="11"/>
      <c r="AA2109" s="11"/>
      <c r="AB2109" s="11"/>
      <c r="AC2109" s="11"/>
      <c r="AD2109" s="11"/>
      <c r="AE2109" s="11"/>
      <c r="AF2109" s="11"/>
      <c r="AG2109" s="11"/>
      <c r="AH2109" s="11"/>
      <c r="AI2109" s="11"/>
      <c r="AJ2109" s="11"/>
      <c r="AK2109" s="11"/>
      <c r="AL2109" s="11"/>
      <c r="AM2109" s="11"/>
      <c r="AN2109" s="11"/>
      <c r="AO2109" s="11"/>
      <c r="AP2109" s="11"/>
      <c r="AQ2109" s="11"/>
      <c r="AR2109" s="11"/>
      <c r="AS2109" s="11"/>
      <c r="AT2109" s="11"/>
    </row>
    <row r="2110" spans="1:46" ht="15.75" customHeight="1" x14ac:dyDescent="0.25">
      <c r="A2110" s="4">
        <v>20030405</v>
      </c>
      <c r="B2110" s="1" t="s">
        <v>1022</v>
      </c>
      <c r="C2110" s="11" t="s">
        <v>27</v>
      </c>
      <c r="D2110" s="4">
        <f>ROUND(E2110*F2110*1.25,0)</f>
        <v>150</v>
      </c>
      <c r="E2110" s="1">
        <v>0.92</v>
      </c>
      <c r="F2110" s="1">
        <v>130</v>
      </c>
      <c r="H2110" s="1" t="s">
        <v>3192</v>
      </c>
      <c r="I2110" s="1" t="s">
        <v>2999</v>
      </c>
      <c r="J2110" s="1" t="s">
        <v>3132</v>
      </c>
    </row>
    <row r="2111" spans="1:46" ht="15.75" customHeight="1" x14ac:dyDescent="0.25">
      <c r="A2111" s="26">
        <v>20030405</v>
      </c>
      <c r="B2111" s="25" t="s">
        <v>1022</v>
      </c>
      <c r="C2111" s="25" t="s">
        <v>12</v>
      </c>
      <c r="D2111" s="4">
        <v>36</v>
      </c>
      <c r="H2111" s="1" t="s">
        <v>2865</v>
      </c>
    </row>
    <row r="2112" spans="1:46" ht="15.75" customHeight="1" x14ac:dyDescent="0.25">
      <c r="A2112" s="21">
        <v>20030405</v>
      </c>
      <c r="B2112" s="11" t="s">
        <v>1032</v>
      </c>
      <c r="C2112" s="11" t="s">
        <v>2156</v>
      </c>
      <c r="D2112" s="1">
        <v>29</v>
      </c>
      <c r="F2112" s="1"/>
      <c r="G2112" s="1">
        <v>29</v>
      </c>
      <c r="H2112" s="1" t="s">
        <v>2865</v>
      </c>
    </row>
    <row r="2113" spans="1:10" ht="15.75" customHeight="1" x14ac:dyDescent="0.25">
      <c r="A2113" s="4">
        <v>20030405</v>
      </c>
      <c r="B2113" s="11" t="s">
        <v>1030</v>
      </c>
      <c r="C2113" s="11" t="s">
        <v>2155</v>
      </c>
      <c r="D2113" s="4">
        <f>ROUND(E2113*F2113*1.25,0)</f>
        <v>97</v>
      </c>
      <c r="E2113" s="1">
        <v>0.92</v>
      </c>
      <c r="F2113" s="1">
        <v>84</v>
      </c>
      <c r="H2113" s="1" t="s">
        <v>3192</v>
      </c>
      <c r="I2113" s="1" t="s">
        <v>2999</v>
      </c>
    </row>
    <row r="2114" spans="1:10" ht="15.75" customHeight="1" x14ac:dyDescent="0.25">
      <c r="A2114" s="4">
        <v>20030406</v>
      </c>
      <c r="B2114" s="1" t="s">
        <v>1034</v>
      </c>
      <c r="C2114" s="11" t="s">
        <v>27</v>
      </c>
      <c r="D2114" s="4">
        <f>ROUND(E2114*F2114*1.25,0)</f>
        <v>106</v>
      </c>
      <c r="E2114" s="1">
        <v>0.65</v>
      </c>
      <c r="F2114" s="1">
        <v>130</v>
      </c>
      <c r="G2114" s="4"/>
      <c r="H2114" s="1" t="s">
        <v>3151</v>
      </c>
      <c r="I2114" s="1" t="s">
        <v>3155</v>
      </c>
      <c r="J2114" s="1" t="s">
        <v>3132</v>
      </c>
    </row>
    <row r="2115" spans="1:10" ht="15.75" customHeight="1" x14ac:dyDescent="0.25">
      <c r="A2115" s="21">
        <v>20030406</v>
      </c>
      <c r="B2115" s="11" t="s">
        <v>1034</v>
      </c>
      <c r="C2115" s="11" t="s">
        <v>2158</v>
      </c>
      <c r="D2115" s="1">
        <v>15</v>
      </c>
      <c r="F2115" s="1"/>
      <c r="G2115" s="1">
        <v>15</v>
      </c>
      <c r="H2115" s="1" t="s">
        <v>2869</v>
      </c>
      <c r="I2115" s="1" t="s">
        <v>2870</v>
      </c>
    </row>
    <row r="2116" spans="1:10" ht="15.75" customHeight="1" x14ac:dyDescent="0.25">
      <c r="A2116" s="4">
        <v>20030406</v>
      </c>
      <c r="B2116" s="1" t="s">
        <v>1034</v>
      </c>
      <c r="C2116" s="11" t="s">
        <v>2159</v>
      </c>
      <c r="D2116" s="1">
        <f>ROUND(E2116*F2116*1.25,0)</f>
        <v>68</v>
      </c>
      <c r="E2116" s="1">
        <v>0.65</v>
      </c>
      <c r="F2116" s="1">
        <v>84</v>
      </c>
      <c r="H2116" s="1" t="s">
        <v>3151</v>
      </c>
      <c r="I2116" s="1" t="s">
        <v>3155</v>
      </c>
    </row>
    <row r="2117" spans="1:10" ht="15.75" customHeight="1" x14ac:dyDescent="0.25">
      <c r="A2117" s="4">
        <v>20030407</v>
      </c>
      <c r="B2117" s="1" t="s">
        <v>1031</v>
      </c>
      <c r="C2117" s="11" t="s">
        <v>2155</v>
      </c>
      <c r="D2117" s="1">
        <f>ROUND(E2117*F2117*1.25,0)</f>
        <v>68</v>
      </c>
      <c r="E2117" s="1">
        <v>0.65</v>
      </c>
      <c r="F2117" s="1">
        <v>84</v>
      </c>
      <c r="H2117" s="1" t="s">
        <v>3151</v>
      </c>
      <c r="I2117" s="1" t="s">
        <v>3155</v>
      </c>
    </row>
    <row r="2118" spans="1:10" ht="15.75" customHeight="1" x14ac:dyDescent="0.25">
      <c r="A2118" s="21">
        <v>20030407</v>
      </c>
      <c r="B2118" s="11" t="s">
        <v>1036</v>
      </c>
      <c r="C2118" s="11" t="s">
        <v>2161</v>
      </c>
      <c r="D2118" s="1">
        <v>15</v>
      </c>
      <c r="F2118" s="1"/>
      <c r="G2118" s="1">
        <v>15</v>
      </c>
      <c r="H2118" s="1" t="s">
        <v>2869</v>
      </c>
      <c r="I2118" s="1" t="s">
        <v>2870</v>
      </c>
    </row>
    <row r="2119" spans="1:10" ht="15.75" customHeight="1" x14ac:dyDescent="0.25">
      <c r="A2119" s="4">
        <v>20030408</v>
      </c>
      <c r="B2119" s="1" t="s">
        <v>1037</v>
      </c>
      <c r="C2119" s="11" t="s">
        <v>29</v>
      </c>
      <c r="D2119" s="1">
        <v>36</v>
      </c>
      <c r="F2119" s="1"/>
      <c r="G2119" s="1">
        <v>36</v>
      </c>
      <c r="H2119" s="1" t="s">
        <v>2867</v>
      </c>
      <c r="I2119" s="1" t="s">
        <v>2701</v>
      </c>
    </row>
    <row r="2120" spans="1:10" ht="15.75" customHeight="1" x14ac:dyDescent="0.25">
      <c r="A2120" s="4">
        <v>20030408</v>
      </c>
      <c r="B2120" s="1" t="s">
        <v>1037</v>
      </c>
      <c r="C2120" s="11" t="s">
        <v>2675</v>
      </c>
      <c r="D2120" s="10">
        <f>ROUND(E2120*F2120*1.25,0)</f>
        <v>58</v>
      </c>
      <c r="E2120" s="1">
        <v>0.92</v>
      </c>
      <c r="F2120" s="1">
        <v>50</v>
      </c>
      <c r="H2120" s="1" t="s">
        <v>3192</v>
      </c>
      <c r="I2120" s="1" t="s">
        <v>2999</v>
      </c>
    </row>
    <row r="2121" spans="1:10" ht="15.75" customHeight="1" x14ac:dyDescent="0.25">
      <c r="A2121" s="21">
        <v>20030408</v>
      </c>
      <c r="B2121" s="11" t="s">
        <v>1037</v>
      </c>
      <c r="C2121" s="11" t="s">
        <v>13</v>
      </c>
      <c r="D2121" s="10">
        <f>ROUND(E2121*F2121*1.25,0)</f>
        <v>69</v>
      </c>
      <c r="E2121" s="1">
        <v>0.92</v>
      </c>
      <c r="F2121" s="1">
        <v>60</v>
      </c>
      <c r="G2121" s="4"/>
      <c r="H2121" s="1" t="s">
        <v>3192</v>
      </c>
      <c r="I2121" s="1" t="s">
        <v>2702</v>
      </c>
      <c r="J2121" s="1" t="s">
        <v>3132</v>
      </c>
    </row>
    <row r="2122" spans="1:10" ht="15.75" customHeight="1" x14ac:dyDescent="0.25">
      <c r="A2122" s="4">
        <v>20030408</v>
      </c>
      <c r="B2122" s="1" t="s">
        <v>1037</v>
      </c>
      <c r="C2122" s="11" t="s">
        <v>2162</v>
      </c>
      <c r="D2122" s="4">
        <f>ROUND(E2122*F2122*1.25,0)</f>
        <v>150</v>
      </c>
      <c r="E2122" s="1">
        <v>0.92</v>
      </c>
      <c r="F2122" s="1">
        <v>130</v>
      </c>
      <c r="H2122" s="1" t="s">
        <v>3192</v>
      </c>
      <c r="I2122" s="1" t="s">
        <v>2999</v>
      </c>
    </row>
    <row r="2123" spans="1:10" ht="15.75" customHeight="1" x14ac:dyDescent="0.25">
      <c r="A2123" s="26">
        <v>20030408</v>
      </c>
      <c r="B2123" s="25" t="s">
        <v>1037</v>
      </c>
      <c r="C2123" s="25" t="s">
        <v>11</v>
      </c>
      <c r="D2123" s="4">
        <v>18</v>
      </c>
      <c r="H2123" s="1" t="s">
        <v>3192</v>
      </c>
    </row>
    <row r="2124" spans="1:10" ht="15.75" customHeight="1" x14ac:dyDescent="0.25">
      <c r="A2124" s="21">
        <v>20030408</v>
      </c>
      <c r="B2124" s="11" t="s">
        <v>1037</v>
      </c>
      <c r="C2124" s="11" t="s">
        <v>2161</v>
      </c>
      <c r="D2124" s="1">
        <v>18</v>
      </c>
      <c r="F2124" s="1"/>
      <c r="G2124" s="1">
        <v>18</v>
      </c>
      <c r="H2124" s="1" t="s">
        <v>2867</v>
      </c>
    </row>
    <row r="2125" spans="1:10" ht="15.75" customHeight="1" x14ac:dyDescent="0.25">
      <c r="A2125" s="4">
        <v>20030408</v>
      </c>
      <c r="B2125" s="11" t="s">
        <v>1037</v>
      </c>
      <c r="C2125" s="11" t="s">
        <v>2157</v>
      </c>
      <c r="D2125" s="4">
        <f>ROUND(E2125*F2125*1.25,0)</f>
        <v>97</v>
      </c>
      <c r="E2125" s="1">
        <v>0.92</v>
      </c>
      <c r="F2125" s="1">
        <v>84</v>
      </c>
      <c r="H2125" s="1" t="s">
        <v>3192</v>
      </c>
      <c r="I2125" s="1" t="s">
        <v>2999</v>
      </c>
    </row>
    <row r="2126" spans="1:10" ht="15.75" customHeight="1" x14ac:dyDescent="0.25">
      <c r="A2126" s="21">
        <v>20030409</v>
      </c>
      <c r="B2126" s="11" t="s">
        <v>2634</v>
      </c>
      <c r="C2126" s="11" t="s">
        <v>26</v>
      </c>
      <c r="D2126" s="1">
        <v>18</v>
      </c>
      <c r="F2126" s="1"/>
      <c r="G2126" s="1">
        <v>18</v>
      </c>
      <c r="H2126" s="1" t="s">
        <v>2866</v>
      </c>
      <c r="I2126" s="1" t="s">
        <v>2868</v>
      </c>
    </row>
    <row r="2127" spans="1:10" ht="15.75" customHeight="1" x14ac:dyDescent="0.25">
      <c r="A2127" s="4">
        <v>20030409</v>
      </c>
      <c r="B2127" s="1" t="s">
        <v>2634</v>
      </c>
      <c r="C2127" s="11" t="s">
        <v>24</v>
      </c>
      <c r="D2127" s="1">
        <f>G2127</f>
        <v>72</v>
      </c>
      <c r="F2127" s="1"/>
      <c r="G2127" s="1">
        <f>18*4</f>
        <v>72</v>
      </c>
      <c r="H2127" s="1" t="s">
        <v>2866</v>
      </c>
      <c r="I2127" s="1" t="s">
        <v>2702</v>
      </c>
    </row>
    <row r="2128" spans="1:10" ht="15.75" customHeight="1" x14ac:dyDescent="0.25">
      <c r="A2128" s="21">
        <v>20030410</v>
      </c>
      <c r="B2128" s="11" t="s">
        <v>2641</v>
      </c>
      <c r="C2128" s="11" t="s">
        <v>13</v>
      </c>
      <c r="D2128" s="1">
        <f>G2128</f>
        <v>72</v>
      </c>
      <c r="E2128" s="4"/>
      <c r="F2128" s="1" t="s">
        <v>3132</v>
      </c>
      <c r="G2128" s="1">
        <f>18*4</f>
        <v>72</v>
      </c>
      <c r="H2128" s="1" t="s">
        <v>2866</v>
      </c>
      <c r="I2128" s="1" t="s">
        <v>2702</v>
      </c>
    </row>
    <row r="2129" spans="1:10" ht="15.75" customHeight="1" x14ac:dyDescent="0.25">
      <c r="A2129" s="4">
        <v>20030410</v>
      </c>
      <c r="B2129" s="1" t="s">
        <v>2641</v>
      </c>
      <c r="C2129" s="11" t="s">
        <v>27</v>
      </c>
      <c r="D2129" s="4">
        <f>G2129</f>
        <v>108</v>
      </c>
      <c r="F2129" s="1"/>
      <c r="G2129" s="1">
        <f>18*6</f>
        <v>108</v>
      </c>
      <c r="H2129" s="1" t="s">
        <v>2866</v>
      </c>
      <c r="I2129" s="1" t="s">
        <v>3030</v>
      </c>
    </row>
    <row r="2130" spans="1:10" ht="15.75" customHeight="1" x14ac:dyDescent="0.25">
      <c r="A2130" s="21">
        <v>20030410</v>
      </c>
      <c r="B2130" s="11" t="s">
        <v>2641</v>
      </c>
      <c r="C2130" s="11" t="s">
        <v>26</v>
      </c>
      <c r="D2130" s="1">
        <v>18</v>
      </c>
      <c r="F2130" s="1"/>
      <c r="G2130" s="1">
        <v>18</v>
      </c>
      <c r="H2130" s="1" t="s">
        <v>2867</v>
      </c>
    </row>
    <row r="2131" spans="1:10" ht="15.75" customHeight="1" x14ac:dyDescent="0.25">
      <c r="A2131" s="4">
        <v>20030410</v>
      </c>
      <c r="B2131" s="1" t="s">
        <v>2641</v>
      </c>
      <c r="C2131" s="11" t="s">
        <v>24</v>
      </c>
      <c r="D2131" s="1">
        <f>G2131</f>
        <v>72</v>
      </c>
      <c r="F2131" s="1"/>
      <c r="G2131" s="1">
        <f>18*4</f>
        <v>72</v>
      </c>
      <c r="H2131" s="1" t="s">
        <v>2866</v>
      </c>
      <c r="I2131" s="1" t="s">
        <v>2702</v>
      </c>
    </row>
    <row r="2132" spans="1:10" ht="15.75" customHeight="1" x14ac:dyDescent="0.25">
      <c r="A2132" s="21">
        <v>20030501</v>
      </c>
      <c r="B2132" s="11" t="s">
        <v>3095</v>
      </c>
      <c r="C2132" s="11" t="s">
        <v>11</v>
      </c>
      <c r="D2132" s="10">
        <f t="shared" ref="D2132:D2144" si="53">ROUND(E2132*F2132*1.25,0)</f>
        <v>17</v>
      </c>
      <c r="E2132" s="1">
        <v>0.92</v>
      </c>
      <c r="F2132" s="1">
        <v>15</v>
      </c>
      <c r="G2132" s="4"/>
      <c r="H2132" s="1" t="s">
        <v>3192</v>
      </c>
      <c r="I2132" s="1" t="s">
        <v>2700</v>
      </c>
      <c r="J2132" s="1" t="s">
        <v>3132</v>
      </c>
    </row>
    <row r="2133" spans="1:10" ht="15.75" customHeight="1" x14ac:dyDescent="0.25">
      <c r="A2133" s="21">
        <v>20030501</v>
      </c>
      <c r="B2133" s="11" t="s">
        <v>3095</v>
      </c>
      <c r="C2133" s="11" t="s">
        <v>12</v>
      </c>
      <c r="D2133" s="10">
        <f t="shared" si="53"/>
        <v>35</v>
      </c>
      <c r="E2133" s="1">
        <v>0.92</v>
      </c>
      <c r="F2133" s="1">
        <v>30</v>
      </c>
      <c r="G2133" s="4"/>
      <c r="H2133" s="1" t="s">
        <v>3192</v>
      </c>
      <c r="I2133" s="1" t="s">
        <v>2701</v>
      </c>
      <c r="J2133" s="1" t="s">
        <v>3132</v>
      </c>
    </row>
    <row r="2134" spans="1:10" ht="15.75" customHeight="1" x14ac:dyDescent="0.25">
      <c r="A2134" s="4">
        <v>20030501</v>
      </c>
      <c r="B2134" s="1" t="s">
        <v>3095</v>
      </c>
      <c r="C2134" s="11" t="s">
        <v>27</v>
      </c>
      <c r="D2134" s="4">
        <f t="shared" si="53"/>
        <v>150</v>
      </c>
      <c r="E2134" s="1">
        <v>0.92</v>
      </c>
      <c r="F2134" s="1">
        <v>130</v>
      </c>
      <c r="H2134" s="1" t="s">
        <v>3192</v>
      </c>
      <c r="I2134" s="1" t="s">
        <v>2999</v>
      </c>
      <c r="J2134" s="1" t="s">
        <v>3132</v>
      </c>
    </row>
    <row r="2135" spans="1:10" ht="15.75" customHeight="1" x14ac:dyDescent="0.25">
      <c r="A2135" s="4">
        <v>20030501</v>
      </c>
      <c r="B2135" s="1" t="s">
        <v>3095</v>
      </c>
      <c r="C2135" s="11" t="s">
        <v>24</v>
      </c>
      <c r="D2135" s="10">
        <f t="shared" si="53"/>
        <v>97</v>
      </c>
      <c r="E2135" s="1">
        <v>0.92</v>
      </c>
      <c r="F2135" s="1">
        <v>84</v>
      </c>
      <c r="H2135" s="1" t="s">
        <v>3192</v>
      </c>
      <c r="I2135" s="1" t="s">
        <v>2999</v>
      </c>
      <c r="J2135" s="1" t="s">
        <v>3132</v>
      </c>
    </row>
    <row r="2136" spans="1:10" ht="15.75" customHeight="1" x14ac:dyDescent="0.25">
      <c r="A2136" s="4">
        <v>20030502</v>
      </c>
      <c r="B2136" s="1" t="s">
        <v>3096</v>
      </c>
      <c r="C2136" s="11" t="s">
        <v>15</v>
      </c>
      <c r="D2136" s="10">
        <f t="shared" si="53"/>
        <v>97</v>
      </c>
      <c r="E2136" s="1">
        <v>0.92</v>
      </c>
      <c r="F2136" s="1">
        <v>84</v>
      </c>
      <c r="H2136" s="1" t="s">
        <v>3192</v>
      </c>
      <c r="I2136" s="1" t="s">
        <v>2955</v>
      </c>
      <c r="J2136" s="1" t="s">
        <v>3132</v>
      </c>
    </row>
    <row r="2137" spans="1:10" ht="15.75" customHeight="1" x14ac:dyDescent="0.25">
      <c r="A2137" s="4">
        <v>20030502</v>
      </c>
      <c r="B2137" s="1" t="s">
        <v>3096</v>
      </c>
      <c r="C2137" s="11" t="s">
        <v>24</v>
      </c>
      <c r="D2137" s="4">
        <f t="shared" si="53"/>
        <v>97</v>
      </c>
      <c r="E2137" s="1">
        <v>0.92</v>
      </c>
      <c r="F2137" s="1">
        <v>84</v>
      </c>
      <c r="H2137" s="1" t="s">
        <v>3192</v>
      </c>
      <c r="I2137" s="1" t="s">
        <v>2999</v>
      </c>
    </row>
    <row r="2138" spans="1:10" ht="15.75" customHeight="1" x14ac:dyDescent="0.25">
      <c r="A2138" s="21">
        <v>20030502</v>
      </c>
      <c r="B2138" s="11" t="s">
        <v>3096</v>
      </c>
      <c r="C2138" s="11" t="s">
        <v>26</v>
      </c>
      <c r="D2138" s="10">
        <f t="shared" si="53"/>
        <v>17</v>
      </c>
      <c r="E2138" s="1">
        <v>0.92</v>
      </c>
      <c r="F2138" s="1">
        <v>15</v>
      </c>
      <c r="G2138" s="4"/>
      <c r="H2138" s="1" t="s">
        <v>3192</v>
      </c>
      <c r="I2138" s="1" t="s">
        <v>2999</v>
      </c>
      <c r="J2138" s="1" t="s">
        <v>3132</v>
      </c>
    </row>
    <row r="2139" spans="1:10" ht="15.75" customHeight="1" x14ac:dyDescent="0.25">
      <c r="A2139" s="4">
        <v>20030503</v>
      </c>
      <c r="B2139" s="1" t="s">
        <v>3097</v>
      </c>
      <c r="C2139" s="11" t="s">
        <v>15</v>
      </c>
      <c r="D2139" s="10">
        <f t="shared" si="53"/>
        <v>97</v>
      </c>
      <c r="E2139" s="1">
        <v>0.92</v>
      </c>
      <c r="F2139" s="1">
        <v>84</v>
      </c>
      <c r="H2139" s="1" t="s">
        <v>3192</v>
      </c>
      <c r="I2139" s="1" t="s">
        <v>2955</v>
      </c>
      <c r="J2139" s="1" t="s">
        <v>3132</v>
      </c>
    </row>
    <row r="2140" spans="1:10" ht="15.75" customHeight="1" x14ac:dyDescent="0.25">
      <c r="A2140" s="4">
        <v>20030503</v>
      </c>
      <c r="B2140" s="1" t="s">
        <v>3097</v>
      </c>
      <c r="C2140" s="11" t="s">
        <v>24</v>
      </c>
      <c r="D2140" s="10">
        <f t="shared" si="53"/>
        <v>97</v>
      </c>
      <c r="E2140" s="1">
        <v>0.92</v>
      </c>
      <c r="F2140" s="1">
        <v>84</v>
      </c>
      <c r="H2140" s="1" t="s">
        <v>3192</v>
      </c>
      <c r="I2140" s="1" t="s">
        <v>2999</v>
      </c>
      <c r="J2140" s="1" t="s">
        <v>3132</v>
      </c>
    </row>
    <row r="2141" spans="1:10" ht="15.75" customHeight="1" x14ac:dyDescent="0.25">
      <c r="A2141" s="21">
        <v>20030503</v>
      </c>
      <c r="B2141" s="11" t="s">
        <v>3097</v>
      </c>
      <c r="C2141" s="11" t="s">
        <v>26</v>
      </c>
      <c r="D2141" s="10">
        <f t="shared" si="53"/>
        <v>17</v>
      </c>
      <c r="E2141" s="1">
        <v>0.92</v>
      </c>
      <c r="F2141" s="1">
        <v>15</v>
      </c>
      <c r="G2141" s="4"/>
      <c r="H2141" s="1" t="s">
        <v>3192</v>
      </c>
      <c r="I2141" s="1" t="s">
        <v>2999</v>
      </c>
      <c r="J2141" s="1" t="s">
        <v>3132</v>
      </c>
    </row>
    <row r="2142" spans="1:10" ht="15.75" customHeight="1" x14ac:dyDescent="0.25">
      <c r="A2142" s="21">
        <v>20030503</v>
      </c>
      <c r="B2142" s="11" t="s">
        <v>3097</v>
      </c>
      <c r="C2142" s="11" t="s">
        <v>11</v>
      </c>
      <c r="D2142" s="10">
        <f t="shared" si="53"/>
        <v>17</v>
      </c>
      <c r="E2142" s="1">
        <v>0.92</v>
      </c>
      <c r="F2142" s="1">
        <v>15</v>
      </c>
      <c r="G2142" s="4"/>
      <c r="H2142" s="1" t="s">
        <v>3192</v>
      </c>
      <c r="I2142" s="1" t="s">
        <v>2700</v>
      </c>
      <c r="J2142" s="1" t="s">
        <v>3132</v>
      </c>
    </row>
    <row r="2143" spans="1:10" ht="15.75" customHeight="1" x14ac:dyDescent="0.25">
      <c r="A2143" s="21">
        <v>20040101</v>
      </c>
      <c r="B2143" s="11" t="s">
        <v>1041</v>
      </c>
      <c r="C2143" s="11" t="s">
        <v>2166</v>
      </c>
      <c r="D2143" s="10">
        <f t="shared" si="53"/>
        <v>20</v>
      </c>
      <c r="E2143" s="10">
        <v>1.04</v>
      </c>
      <c r="F2143" s="1">
        <v>15</v>
      </c>
      <c r="H2143" s="33" t="s">
        <v>3196</v>
      </c>
      <c r="I2143" s="1" t="s">
        <v>2999</v>
      </c>
    </row>
    <row r="2144" spans="1:10" ht="15.75" customHeight="1" x14ac:dyDescent="0.25">
      <c r="A2144" s="4">
        <v>20040101</v>
      </c>
      <c r="B2144" s="1" t="s">
        <v>1041</v>
      </c>
      <c r="C2144" s="11" t="s">
        <v>2165</v>
      </c>
      <c r="D2144" s="4">
        <f t="shared" si="53"/>
        <v>109</v>
      </c>
      <c r="E2144" s="10">
        <v>1.04</v>
      </c>
      <c r="F2144" s="1">
        <v>84</v>
      </c>
      <c r="H2144" s="1" t="s">
        <v>3196</v>
      </c>
      <c r="I2144" s="1" t="s">
        <v>2999</v>
      </c>
    </row>
    <row r="2145" spans="1:10" ht="15.75" customHeight="1" x14ac:dyDescent="0.25">
      <c r="A2145" s="26">
        <v>20040102</v>
      </c>
      <c r="B2145" s="25" t="s">
        <v>3225</v>
      </c>
      <c r="C2145" s="25" t="s">
        <v>24</v>
      </c>
      <c r="D2145" s="4">
        <v>109</v>
      </c>
      <c r="H2145" s="1" t="s">
        <v>3196</v>
      </c>
    </row>
    <row r="2146" spans="1:10" ht="15.75" customHeight="1" x14ac:dyDescent="0.25">
      <c r="A2146" s="26">
        <v>20040102</v>
      </c>
      <c r="B2146" s="25" t="s">
        <v>3225</v>
      </c>
      <c r="C2146" s="25" t="s">
        <v>26</v>
      </c>
      <c r="D2146" s="4">
        <v>20</v>
      </c>
      <c r="H2146" s="1" t="s">
        <v>3196</v>
      </c>
    </row>
    <row r="2147" spans="1:10" ht="15.75" customHeight="1" x14ac:dyDescent="0.25">
      <c r="A2147" s="4">
        <v>20040103</v>
      </c>
      <c r="B2147" s="1" t="s">
        <v>1043</v>
      </c>
      <c r="C2147" s="11" t="s">
        <v>2675</v>
      </c>
      <c r="D2147" s="4">
        <f>ROUND(E2147*F2147*1.25,0)</f>
        <v>65</v>
      </c>
      <c r="E2147" s="10">
        <v>1.04</v>
      </c>
      <c r="F2147" s="1">
        <v>50</v>
      </c>
      <c r="H2147" s="1" t="s">
        <v>3196</v>
      </c>
      <c r="I2147" s="1" t="s">
        <v>2999</v>
      </c>
    </row>
    <row r="2148" spans="1:10" ht="15.75" customHeight="1" x14ac:dyDescent="0.25">
      <c r="A2148" s="4">
        <v>20040103</v>
      </c>
      <c r="B2148" s="1" t="s">
        <v>1043</v>
      </c>
      <c r="C2148" s="11" t="s">
        <v>2167</v>
      </c>
      <c r="D2148" s="4">
        <f>ROUND(E2148*F2148*1.25,0)</f>
        <v>109</v>
      </c>
      <c r="E2148" s="10">
        <v>1.04</v>
      </c>
      <c r="F2148" s="1">
        <v>84</v>
      </c>
      <c r="H2148" s="1" t="s">
        <v>3196</v>
      </c>
      <c r="I2148" s="1" t="s">
        <v>2999</v>
      </c>
    </row>
    <row r="2149" spans="1:10" ht="15.75" customHeight="1" x14ac:dyDescent="0.25">
      <c r="A2149" s="21">
        <v>20040103</v>
      </c>
      <c r="B2149" s="11" t="s">
        <v>1043</v>
      </c>
      <c r="C2149" s="11" t="s">
        <v>2168</v>
      </c>
      <c r="D2149" s="4">
        <f>G2149</f>
        <v>20</v>
      </c>
      <c r="F2149" s="1"/>
      <c r="G2149" s="1">
        <v>20</v>
      </c>
      <c r="H2149" s="1" t="s">
        <v>2834</v>
      </c>
      <c r="I2149" s="1" t="s">
        <v>2537</v>
      </c>
    </row>
    <row r="2150" spans="1:10" ht="15.75" customHeight="1" x14ac:dyDescent="0.25">
      <c r="A2150" s="4">
        <v>20040104</v>
      </c>
      <c r="B2150" s="1" t="s">
        <v>1046</v>
      </c>
      <c r="C2150" s="11" t="s">
        <v>2171</v>
      </c>
      <c r="D2150" s="4">
        <v>132</v>
      </c>
      <c r="F2150" s="1"/>
      <c r="G2150" s="1">
        <v>132</v>
      </c>
      <c r="H2150" s="1" t="s">
        <v>2828</v>
      </c>
      <c r="I2150" s="1" t="s">
        <v>3030</v>
      </c>
    </row>
    <row r="2151" spans="1:10" ht="15.75" customHeight="1" x14ac:dyDescent="0.25">
      <c r="A2151" s="21">
        <v>20040104</v>
      </c>
      <c r="B2151" s="11" t="s">
        <v>1042</v>
      </c>
      <c r="C2151" s="11" t="s">
        <v>11</v>
      </c>
      <c r="D2151" s="4">
        <v>18</v>
      </c>
    </row>
    <row r="2152" spans="1:10" ht="15.75" customHeight="1" x14ac:dyDescent="0.25">
      <c r="A2152" s="4">
        <v>20040104</v>
      </c>
      <c r="B2152" s="1" t="s">
        <v>1042</v>
      </c>
      <c r="C2152" s="11" t="s">
        <v>2167</v>
      </c>
      <c r="D2152" s="1">
        <v>88</v>
      </c>
      <c r="F2152" s="1"/>
      <c r="G2152" s="1">
        <v>88</v>
      </c>
      <c r="H2152" s="1" t="s">
        <v>2828</v>
      </c>
      <c r="I2152" s="1" t="s">
        <v>2992</v>
      </c>
    </row>
    <row r="2153" spans="1:10" ht="15.75" customHeight="1" x14ac:dyDescent="0.25">
      <c r="A2153" s="21">
        <v>20040104</v>
      </c>
      <c r="B2153" s="11" t="s">
        <v>2521</v>
      </c>
      <c r="C2153" s="11" t="s">
        <v>2170</v>
      </c>
      <c r="D2153" s="4">
        <f>G2153</f>
        <v>18</v>
      </c>
      <c r="F2153" s="1"/>
      <c r="G2153" s="1">
        <v>18</v>
      </c>
      <c r="H2153" s="1" t="s">
        <v>2835</v>
      </c>
      <c r="I2153" s="1" t="s">
        <v>2522</v>
      </c>
    </row>
    <row r="2154" spans="1:10" ht="15.75" customHeight="1" x14ac:dyDescent="0.25">
      <c r="A2154" s="4">
        <v>20040105</v>
      </c>
      <c r="B2154" s="1" t="s">
        <v>1044</v>
      </c>
      <c r="C2154" s="11" t="s">
        <v>2169</v>
      </c>
      <c r="D2154" s="1">
        <f>ROUND(E2154*F2154*1.25,0)</f>
        <v>68</v>
      </c>
      <c r="E2154" s="1">
        <v>0.65</v>
      </c>
      <c r="F2154" s="1">
        <v>84</v>
      </c>
      <c r="H2154" s="1" t="s">
        <v>2835</v>
      </c>
      <c r="I2154" s="1" t="s">
        <v>3155</v>
      </c>
    </row>
    <row r="2155" spans="1:10" ht="15.75" customHeight="1" x14ac:dyDescent="0.25">
      <c r="A2155" s="21">
        <v>20040105</v>
      </c>
      <c r="B2155" s="11" t="s">
        <v>1048</v>
      </c>
      <c r="C2155" s="11" t="s">
        <v>2172</v>
      </c>
      <c r="D2155" s="4">
        <v>18</v>
      </c>
      <c r="F2155" s="1"/>
      <c r="G2155" s="1">
        <v>18</v>
      </c>
      <c r="H2155" s="1" t="s">
        <v>2835</v>
      </c>
    </row>
    <row r="2156" spans="1:10" ht="15.75" customHeight="1" x14ac:dyDescent="0.25">
      <c r="A2156" s="21">
        <v>20040106</v>
      </c>
      <c r="B2156" s="11" t="s">
        <v>1038</v>
      </c>
      <c r="C2156" s="11" t="s">
        <v>2163</v>
      </c>
      <c r="D2156" s="4">
        <v>18</v>
      </c>
      <c r="F2156" s="1"/>
      <c r="G2156" s="1">
        <v>18</v>
      </c>
      <c r="H2156" s="1" t="s">
        <v>2835</v>
      </c>
      <c r="I2156" s="1" t="s">
        <v>2700</v>
      </c>
    </row>
    <row r="2157" spans="1:10" ht="15.75" customHeight="1" x14ac:dyDescent="0.25">
      <c r="A2157" s="21">
        <v>20040106</v>
      </c>
      <c r="B2157" s="11" t="s">
        <v>1038</v>
      </c>
      <c r="C2157" s="11" t="s">
        <v>13</v>
      </c>
      <c r="D2157" s="4">
        <f>G2157</f>
        <v>72</v>
      </c>
      <c r="E2157" s="4"/>
      <c r="F2157" s="1" t="s">
        <v>3132</v>
      </c>
      <c r="G2157" s="4">
        <v>72</v>
      </c>
      <c r="H2157" s="1" t="s">
        <v>2835</v>
      </c>
      <c r="I2157" s="1" t="s">
        <v>3132</v>
      </c>
      <c r="J2157" s="1" t="s">
        <v>3132</v>
      </c>
    </row>
    <row r="2158" spans="1:10" ht="15.75" customHeight="1" x14ac:dyDescent="0.25">
      <c r="A2158" s="4">
        <v>20040106</v>
      </c>
      <c r="B2158" s="1" t="s">
        <v>1049</v>
      </c>
      <c r="C2158" s="11" t="s">
        <v>2173</v>
      </c>
      <c r="D2158" s="4">
        <f>ROUND(E2158*F2158*1.25,0)</f>
        <v>52</v>
      </c>
      <c r="E2158" s="10">
        <f>118/236.5</f>
        <v>0.4989429175475687</v>
      </c>
      <c r="F2158" s="1">
        <v>84</v>
      </c>
      <c r="H2158" s="1" t="s">
        <v>2547</v>
      </c>
      <c r="I2158" s="1" t="s">
        <v>2999</v>
      </c>
    </row>
    <row r="2159" spans="1:10" ht="15.75" customHeight="1" x14ac:dyDescent="0.25">
      <c r="A2159" s="21">
        <v>20040106</v>
      </c>
      <c r="B2159" s="11" t="s">
        <v>1047</v>
      </c>
      <c r="C2159" s="11" t="s">
        <v>2172</v>
      </c>
      <c r="D2159" s="4">
        <v>18</v>
      </c>
      <c r="F2159" s="1"/>
      <c r="G2159" s="1">
        <v>18</v>
      </c>
      <c r="H2159" s="1" t="s">
        <v>2835</v>
      </c>
    </row>
    <row r="2160" spans="1:10" ht="15.75" customHeight="1" x14ac:dyDescent="0.25">
      <c r="A2160" s="26">
        <v>20040107</v>
      </c>
      <c r="B2160" s="25" t="s">
        <v>1050</v>
      </c>
      <c r="C2160" s="25" t="s">
        <v>12</v>
      </c>
      <c r="D2160" s="4">
        <v>35</v>
      </c>
      <c r="H2160" s="1" t="s">
        <v>3196</v>
      </c>
    </row>
    <row r="2161" spans="1:10" ht="15.75" customHeight="1" x14ac:dyDescent="0.25">
      <c r="A2161" s="4">
        <v>20040107</v>
      </c>
      <c r="B2161" s="1" t="s">
        <v>1050</v>
      </c>
      <c r="C2161" s="11" t="s">
        <v>27</v>
      </c>
      <c r="D2161" s="4">
        <f>ROUND(E2161*F2161*1.25,0)</f>
        <v>169</v>
      </c>
      <c r="E2161" s="10">
        <v>1.04</v>
      </c>
      <c r="F2161" s="1">
        <v>130</v>
      </c>
      <c r="H2161" s="1" t="s">
        <v>3196</v>
      </c>
      <c r="I2161" s="1" t="s">
        <v>2999</v>
      </c>
      <c r="J2161" s="1" t="s">
        <v>3132</v>
      </c>
    </row>
    <row r="2162" spans="1:10" ht="15.75" customHeight="1" x14ac:dyDescent="0.25">
      <c r="A2162" s="26">
        <v>20040107</v>
      </c>
      <c r="B2162" s="25" t="s">
        <v>1050</v>
      </c>
      <c r="C2162" s="25" t="s">
        <v>11</v>
      </c>
      <c r="D2162" s="4">
        <v>20</v>
      </c>
      <c r="H2162" s="1" t="s">
        <v>3196</v>
      </c>
    </row>
    <row r="2163" spans="1:10" ht="15.75" customHeight="1" x14ac:dyDescent="0.25">
      <c r="A2163" s="21">
        <v>20040107</v>
      </c>
      <c r="B2163" s="11" t="s">
        <v>1050</v>
      </c>
      <c r="C2163" s="11" t="s">
        <v>2174</v>
      </c>
      <c r="D2163" s="4">
        <v>20</v>
      </c>
      <c r="F2163" s="1"/>
      <c r="G2163" s="1">
        <v>20</v>
      </c>
      <c r="H2163" s="1" t="s">
        <v>2834</v>
      </c>
    </row>
    <row r="2164" spans="1:10" ht="15.75" customHeight="1" x14ac:dyDescent="0.25">
      <c r="A2164" s="4">
        <v>20040107</v>
      </c>
      <c r="B2164" s="11" t="s">
        <v>2517</v>
      </c>
      <c r="C2164" s="11" t="s">
        <v>2169</v>
      </c>
      <c r="D2164" s="4">
        <f>ROUND(E2164*F2164*1.25,0)</f>
        <v>109</v>
      </c>
      <c r="E2164" s="10">
        <v>1.04</v>
      </c>
      <c r="F2164" s="1">
        <v>84</v>
      </c>
      <c r="H2164" s="1" t="s">
        <v>3196</v>
      </c>
      <c r="I2164" s="1" t="s">
        <v>2999</v>
      </c>
    </row>
    <row r="2165" spans="1:10" ht="15.75" customHeight="1" x14ac:dyDescent="0.25">
      <c r="A2165" s="4">
        <v>20040108</v>
      </c>
      <c r="B2165" s="1" t="s">
        <v>1039</v>
      </c>
      <c r="C2165" s="11" t="s">
        <v>25</v>
      </c>
      <c r="D2165" s="1">
        <v>4</v>
      </c>
      <c r="F2165" s="1"/>
      <c r="G2165" s="1">
        <v>4</v>
      </c>
      <c r="H2165" s="1" t="s">
        <v>2880</v>
      </c>
      <c r="I2165" s="1" t="s">
        <v>2848</v>
      </c>
    </row>
    <row r="2166" spans="1:10" ht="15.75" customHeight="1" x14ac:dyDescent="0.25">
      <c r="A2166" s="21">
        <v>20040108</v>
      </c>
      <c r="B2166" s="11" t="s">
        <v>1039</v>
      </c>
      <c r="C2166" s="11" t="s">
        <v>2163</v>
      </c>
      <c r="D2166" s="1">
        <v>13</v>
      </c>
      <c r="F2166" s="1"/>
      <c r="G2166" s="1">
        <v>13</v>
      </c>
      <c r="H2166" s="1" t="s">
        <v>2880</v>
      </c>
      <c r="I2166" s="1" t="s">
        <v>2700</v>
      </c>
    </row>
    <row r="2167" spans="1:10" ht="15.75" customHeight="1" x14ac:dyDescent="0.25">
      <c r="A2167" s="4">
        <v>20040108</v>
      </c>
      <c r="B2167" s="1" t="s">
        <v>1055</v>
      </c>
      <c r="C2167" s="11" t="s">
        <v>2177</v>
      </c>
      <c r="D2167" s="4">
        <f>ROUND(E2167*F2167*1.25,0)</f>
        <v>169</v>
      </c>
      <c r="E2167" s="10">
        <v>1.04</v>
      </c>
      <c r="F2167" s="1">
        <v>130</v>
      </c>
      <c r="H2167" s="1" t="s">
        <v>3196</v>
      </c>
      <c r="I2167" s="1" t="s">
        <v>2999</v>
      </c>
    </row>
    <row r="2168" spans="1:10" ht="15.75" customHeight="1" x14ac:dyDescent="0.25">
      <c r="A2168" s="4">
        <v>20040108</v>
      </c>
      <c r="B2168" s="1" t="s">
        <v>1045</v>
      </c>
      <c r="C2168" s="11" t="s">
        <v>2169</v>
      </c>
      <c r="D2168" s="4">
        <f>ROUND(E2168*F2168*1.25,0)</f>
        <v>109</v>
      </c>
      <c r="E2168" s="10">
        <v>1.04</v>
      </c>
      <c r="F2168" s="1">
        <v>84</v>
      </c>
      <c r="H2168" s="1" t="s">
        <v>3196</v>
      </c>
      <c r="I2168" s="1" t="s">
        <v>2999</v>
      </c>
    </row>
    <row r="2169" spans="1:10" ht="15.75" customHeight="1" x14ac:dyDescent="0.25">
      <c r="A2169" s="21">
        <v>20040108</v>
      </c>
      <c r="B2169" s="11" t="s">
        <v>1051</v>
      </c>
      <c r="C2169" s="11" t="s">
        <v>2174</v>
      </c>
      <c r="D2169" s="1">
        <v>13</v>
      </c>
      <c r="F2169" s="1"/>
      <c r="G2169" s="1">
        <v>13</v>
      </c>
      <c r="H2169" s="1" t="s">
        <v>2880</v>
      </c>
    </row>
    <row r="2170" spans="1:10" ht="15.75" customHeight="1" x14ac:dyDescent="0.25">
      <c r="A2170" s="4">
        <v>20040109</v>
      </c>
      <c r="B2170" s="1" t="s">
        <v>1054</v>
      </c>
      <c r="C2170" s="11" t="s">
        <v>2176</v>
      </c>
      <c r="D2170" s="4">
        <f>ROUND(E2170*F2170*1.25,0)</f>
        <v>7</v>
      </c>
      <c r="E2170" s="10">
        <f>19/18</f>
        <v>1.0555555555555556</v>
      </c>
      <c r="F2170" s="1">
        <v>5</v>
      </c>
      <c r="H2170" s="1" t="s">
        <v>2834</v>
      </c>
    </row>
    <row r="2171" spans="1:10" ht="15.75" customHeight="1" x14ac:dyDescent="0.25">
      <c r="A2171" s="4">
        <v>20040109</v>
      </c>
      <c r="B2171" s="1" t="s">
        <v>1040</v>
      </c>
      <c r="C2171" s="11" t="s">
        <v>2164</v>
      </c>
      <c r="D2171" s="4">
        <f>ROUND(E2171*F2171,0)</f>
        <v>44</v>
      </c>
      <c r="E2171" s="10">
        <f>19/18</f>
        <v>1.0555555555555556</v>
      </c>
      <c r="F2171" s="1">
        <v>42</v>
      </c>
      <c r="H2171" s="1" t="s">
        <v>2834</v>
      </c>
      <c r="I2171" s="1" t="s">
        <v>3191</v>
      </c>
    </row>
    <row r="2172" spans="1:10" ht="15.75" customHeight="1" x14ac:dyDescent="0.25">
      <c r="A2172" s="4">
        <v>20040109</v>
      </c>
      <c r="B2172" s="1" t="s">
        <v>1040</v>
      </c>
      <c r="C2172" s="11" t="s">
        <v>27</v>
      </c>
      <c r="D2172" s="4">
        <f>ROUND(E2172*F2172,0)</f>
        <v>137</v>
      </c>
      <c r="E2172" s="10">
        <f>19/18</f>
        <v>1.0555555555555556</v>
      </c>
      <c r="F2172" s="1">
        <v>130</v>
      </c>
      <c r="G2172" s="4"/>
      <c r="H2172" s="1" t="s">
        <v>2834</v>
      </c>
      <c r="I2172" s="1" t="s">
        <v>2999</v>
      </c>
      <c r="J2172" s="1" t="s">
        <v>3132</v>
      </c>
    </row>
    <row r="2173" spans="1:10" ht="15.75" customHeight="1" x14ac:dyDescent="0.25">
      <c r="A2173" s="21">
        <v>20040109</v>
      </c>
      <c r="B2173" s="11" t="s">
        <v>1040</v>
      </c>
      <c r="C2173" s="11" t="s">
        <v>11</v>
      </c>
      <c r="D2173" s="4">
        <v>20</v>
      </c>
    </row>
    <row r="2174" spans="1:10" ht="15.75" customHeight="1" x14ac:dyDescent="0.25">
      <c r="A2174" s="26">
        <v>20040109</v>
      </c>
      <c r="B2174" s="25" t="s">
        <v>1040</v>
      </c>
      <c r="C2174" s="25" t="s">
        <v>12</v>
      </c>
      <c r="D2174" s="4">
        <v>35</v>
      </c>
      <c r="H2174" s="1" t="s">
        <v>2834</v>
      </c>
    </row>
    <row r="2175" spans="1:10" ht="15.75" customHeight="1" x14ac:dyDescent="0.25">
      <c r="A2175" s="4">
        <v>20040109</v>
      </c>
      <c r="B2175" s="1" t="s">
        <v>1040</v>
      </c>
      <c r="C2175" s="11" t="s">
        <v>2675</v>
      </c>
      <c r="D2175" s="4">
        <f>ROUND(E2175*F2175,0)</f>
        <v>53</v>
      </c>
      <c r="E2175" s="10">
        <f>19/18</f>
        <v>1.0555555555555556</v>
      </c>
      <c r="F2175" s="1">
        <v>50</v>
      </c>
      <c r="H2175" s="1" t="s">
        <v>2834</v>
      </c>
    </row>
    <row r="2176" spans="1:10" ht="15.75" customHeight="1" x14ac:dyDescent="0.25">
      <c r="A2176" s="4">
        <v>20040109</v>
      </c>
      <c r="B2176" s="1" t="s">
        <v>2503</v>
      </c>
      <c r="C2176" s="11" t="s">
        <v>2173</v>
      </c>
      <c r="D2176" s="4">
        <f>ROUND(E2176*F2176*1.25,0)</f>
        <v>111</v>
      </c>
      <c r="E2176" s="10">
        <f>19/18</f>
        <v>1.0555555555555556</v>
      </c>
      <c r="F2176" s="1">
        <v>84</v>
      </c>
      <c r="H2176" s="1" t="s">
        <v>2834</v>
      </c>
      <c r="I2176" s="1" t="s">
        <v>2999</v>
      </c>
    </row>
    <row r="2177" spans="1:10" ht="15.75" customHeight="1" x14ac:dyDescent="0.25">
      <c r="A2177" s="21">
        <v>20040109</v>
      </c>
      <c r="B2177" s="11" t="s">
        <v>2503</v>
      </c>
      <c r="C2177" s="11" t="s">
        <v>2174</v>
      </c>
      <c r="D2177" s="1">
        <v>20</v>
      </c>
      <c r="F2177" s="1"/>
      <c r="H2177" s="1" t="s">
        <v>2834</v>
      </c>
    </row>
    <row r="2178" spans="1:10" ht="15.75" customHeight="1" x14ac:dyDescent="0.25">
      <c r="A2178" s="26">
        <v>20040110</v>
      </c>
      <c r="B2178" s="25" t="s">
        <v>1052</v>
      </c>
      <c r="C2178" s="25" t="s">
        <v>11</v>
      </c>
      <c r="D2178" s="4">
        <v>18</v>
      </c>
      <c r="H2178" s="1" t="s">
        <v>2836</v>
      </c>
    </row>
    <row r="2179" spans="1:10" ht="15.75" customHeight="1" x14ac:dyDescent="0.25">
      <c r="A2179" s="4">
        <v>20040110</v>
      </c>
      <c r="B2179" s="1" t="s">
        <v>1052</v>
      </c>
      <c r="C2179" s="11" t="s">
        <v>2175</v>
      </c>
      <c r="D2179" s="4">
        <f>ROUND(E2179*F2179*1.25,0)</f>
        <v>111</v>
      </c>
      <c r="E2179" s="10">
        <f>19/18</f>
        <v>1.0555555555555556</v>
      </c>
      <c r="F2179" s="1">
        <v>84</v>
      </c>
      <c r="H2179" s="1" t="s">
        <v>2836</v>
      </c>
      <c r="I2179" s="1" t="s">
        <v>2999</v>
      </c>
    </row>
    <row r="2180" spans="1:10" ht="15.75" customHeight="1" x14ac:dyDescent="0.25">
      <c r="A2180" s="21">
        <v>20040110</v>
      </c>
      <c r="B2180" s="11" t="s">
        <v>2535</v>
      </c>
      <c r="C2180" s="11" t="s">
        <v>2174</v>
      </c>
      <c r="D2180" s="4">
        <f>G2180</f>
        <v>18</v>
      </c>
      <c r="F2180" s="1"/>
      <c r="G2180" s="1">
        <v>18</v>
      </c>
      <c r="H2180" s="1" t="s">
        <v>2836</v>
      </c>
    </row>
    <row r="2181" spans="1:10" ht="15.75" customHeight="1" x14ac:dyDescent="0.25">
      <c r="A2181" s="21">
        <v>20040111</v>
      </c>
      <c r="B2181" s="11" t="s">
        <v>1056</v>
      </c>
      <c r="C2181" s="11" t="s">
        <v>2178</v>
      </c>
      <c r="D2181" s="4">
        <f>G2181</f>
        <v>18</v>
      </c>
      <c r="F2181" s="1"/>
      <c r="G2181" s="1">
        <v>18</v>
      </c>
      <c r="H2181" s="1" t="s">
        <v>2836</v>
      </c>
    </row>
    <row r="2182" spans="1:10" ht="15.75" customHeight="1" x14ac:dyDescent="0.25">
      <c r="A2182" s="4">
        <v>20040111</v>
      </c>
      <c r="B2182" s="1" t="s">
        <v>1053</v>
      </c>
      <c r="C2182" s="11" t="s">
        <v>2175</v>
      </c>
      <c r="D2182" s="4">
        <f>ROUND(E2182*F2182*1.25,0)</f>
        <v>111</v>
      </c>
      <c r="E2182" s="10">
        <f>19/18</f>
        <v>1.0555555555555556</v>
      </c>
      <c r="F2182" s="1">
        <v>84</v>
      </c>
      <c r="H2182" s="1" t="s">
        <v>2836</v>
      </c>
      <c r="I2182" s="1" t="s">
        <v>2999</v>
      </c>
    </row>
    <row r="2183" spans="1:10" ht="15.75" customHeight="1" x14ac:dyDescent="0.25">
      <c r="A2183" s="4">
        <v>20040112</v>
      </c>
      <c r="B2183" s="1" t="s">
        <v>3098</v>
      </c>
      <c r="C2183" s="11" t="s">
        <v>24</v>
      </c>
      <c r="D2183" s="1">
        <v>88</v>
      </c>
      <c r="F2183" s="1"/>
      <c r="G2183" s="1">
        <v>88</v>
      </c>
      <c r="H2183" s="1" t="s">
        <v>2828</v>
      </c>
      <c r="I2183" s="1" t="s">
        <v>2992</v>
      </c>
      <c r="J2183" s="1" t="s">
        <v>3132</v>
      </c>
    </row>
    <row r="2184" spans="1:10" ht="15.75" customHeight="1" x14ac:dyDescent="0.25">
      <c r="A2184" s="21">
        <v>20040112</v>
      </c>
      <c r="B2184" s="11" t="s">
        <v>3098</v>
      </c>
      <c r="C2184" s="11" t="s">
        <v>26</v>
      </c>
      <c r="D2184" s="4">
        <v>25</v>
      </c>
      <c r="E2184" s="10"/>
      <c r="F2184" s="1"/>
      <c r="G2184" s="1">
        <v>25</v>
      </c>
      <c r="H2184" s="1" t="s">
        <v>2875</v>
      </c>
      <c r="I2184" s="1" t="s">
        <v>2877</v>
      </c>
      <c r="J2184" s="1" t="s">
        <v>3132</v>
      </c>
    </row>
    <row r="2185" spans="1:10" ht="15.75" customHeight="1" x14ac:dyDescent="0.25">
      <c r="A2185" s="21">
        <v>20040113</v>
      </c>
      <c r="B2185" s="11" t="s">
        <v>3099</v>
      </c>
      <c r="C2185" s="11" t="s">
        <v>26</v>
      </c>
      <c r="D2185" s="4">
        <f>ROUND(E2185*F2185*1.25,0)</f>
        <v>20</v>
      </c>
      <c r="E2185" s="10">
        <f>19/18</f>
        <v>1.0555555555555556</v>
      </c>
      <c r="F2185" s="1">
        <v>15</v>
      </c>
      <c r="G2185" s="4"/>
      <c r="H2185" s="1" t="s">
        <v>2837</v>
      </c>
      <c r="I2185" s="1" t="s">
        <v>2999</v>
      </c>
      <c r="J2185" s="1" t="s">
        <v>3132</v>
      </c>
    </row>
    <row r="2186" spans="1:10" ht="15.75" customHeight="1" x14ac:dyDescent="0.25">
      <c r="A2186" s="4">
        <v>20040113</v>
      </c>
      <c r="B2186" s="1" t="s">
        <v>3099</v>
      </c>
      <c r="C2186" s="11" t="s">
        <v>24</v>
      </c>
      <c r="D2186" s="4">
        <f>ROUND(E2186*F2186*1.25,0)</f>
        <v>111</v>
      </c>
      <c r="E2186" s="10">
        <f>19/18</f>
        <v>1.0555555555555556</v>
      </c>
      <c r="F2186" s="1">
        <v>84</v>
      </c>
      <c r="G2186" s="4"/>
      <c r="H2186" s="1" t="s">
        <v>2837</v>
      </c>
      <c r="I2186" s="1" t="s">
        <v>2999</v>
      </c>
    </row>
    <row r="2187" spans="1:10" ht="15.75" customHeight="1" x14ac:dyDescent="0.25">
      <c r="A2187" s="4">
        <v>20040114</v>
      </c>
      <c r="B2187" s="1" t="s">
        <v>3100</v>
      </c>
      <c r="C2187" s="11" t="s">
        <v>27</v>
      </c>
      <c r="D2187" s="4">
        <v>132</v>
      </c>
      <c r="F2187" s="1"/>
      <c r="G2187" s="1">
        <v>132</v>
      </c>
      <c r="H2187" s="1" t="s">
        <v>2828</v>
      </c>
      <c r="I2187" s="1" t="s">
        <v>3030</v>
      </c>
      <c r="J2187" s="1" t="s">
        <v>3132</v>
      </c>
    </row>
    <row r="2188" spans="1:10" ht="15.75" customHeight="1" x14ac:dyDescent="0.25">
      <c r="A2188" s="4">
        <v>20040114</v>
      </c>
      <c r="B2188" s="1" t="s">
        <v>3100</v>
      </c>
      <c r="C2188" s="11" t="s">
        <v>24</v>
      </c>
      <c r="D2188" s="1">
        <v>88</v>
      </c>
      <c r="F2188" s="1"/>
      <c r="G2188" s="1">
        <v>88</v>
      </c>
      <c r="H2188" s="1" t="s">
        <v>2828</v>
      </c>
      <c r="I2188" s="1" t="s">
        <v>2992</v>
      </c>
      <c r="J2188" s="1" t="s">
        <v>3132</v>
      </c>
    </row>
    <row r="2189" spans="1:10" ht="15.75" customHeight="1" x14ac:dyDescent="0.25">
      <c r="A2189" s="21">
        <v>20040114</v>
      </c>
      <c r="B2189" s="11" t="s">
        <v>3100</v>
      </c>
      <c r="C2189" s="11" t="s">
        <v>26</v>
      </c>
      <c r="D2189" s="4">
        <f>G2189</f>
        <v>18</v>
      </c>
      <c r="F2189" s="1"/>
      <c r="G2189" s="1">
        <v>18</v>
      </c>
      <c r="H2189" s="1" t="s">
        <v>2835</v>
      </c>
      <c r="I2189" s="1" t="s">
        <v>2522</v>
      </c>
      <c r="J2189" s="1" t="s">
        <v>3132</v>
      </c>
    </row>
    <row r="2190" spans="1:10" ht="15.75" customHeight="1" x14ac:dyDescent="0.25">
      <c r="A2190" s="21">
        <v>20040115</v>
      </c>
      <c r="B2190" s="11" t="s">
        <v>3101</v>
      </c>
      <c r="C2190" s="11" t="s">
        <v>26</v>
      </c>
      <c r="D2190" s="4">
        <f>ROUND(E2190*F2190*1.25,0)</f>
        <v>20</v>
      </c>
      <c r="E2190" s="10">
        <f>19/18</f>
        <v>1.0555555555555556</v>
      </c>
      <c r="F2190" s="1">
        <v>15</v>
      </c>
      <c r="G2190" s="4"/>
      <c r="H2190" s="1" t="s">
        <v>2837</v>
      </c>
      <c r="I2190" s="1" t="s">
        <v>2999</v>
      </c>
      <c r="J2190" s="1" t="s">
        <v>3132</v>
      </c>
    </row>
    <row r="2191" spans="1:10" ht="15.75" customHeight="1" x14ac:dyDescent="0.25">
      <c r="A2191" s="26">
        <v>20040116</v>
      </c>
      <c r="B2191" s="25" t="s">
        <v>3102</v>
      </c>
      <c r="C2191" s="25" t="s">
        <v>27</v>
      </c>
      <c r="D2191" s="4">
        <v>132</v>
      </c>
      <c r="H2191" s="1" t="s">
        <v>3151</v>
      </c>
    </row>
    <row r="2192" spans="1:10" ht="15.75" customHeight="1" x14ac:dyDescent="0.25">
      <c r="A2192" s="4">
        <v>20040116</v>
      </c>
      <c r="B2192" s="1" t="s">
        <v>3102</v>
      </c>
      <c r="C2192" s="11" t="s">
        <v>24</v>
      </c>
      <c r="D2192" s="1">
        <f>ROUND(E2192*F2192*1.25,0)</f>
        <v>68</v>
      </c>
      <c r="E2192" s="1">
        <v>0.65</v>
      </c>
      <c r="F2192" s="1">
        <v>84</v>
      </c>
      <c r="G2192" s="4"/>
      <c r="H2192" s="1" t="s">
        <v>3151</v>
      </c>
      <c r="I2192" s="1" t="s">
        <v>3155</v>
      </c>
      <c r="J2192" s="1" t="s">
        <v>3132</v>
      </c>
    </row>
    <row r="2193" spans="1:10" ht="15.75" customHeight="1" x14ac:dyDescent="0.25">
      <c r="A2193" s="21">
        <v>20040116</v>
      </c>
      <c r="B2193" s="11" t="s">
        <v>3102</v>
      </c>
      <c r="C2193" s="11" t="s">
        <v>26</v>
      </c>
      <c r="D2193" s="1">
        <v>14</v>
      </c>
      <c r="E2193" s="4"/>
      <c r="F2193" s="1" t="s">
        <v>3132</v>
      </c>
      <c r="G2193" s="4">
        <v>14</v>
      </c>
      <c r="H2193" s="1" t="s">
        <v>2972</v>
      </c>
      <c r="I2193" s="1" t="s">
        <v>3132</v>
      </c>
      <c r="J2193" s="1" t="s">
        <v>3132</v>
      </c>
    </row>
    <row r="2194" spans="1:10" ht="15.75" customHeight="1" x14ac:dyDescent="0.25">
      <c r="A2194" s="21">
        <v>20040201</v>
      </c>
      <c r="B2194" s="11" t="s">
        <v>1057</v>
      </c>
      <c r="C2194" s="11" t="s">
        <v>2179</v>
      </c>
      <c r="D2194" s="4">
        <v>19</v>
      </c>
      <c r="E2194" s="10"/>
      <c r="F2194" s="1"/>
      <c r="G2194" s="1">
        <v>19</v>
      </c>
      <c r="H2194" s="1" t="s">
        <v>2837</v>
      </c>
      <c r="I2194" s="1" t="s">
        <v>2700</v>
      </c>
    </row>
    <row r="2195" spans="1:10" ht="15.75" customHeight="1" x14ac:dyDescent="0.25">
      <c r="A2195" s="4">
        <v>20040201</v>
      </c>
      <c r="B2195" s="1" t="s">
        <v>1060</v>
      </c>
      <c r="C2195" s="11" t="s">
        <v>2181</v>
      </c>
      <c r="D2195" s="4">
        <f>ROUND(E2195*F2195*1.25,0)</f>
        <v>111</v>
      </c>
      <c r="E2195" s="10">
        <f>19/18</f>
        <v>1.0555555555555556</v>
      </c>
      <c r="F2195" s="1">
        <v>84</v>
      </c>
      <c r="H2195" s="1" t="s">
        <v>2837</v>
      </c>
      <c r="I2195" s="1" t="s">
        <v>2999</v>
      </c>
    </row>
    <row r="2196" spans="1:10" ht="15.75" customHeight="1" x14ac:dyDescent="0.25">
      <c r="A2196" s="21">
        <v>20040201</v>
      </c>
      <c r="B2196" s="11" t="s">
        <v>1062</v>
      </c>
      <c r="C2196" s="11" t="s">
        <v>2184</v>
      </c>
      <c r="D2196" s="4">
        <v>19</v>
      </c>
      <c r="E2196" s="10"/>
      <c r="F2196" s="1"/>
      <c r="G2196" s="1">
        <v>19</v>
      </c>
      <c r="H2196" s="1" t="s">
        <v>2837</v>
      </c>
    </row>
    <row r="2197" spans="1:10" ht="15.75" customHeight="1" x14ac:dyDescent="0.25">
      <c r="A2197" s="21">
        <v>20040202</v>
      </c>
      <c r="B2197" s="11" t="s">
        <v>1058</v>
      </c>
      <c r="C2197" s="11" t="s">
        <v>12</v>
      </c>
      <c r="D2197" s="4">
        <v>38</v>
      </c>
    </row>
    <row r="2198" spans="1:10" ht="15.75" customHeight="1" x14ac:dyDescent="0.25">
      <c r="A2198" s="4">
        <v>20040202</v>
      </c>
      <c r="B2198" s="1" t="s">
        <v>1058</v>
      </c>
      <c r="C2198" s="11" t="s">
        <v>2675</v>
      </c>
      <c r="D2198" s="4">
        <f>ROUND(E2198*F2198,0)</f>
        <v>53</v>
      </c>
      <c r="E2198" s="10">
        <f>19/18</f>
        <v>1.0555555555555556</v>
      </c>
      <c r="F2198" s="1">
        <v>50</v>
      </c>
      <c r="H2198" s="1" t="s">
        <v>2837</v>
      </c>
    </row>
    <row r="2199" spans="1:10" ht="15.75" customHeight="1" x14ac:dyDescent="0.25">
      <c r="A2199" s="21">
        <v>20040202</v>
      </c>
      <c r="B2199" s="11" t="s">
        <v>1058</v>
      </c>
      <c r="C2199" s="11" t="s">
        <v>2180</v>
      </c>
      <c r="D2199" s="4">
        <v>19</v>
      </c>
      <c r="E2199" s="10"/>
      <c r="F2199" s="1"/>
      <c r="G2199" s="1">
        <v>19</v>
      </c>
      <c r="H2199" s="1" t="s">
        <v>2837</v>
      </c>
      <c r="I2199" s="1" t="s">
        <v>2700</v>
      </c>
    </row>
    <row r="2200" spans="1:10" ht="15.75" customHeight="1" x14ac:dyDescent="0.25">
      <c r="A2200" s="21">
        <v>20040202</v>
      </c>
      <c r="B2200" s="11" t="s">
        <v>1061</v>
      </c>
      <c r="C2200" s="11" t="s">
        <v>2182</v>
      </c>
      <c r="D2200" s="4">
        <v>19</v>
      </c>
      <c r="E2200" s="10"/>
      <c r="F2200" s="1"/>
      <c r="G2200" s="1">
        <v>19</v>
      </c>
      <c r="H2200" s="1" t="s">
        <v>2837</v>
      </c>
    </row>
    <row r="2201" spans="1:10" ht="15.75" customHeight="1" x14ac:dyDescent="0.25">
      <c r="A2201" s="4">
        <v>20040202</v>
      </c>
      <c r="B2201" s="1" t="s">
        <v>1061</v>
      </c>
      <c r="C2201" s="11" t="s">
        <v>2183</v>
      </c>
      <c r="D2201" s="4">
        <f>ROUND(E2201*F2201*1.25,0)</f>
        <v>111</v>
      </c>
      <c r="E2201" s="10">
        <f>19/18</f>
        <v>1.0555555555555556</v>
      </c>
      <c r="F2201" s="1">
        <v>84</v>
      </c>
      <c r="H2201" s="1" t="s">
        <v>2837</v>
      </c>
      <c r="I2201" s="1" t="s">
        <v>2999</v>
      </c>
    </row>
    <row r="2202" spans="1:10" ht="15.75" customHeight="1" x14ac:dyDescent="0.25">
      <c r="A2202" s="21">
        <v>20040203</v>
      </c>
      <c r="B2202" s="11" t="s">
        <v>3103</v>
      </c>
      <c r="C2202" s="11" t="s">
        <v>11</v>
      </c>
      <c r="D2202" s="4">
        <v>12</v>
      </c>
      <c r="F2202" s="1"/>
      <c r="G2202" s="4">
        <v>12</v>
      </c>
      <c r="H2202" s="1" t="s">
        <v>2861</v>
      </c>
      <c r="I2202" s="1" t="s">
        <v>2700</v>
      </c>
      <c r="J2202" s="1" t="s">
        <v>3132</v>
      </c>
    </row>
    <row r="2203" spans="1:10" ht="15.75" customHeight="1" x14ac:dyDescent="0.25">
      <c r="A2203" s="21">
        <v>20040203</v>
      </c>
      <c r="B2203" s="11" t="s">
        <v>3103</v>
      </c>
      <c r="C2203" s="11" t="s">
        <v>12</v>
      </c>
      <c r="D2203" s="1">
        <v>24</v>
      </c>
      <c r="E2203" s="4"/>
      <c r="F2203" s="1" t="s">
        <v>3132</v>
      </c>
      <c r="G2203" s="1">
        <v>24</v>
      </c>
      <c r="H2203" s="1" t="s">
        <v>2861</v>
      </c>
      <c r="I2203" s="1" t="s">
        <v>2701</v>
      </c>
      <c r="J2203" s="1" t="s">
        <v>3132</v>
      </c>
    </row>
    <row r="2204" spans="1:10" ht="15.75" customHeight="1" x14ac:dyDescent="0.25">
      <c r="A2204" s="21">
        <v>20040203</v>
      </c>
      <c r="B2204" s="11" t="s">
        <v>3103</v>
      </c>
      <c r="C2204" s="11" t="s">
        <v>19</v>
      </c>
      <c r="D2204" s="1">
        <v>48</v>
      </c>
      <c r="E2204" s="4"/>
      <c r="F2204" s="1" t="s">
        <v>3132</v>
      </c>
      <c r="G2204" s="1">
        <v>48</v>
      </c>
      <c r="H2204" s="1" t="s">
        <v>2861</v>
      </c>
      <c r="I2204" s="1" t="s">
        <v>2695</v>
      </c>
      <c r="J2204" s="1" t="s">
        <v>3132</v>
      </c>
    </row>
    <row r="2205" spans="1:10" ht="15.75" customHeight="1" x14ac:dyDescent="0.25">
      <c r="A2205" s="4">
        <v>20040203</v>
      </c>
      <c r="B2205" s="11" t="s">
        <v>2527</v>
      </c>
      <c r="C2205" s="11" t="s">
        <v>2185</v>
      </c>
      <c r="D2205" s="4">
        <f>E2205*F2205</f>
        <v>86.835443037974684</v>
      </c>
      <c r="E2205" s="10">
        <f>245/237</f>
        <v>1.0337552742616034</v>
      </c>
      <c r="F2205" s="1">
        <v>84</v>
      </c>
      <c r="H2205" s="1" t="s">
        <v>2592</v>
      </c>
    </row>
    <row r="2206" spans="1:10" ht="15.75" customHeight="1" x14ac:dyDescent="0.25">
      <c r="A2206" s="21">
        <v>20040203</v>
      </c>
      <c r="B2206" s="11" t="s">
        <v>2527</v>
      </c>
      <c r="C2206" s="11" t="s">
        <v>2186</v>
      </c>
      <c r="D2206" s="4">
        <f>ROUND(E2206*F2206,0)</f>
        <v>28</v>
      </c>
      <c r="E2206" s="10">
        <v>1.03</v>
      </c>
      <c r="F2206" s="1">
        <v>27</v>
      </c>
      <c r="H2206" s="1" t="s">
        <v>2592</v>
      </c>
    </row>
    <row r="2207" spans="1:10" ht="15.75" customHeight="1" x14ac:dyDescent="0.25">
      <c r="A2207" s="21">
        <v>20040204</v>
      </c>
      <c r="B2207" s="11" t="s">
        <v>1059</v>
      </c>
      <c r="C2207" s="11" t="s">
        <v>2180</v>
      </c>
      <c r="D2207" s="4">
        <v>19</v>
      </c>
      <c r="E2207" s="10"/>
      <c r="F2207" s="1"/>
      <c r="G2207" s="1">
        <v>19</v>
      </c>
      <c r="H2207" s="1" t="s">
        <v>2837</v>
      </c>
      <c r="I2207" s="1" t="s">
        <v>2700</v>
      </c>
    </row>
    <row r="2208" spans="1:10" ht="15.75" customHeight="1" x14ac:dyDescent="0.25">
      <c r="A2208" s="4">
        <v>20040204</v>
      </c>
      <c r="B2208" s="1" t="s">
        <v>1063</v>
      </c>
      <c r="C2208" s="11" t="s">
        <v>2185</v>
      </c>
      <c r="D2208" s="4">
        <f>ROUND(E2208*F2208*1.25,0)</f>
        <v>111</v>
      </c>
      <c r="E2208" s="10">
        <v>1.06</v>
      </c>
      <c r="F2208" s="1">
        <v>84</v>
      </c>
      <c r="H2208" s="1" t="s">
        <v>2837</v>
      </c>
      <c r="I2208" s="1" t="s">
        <v>2999</v>
      </c>
    </row>
    <row r="2209" spans="1:10" ht="15.75" customHeight="1" x14ac:dyDescent="0.25">
      <c r="A2209" s="21">
        <v>20040204</v>
      </c>
      <c r="B2209" s="11" t="s">
        <v>1064</v>
      </c>
      <c r="C2209" s="11" t="s">
        <v>2186</v>
      </c>
      <c r="D2209" s="4">
        <f>G2209</f>
        <v>19</v>
      </c>
      <c r="F2209" s="1"/>
      <c r="G2209" s="1">
        <v>19</v>
      </c>
      <c r="H2209" s="1" t="s">
        <v>2837</v>
      </c>
    </row>
    <row r="2210" spans="1:10" ht="15.75" customHeight="1" x14ac:dyDescent="0.25">
      <c r="A2210" s="4">
        <v>20050101</v>
      </c>
      <c r="B2210" s="11" t="s">
        <v>1065</v>
      </c>
      <c r="C2210" s="11" t="s">
        <v>2187</v>
      </c>
      <c r="D2210" s="4">
        <f>ROUND(E2210*F2210*1.25,0)</f>
        <v>49</v>
      </c>
      <c r="E2210" s="1">
        <v>0.47</v>
      </c>
      <c r="F2210" s="1">
        <v>84</v>
      </c>
      <c r="H2210" s="1" t="s">
        <v>3187</v>
      </c>
      <c r="I2210" s="1" t="s">
        <v>2999</v>
      </c>
    </row>
    <row r="2211" spans="1:10" ht="15.75" customHeight="1" x14ac:dyDescent="0.25">
      <c r="A2211" s="21">
        <v>20050101</v>
      </c>
      <c r="B2211" s="11" t="s">
        <v>1066</v>
      </c>
      <c r="C2211" s="11" t="s">
        <v>2190</v>
      </c>
      <c r="D2211" s="4">
        <v>13</v>
      </c>
      <c r="F2211" s="1"/>
      <c r="G2211" s="1">
        <v>13</v>
      </c>
      <c r="H2211" s="1" t="s">
        <v>3152</v>
      </c>
      <c r="I2211" s="1" t="s">
        <v>3185</v>
      </c>
    </row>
    <row r="2212" spans="1:10" ht="15.75" customHeight="1" x14ac:dyDescent="0.25">
      <c r="A2212" s="4">
        <v>20050102</v>
      </c>
      <c r="B2212" s="11" t="s">
        <v>2510</v>
      </c>
      <c r="C2212" s="11" t="s">
        <v>2191</v>
      </c>
      <c r="D2212" s="4">
        <f>ROUND(E2212*F2212*1.25,0)</f>
        <v>49</v>
      </c>
      <c r="E2212" s="1">
        <v>0.47</v>
      </c>
      <c r="F2212" s="1">
        <v>84</v>
      </c>
      <c r="H2212" s="1" t="s">
        <v>3187</v>
      </c>
      <c r="I2212" s="1" t="s">
        <v>2999</v>
      </c>
    </row>
    <row r="2213" spans="1:10" ht="15.75" customHeight="1" x14ac:dyDescent="0.25">
      <c r="A2213" s="21">
        <v>20050102</v>
      </c>
      <c r="B2213" s="11" t="s">
        <v>2510</v>
      </c>
      <c r="C2213" s="11" t="s">
        <v>2188</v>
      </c>
      <c r="D2213" s="4">
        <v>13</v>
      </c>
      <c r="F2213" s="1"/>
      <c r="G2213" s="1">
        <v>13</v>
      </c>
      <c r="H2213" s="1" t="s">
        <v>3152</v>
      </c>
      <c r="I2213" s="1" t="s">
        <v>3185</v>
      </c>
    </row>
    <row r="2214" spans="1:10" ht="15.75" customHeight="1" x14ac:dyDescent="0.25">
      <c r="A2214" s="4">
        <v>20050103</v>
      </c>
      <c r="B2214" s="11" t="s">
        <v>1067</v>
      </c>
      <c r="C2214" s="11" t="s">
        <v>2191</v>
      </c>
      <c r="D2214" s="4">
        <f>ROUND(E2214*F2214*1.25,0)</f>
        <v>71</v>
      </c>
      <c r="E2214" s="1">
        <v>0.68</v>
      </c>
      <c r="F2214" s="1">
        <v>84</v>
      </c>
      <c r="H2214" s="1" t="s">
        <v>3188</v>
      </c>
      <c r="I2214" s="1" t="s">
        <v>2999</v>
      </c>
    </row>
    <row r="2215" spans="1:10" ht="15.75" customHeight="1" x14ac:dyDescent="0.25">
      <c r="A2215" s="21">
        <v>20050103</v>
      </c>
      <c r="B2215" s="11" t="s">
        <v>1069</v>
      </c>
      <c r="C2215" s="11" t="s">
        <v>2192</v>
      </c>
      <c r="D2215" s="4">
        <v>14</v>
      </c>
      <c r="F2215" s="1"/>
      <c r="G2215" s="1">
        <v>14</v>
      </c>
      <c r="H2215" s="1" t="s">
        <v>3152</v>
      </c>
      <c r="I2215" s="1" t="s">
        <v>3186</v>
      </c>
    </row>
    <row r="2216" spans="1:10" ht="15.75" customHeight="1" x14ac:dyDescent="0.25">
      <c r="A2216" s="21">
        <v>20050104</v>
      </c>
      <c r="B2216" s="11" t="s">
        <v>1070</v>
      </c>
      <c r="C2216" s="11" t="s">
        <v>2192</v>
      </c>
      <c r="D2216" s="4">
        <f>ROUND(E2216*F2216*1.25,0)</f>
        <v>20</v>
      </c>
      <c r="E2216" s="10">
        <v>1.04</v>
      </c>
      <c r="F2216" s="1">
        <v>15</v>
      </c>
      <c r="H2216" s="1" t="s">
        <v>3196</v>
      </c>
      <c r="I2216" s="1" t="s">
        <v>2999</v>
      </c>
    </row>
    <row r="2217" spans="1:10" ht="15.75" customHeight="1" x14ac:dyDescent="0.25">
      <c r="A2217" s="11">
        <v>20050104</v>
      </c>
      <c r="B2217" s="1" t="s">
        <v>2538</v>
      </c>
      <c r="C2217" s="11" t="s">
        <v>2189</v>
      </c>
      <c r="D2217" s="4">
        <f>ROUND(E2217*F2217*1.25,0)</f>
        <v>109</v>
      </c>
      <c r="E2217" s="10">
        <v>1.04</v>
      </c>
      <c r="F2217" s="1">
        <v>84</v>
      </c>
      <c r="H2217" s="1" t="s">
        <v>3196</v>
      </c>
      <c r="I2217" s="1" t="s">
        <v>2999</v>
      </c>
    </row>
    <row r="2218" spans="1:10" ht="15.75" customHeight="1" x14ac:dyDescent="0.25">
      <c r="A2218" s="4">
        <v>20050105</v>
      </c>
      <c r="B2218" s="30" t="s">
        <v>1068</v>
      </c>
      <c r="C2218" s="11" t="s">
        <v>2191</v>
      </c>
      <c r="D2218" s="4">
        <f>ROUND(E2218*F2218*1.25,0)</f>
        <v>109</v>
      </c>
      <c r="E2218" s="10">
        <v>1.04</v>
      </c>
      <c r="F2218" s="1">
        <v>84</v>
      </c>
      <c r="H2218" s="1" t="s">
        <v>3196</v>
      </c>
      <c r="I2218" s="1" t="s">
        <v>2999</v>
      </c>
    </row>
    <row r="2219" spans="1:10" ht="15.75" customHeight="1" x14ac:dyDescent="0.25">
      <c r="A2219" s="21">
        <v>20050105</v>
      </c>
      <c r="B2219" s="30" t="s">
        <v>2670</v>
      </c>
      <c r="C2219" s="11" t="s">
        <v>2192</v>
      </c>
      <c r="D2219" s="4">
        <f>G2219</f>
        <v>18</v>
      </c>
      <c r="F2219" s="1"/>
      <c r="G2219" s="1">
        <v>18</v>
      </c>
      <c r="H2219" s="1" t="s">
        <v>2838</v>
      </c>
    </row>
    <row r="2220" spans="1:10" ht="15.75" customHeight="1" x14ac:dyDescent="0.25">
      <c r="A2220" s="21">
        <v>20050106</v>
      </c>
      <c r="B2220" s="11" t="s">
        <v>3104</v>
      </c>
      <c r="C2220" s="11" t="s">
        <v>26</v>
      </c>
      <c r="D2220" s="4">
        <v>13</v>
      </c>
      <c r="F2220" s="1"/>
      <c r="G2220" s="1">
        <v>13</v>
      </c>
      <c r="H2220" s="1" t="s">
        <v>3152</v>
      </c>
      <c r="I2220" s="1" t="s">
        <v>3185</v>
      </c>
    </row>
    <row r="2221" spans="1:10" ht="15.75" customHeight="1" x14ac:dyDescent="0.25">
      <c r="A2221" s="4">
        <v>20050106</v>
      </c>
      <c r="B2221" s="1" t="s">
        <v>3104</v>
      </c>
      <c r="C2221" s="11" t="s">
        <v>24</v>
      </c>
      <c r="D2221" s="4">
        <f>ROUND(E2221*F2221*1.25,0)</f>
        <v>49</v>
      </c>
      <c r="E2221" s="1">
        <v>0.47</v>
      </c>
      <c r="F2221" s="1">
        <v>84</v>
      </c>
      <c r="G2221" s="4"/>
      <c r="H2221" s="1" t="s">
        <v>3187</v>
      </c>
      <c r="I2221" s="1" t="s">
        <v>2999</v>
      </c>
    </row>
    <row r="2222" spans="1:10" ht="15.75" customHeight="1" x14ac:dyDescent="0.25">
      <c r="A2222" s="21">
        <v>20050202</v>
      </c>
      <c r="B2222" s="11" t="s">
        <v>1071</v>
      </c>
      <c r="C2222" s="11" t="s">
        <v>2194</v>
      </c>
      <c r="D2222" s="4">
        <v>14</v>
      </c>
      <c r="F2222" s="1"/>
      <c r="G2222" s="1">
        <v>14</v>
      </c>
      <c r="H2222" s="1" t="s">
        <v>3152</v>
      </c>
      <c r="I2222" s="1" t="s">
        <v>3186</v>
      </c>
    </row>
    <row r="2223" spans="1:10" ht="15.75" customHeight="1" x14ac:dyDescent="0.25">
      <c r="A2223" s="4">
        <v>20050202</v>
      </c>
      <c r="B2223" s="1" t="s">
        <v>1071</v>
      </c>
      <c r="C2223" s="11" t="s">
        <v>2193</v>
      </c>
      <c r="D2223" s="4">
        <f>ROUND(E2223*F2223*1.25,0)</f>
        <v>71</v>
      </c>
      <c r="E2223" s="1">
        <v>0.68</v>
      </c>
      <c r="F2223" s="1">
        <v>84</v>
      </c>
      <c r="H2223" s="1" t="s">
        <v>3188</v>
      </c>
      <c r="I2223" s="1" t="s">
        <v>2999</v>
      </c>
    </row>
    <row r="2224" spans="1:10" ht="15.75" customHeight="1" x14ac:dyDescent="0.25">
      <c r="A2224" s="4">
        <v>20050203</v>
      </c>
      <c r="B2224" s="1" t="s">
        <v>3105</v>
      </c>
      <c r="C2224" s="11" t="s">
        <v>24</v>
      </c>
      <c r="D2224" s="4">
        <f>ROUND(E2224*F2224*1.25,0)</f>
        <v>71</v>
      </c>
      <c r="E2224" s="1">
        <v>0.68</v>
      </c>
      <c r="F2224" s="1">
        <v>84</v>
      </c>
      <c r="H2224" s="1" t="s">
        <v>3188</v>
      </c>
      <c r="I2224" s="1" t="s">
        <v>2999</v>
      </c>
      <c r="J2224" s="1" t="s">
        <v>3132</v>
      </c>
    </row>
    <row r="2225" spans="1:10" ht="15.75" customHeight="1" x14ac:dyDescent="0.25">
      <c r="A2225" s="4">
        <v>20050301</v>
      </c>
      <c r="B2225" s="1" t="s">
        <v>1072</v>
      </c>
      <c r="C2225" s="11" t="s">
        <v>2195</v>
      </c>
      <c r="D2225" s="4">
        <f>ROUND(E2225*F2225*1.25,0)</f>
        <v>49</v>
      </c>
      <c r="E2225" s="1">
        <v>0.47</v>
      </c>
      <c r="F2225" s="1">
        <v>84</v>
      </c>
      <c r="H2225" s="1" t="s">
        <v>3187</v>
      </c>
      <c r="I2225" s="1" t="s">
        <v>2999</v>
      </c>
    </row>
    <row r="2226" spans="1:10" ht="15.75" customHeight="1" x14ac:dyDescent="0.25">
      <c r="A2226" s="21">
        <v>20050301</v>
      </c>
      <c r="B2226" s="11" t="s">
        <v>1074</v>
      </c>
      <c r="C2226" s="11" t="s">
        <v>2196</v>
      </c>
      <c r="D2226" s="4">
        <v>13</v>
      </c>
      <c r="F2226" s="1"/>
      <c r="G2226" s="1">
        <v>13</v>
      </c>
      <c r="H2226" s="1" t="s">
        <v>3152</v>
      </c>
      <c r="I2226" s="1" t="s">
        <v>3185</v>
      </c>
    </row>
    <row r="2227" spans="1:10" ht="15.75" customHeight="1" x14ac:dyDescent="0.25">
      <c r="A2227" s="26">
        <v>20050302</v>
      </c>
      <c r="B2227" s="25" t="s">
        <v>1073</v>
      </c>
      <c r="C2227" s="25" t="s">
        <v>13</v>
      </c>
      <c r="D2227" s="4">
        <v>52</v>
      </c>
      <c r="H2227" s="1" t="s">
        <v>3187</v>
      </c>
    </row>
    <row r="2228" spans="1:10" ht="15.75" customHeight="1" x14ac:dyDescent="0.25">
      <c r="A2228" s="4">
        <v>20050302</v>
      </c>
      <c r="B2228" s="1" t="s">
        <v>2507</v>
      </c>
      <c r="C2228" s="11" t="s">
        <v>2197</v>
      </c>
      <c r="D2228" s="4">
        <f>ROUND(E2228*F2228*1.25,0)</f>
        <v>49</v>
      </c>
      <c r="E2228" s="1">
        <v>0.47</v>
      </c>
      <c r="F2228" s="1">
        <v>84</v>
      </c>
      <c r="H2228" s="1" t="s">
        <v>3187</v>
      </c>
      <c r="I2228" s="1" t="s">
        <v>2999</v>
      </c>
    </row>
    <row r="2229" spans="1:10" ht="15.75" customHeight="1" x14ac:dyDescent="0.25">
      <c r="A2229" s="21">
        <v>20050302</v>
      </c>
      <c r="B2229" s="11" t="s">
        <v>1073</v>
      </c>
      <c r="C2229" s="11" t="s">
        <v>2196</v>
      </c>
      <c r="D2229" s="4">
        <v>13</v>
      </c>
      <c r="F2229" s="1"/>
      <c r="G2229" s="1">
        <v>13</v>
      </c>
      <c r="H2229" s="1" t="s">
        <v>3152</v>
      </c>
      <c r="I2229" s="1" t="s">
        <v>3185</v>
      </c>
    </row>
    <row r="2230" spans="1:10" ht="15.75" customHeight="1" x14ac:dyDescent="0.25">
      <c r="A2230" s="4">
        <v>20050303</v>
      </c>
      <c r="B2230" s="1" t="s">
        <v>1076</v>
      </c>
      <c r="C2230" s="11" t="s">
        <v>2197</v>
      </c>
      <c r="D2230" s="4">
        <f>ROUND(E2230*F2230*1.25,0)</f>
        <v>71</v>
      </c>
      <c r="E2230" s="1">
        <v>0.68</v>
      </c>
      <c r="F2230" s="1">
        <v>84</v>
      </c>
      <c r="H2230" s="1" t="s">
        <v>3188</v>
      </c>
      <c r="I2230" s="1" t="s">
        <v>2999</v>
      </c>
    </row>
    <row r="2231" spans="1:10" ht="15.75" customHeight="1" x14ac:dyDescent="0.25">
      <c r="A2231" s="21">
        <v>20050303</v>
      </c>
      <c r="B2231" s="11" t="s">
        <v>1076</v>
      </c>
      <c r="C2231" s="11" t="s">
        <v>2198</v>
      </c>
      <c r="D2231" s="4">
        <v>14</v>
      </c>
      <c r="F2231" s="1"/>
      <c r="G2231" s="1">
        <v>14</v>
      </c>
      <c r="H2231" s="1" t="s">
        <v>3152</v>
      </c>
      <c r="I2231" s="1" t="s">
        <v>3186</v>
      </c>
    </row>
    <row r="2232" spans="1:10" ht="15.75" customHeight="1" x14ac:dyDescent="0.25">
      <c r="A2232" s="4">
        <v>20050304</v>
      </c>
      <c r="B2232" s="1" t="s">
        <v>1075</v>
      </c>
      <c r="C2232" s="11" t="s">
        <v>2675</v>
      </c>
      <c r="D2232" s="4">
        <f>ROUND(E2232*F2232*1.25,0)</f>
        <v>65</v>
      </c>
      <c r="E2232" s="10">
        <v>1.04</v>
      </c>
      <c r="F2232" s="1">
        <v>50</v>
      </c>
      <c r="H2232" s="1" t="s">
        <v>3196</v>
      </c>
      <c r="I2232" s="1" t="s">
        <v>2999</v>
      </c>
    </row>
    <row r="2233" spans="1:10" ht="15.75" customHeight="1" x14ac:dyDescent="0.25">
      <c r="A2233" s="4">
        <v>20050304</v>
      </c>
      <c r="B2233" s="1" t="s">
        <v>1082</v>
      </c>
      <c r="C2233" s="11" t="s">
        <v>2202</v>
      </c>
      <c r="D2233" s="4">
        <f>ROUND(E2233*F2233*1.25,0)</f>
        <v>169</v>
      </c>
      <c r="E2233" s="10">
        <v>1.04</v>
      </c>
      <c r="F2233" s="1">
        <v>130</v>
      </c>
      <c r="H2233" s="1" t="s">
        <v>3196</v>
      </c>
      <c r="I2233" s="1" t="s">
        <v>2999</v>
      </c>
    </row>
    <row r="2234" spans="1:10" ht="15.75" customHeight="1" x14ac:dyDescent="0.25">
      <c r="A2234" s="4">
        <v>20050304</v>
      </c>
      <c r="B2234" s="1" t="s">
        <v>1075</v>
      </c>
      <c r="C2234" s="11" t="s">
        <v>2197</v>
      </c>
      <c r="D2234" s="4">
        <f>ROUND(E2234*F2234*1.25,0)</f>
        <v>109</v>
      </c>
      <c r="E2234" s="10">
        <v>1.04</v>
      </c>
      <c r="F2234" s="1">
        <v>84</v>
      </c>
      <c r="H2234" s="1" t="s">
        <v>3196</v>
      </c>
      <c r="I2234" s="1" t="s">
        <v>2999</v>
      </c>
    </row>
    <row r="2235" spans="1:10" ht="15.75" customHeight="1" x14ac:dyDescent="0.25">
      <c r="A2235" s="21">
        <v>20050304</v>
      </c>
      <c r="B2235" s="31" t="s">
        <v>2511</v>
      </c>
      <c r="C2235" s="31" t="s">
        <v>26</v>
      </c>
      <c r="D2235" s="4">
        <f>G2235</f>
        <v>18</v>
      </c>
      <c r="F2235" s="1"/>
      <c r="G2235" s="1">
        <v>18</v>
      </c>
      <c r="H2235" s="1" t="s">
        <v>2839</v>
      </c>
    </row>
    <row r="2236" spans="1:10" ht="15.75" customHeight="1" x14ac:dyDescent="0.25">
      <c r="A2236" s="21">
        <v>20050305</v>
      </c>
      <c r="B2236" s="11" t="s">
        <v>1077</v>
      </c>
      <c r="C2236" s="11" t="s">
        <v>11</v>
      </c>
      <c r="D2236" s="4">
        <f>ROUND(E2236*F2236*1.25,0)</f>
        <v>20</v>
      </c>
      <c r="E2236" s="10">
        <v>1.04</v>
      </c>
      <c r="F2236" s="1">
        <v>15</v>
      </c>
      <c r="G2236" s="4"/>
      <c r="H2236" s="1" t="s">
        <v>3196</v>
      </c>
      <c r="I2236" s="1" t="s">
        <v>2700</v>
      </c>
      <c r="J2236" s="1" t="s">
        <v>3132</v>
      </c>
    </row>
    <row r="2237" spans="1:10" ht="15.75" customHeight="1" x14ac:dyDescent="0.25">
      <c r="A2237" s="4">
        <v>20050305</v>
      </c>
      <c r="B2237" s="1" t="s">
        <v>1077</v>
      </c>
      <c r="C2237" s="11" t="s">
        <v>2199</v>
      </c>
      <c r="D2237" s="4">
        <f>ROUND(E2237*F2237*1.25,0)</f>
        <v>113</v>
      </c>
      <c r="E2237" s="1">
        <v>1.08</v>
      </c>
      <c r="F2237" s="1">
        <v>84</v>
      </c>
      <c r="H2237" s="1" t="s">
        <v>3177</v>
      </c>
      <c r="I2237" s="1" t="s">
        <v>2999</v>
      </c>
    </row>
    <row r="2238" spans="1:10" ht="15.75" customHeight="1" x14ac:dyDescent="0.25">
      <c r="A2238" s="21">
        <v>20050305</v>
      </c>
      <c r="B2238" s="11" t="s">
        <v>1080</v>
      </c>
      <c r="C2238" s="11" t="s">
        <v>2200</v>
      </c>
      <c r="D2238" s="1">
        <v>18</v>
      </c>
      <c r="F2238" s="1"/>
      <c r="G2238" s="1">
        <v>18</v>
      </c>
      <c r="H2238" s="1" t="s">
        <v>2753</v>
      </c>
    </row>
    <row r="2239" spans="1:10" ht="15.75" customHeight="1" x14ac:dyDescent="0.25">
      <c r="A2239" s="4">
        <v>20050306</v>
      </c>
      <c r="B2239" s="1" t="s">
        <v>1084</v>
      </c>
      <c r="C2239" s="11" t="s">
        <v>2204</v>
      </c>
      <c r="D2239" s="4">
        <f>ROUND(E2239*F2239*1.25,0)</f>
        <v>111</v>
      </c>
      <c r="E2239" s="1">
        <v>0.68</v>
      </c>
      <c r="F2239" s="1">
        <v>130</v>
      </c>
      <c r="H2239" s="1" t="s">
        <v>3188</v>
      </c>
      <c r="I2239" s="1" t="s">
        <v>2999</v>
      </c>
    </row>
    <row r="2240" spans="1:10" ht="15.75" customHeight="1" x14ac:dyDescent="0.25">
      <c r="A2240" s="4">
        <v>20050306</v>
      </c>
      <c r="B2240" s="1" t="s">
        <v>1078</v>
      </c>
      <c r="C2240" s="11" t="s">
        <v>2199</v>
      </c>
      <c r="D2240" s="4">
        <f>ROUND(E2240*F2240*1.25,0)</f>
        <v>71</v>
      </c>
      <c r="E2240" s="1">
        <v>0.68</v>
      </c>
      <c r="F2240" s="1">
        <v>84</v>
      </c>
      <c r="H2240" s="1" t="s">
        <v>3188</v>
      </c>
      <c r="I2240" s="1" t="s">
        <v>2999</v>
      </c>
    </row>
    <row r="2241" spans="1:9" ht="15.75" customHeight="1" x14ac:dyDescent="0.25">
      <c r="A2241" s="21">
        <v>20050306</v>
      </c>
      <c r="B2241" s="11" t="s">
        <v>1079</v>
      </c>
      <c r="C2241" s="11" t="s">
        <v>2200</v>
      </c>
      <c r="D2241" s="1">
        <v>16</v>
      </c>
      <c r="F2241" s="1">
        <v>9</v>
      </c>
      <c r="H2241" s="1" t="s">
        <v>3198</v>
      </c>
    </row>
    <row r="2242" spans="1:9" ht="15.75" customHeight="1" x14ac:dyDescent="0.25">
      <c r="A2242" s="4">
        <v>20050307</v>
      </c>
      <c r="B2242" s="1" t="s">
        <v>1081</v>
      </c>
      <c r="C2242" s="11" t="s">
        <v>2201</v>
      </c>
      <c r="D2242" s="4">
        <f>ROUND(E2242*F2242*1.25,0)</f>
        <v>109</v>
      </c>
      <c r="E2242" s="10">
        <v>1.04</v>
      </c>
      <c r="F2242" s="1">
        <v>84</v>
      </c>
      <c r="H2242" s="1" t="s">
        <v>3196</v>
      </c>
      <c r="I2242" s="1" t="s">
        <v>2999</v>
      </c>
    </row>
    <row r="2243" spans="1:9" ht="15.75" customHeight="1" x14ac:dyDescent="0.25">
      <c r="A2243" s="21">
        <v>20050307</v>
      </c>
      <c r="B2243" s="11" t="s">
        <v>1083</v>
      </c>
      <c r="C2243" s="11" t="s">
        <v>2203</v>
      </c>
      <c r="D2243" s="10">
        <v>22</v>
      </c>
      <c r="E2243" s="10"/>
      <c r="F2243" s="1"/>
      <c r="G2243" s="1">
        <v>22</v>
      </c>
      <c r="H2243" s="1" t="s">
        <v>2840</v>
      </c>
    </row>
    <row r="2244" spans="1:9" ht="15.75" customHeight="1" x14ac:dyDescent="0.25">
      <c r="A2244" s="4">
        <v>20050401</v>
      </c>
      <c r="B2244" s="1" t="s">
        <v>1085</v>
      </c>
      <c r="C2244" s="11" t="s">
        <v>2205</v>
      </c>
      <c r="D2244" s="4">
        <f>ROUND(E2244*F2244*1.25,0)</f>
        <v>49</v>
      </c>
      <c r="E2244" s="1">
        <v>0.47</v>
      </c>
      <c r="F2244" s="1">
        <v>84</v>
      </c>
      <c r="H2244" s="1" t="s">
        <v>3187</v>
      </c>
      <c r="I2244" s="1" t="s">
        <v>2999</v>
      </c>
    </row>
    <row r="2245" spans="1:9" ht="15.75" customHeight="1" x14ac:dyDescent="0.25">
      <c r="A2245" s="21">
        <v>20050401</v>
      </c>
      <c r="B2245" s="11" t="s">
        <v>2530</v>
      </c>
      <c r="C2245" s="11" t="s">
        <v>2208</v>
      </c>
      <c r="D2245" s="4">
        <v>13</v>
      </c>
      <c r="F2245" s="1"/>
      <c r="G2245" s="1">
        <v>13</v>
      </c>
      <c r="H2245" s="1" t="s">
        <v>3152</v>
      </c>
      <c r="I2245" s="1" t="s">
        <v>3185</v>
      </c>
    </row>
    <row r="2246" spans="1:9" ht="15.75" customHeight="1" x14ac:dyDescent="0.25">
      <c r="A2246" s="4">
        <v>20050402</v>
      </c>
      <c r="B2246" s="11" t="s">
        <v>1086</v>
      </c>
      <c r="C2246" s="11" t="s">
        <v>2207</v>
      </c>
      <c r="D2246" s="4">
        <f>ROUND(E2246*F2246*1.25,0)</f>
        <v>49</v>
      </c>
      <c r="E2246" s="1">
        <v>0.47</v>
      </c>
      <c r="F2246" s="1">
        <v>84</v>
      </c>
      <c r="H2246" s="1" t="s">
        <v>3187</v>
      </c>
      <c r="I2246" s="1" t="s">
        <v>2999</v>
      </c>
    </row>
    <row r="2247" spans="1:9" ht="15.75" customHeight="1" x14ac:dyDescent="0.25">
      <c r="A2247" s="21">
        <v>20050402</v>
      </c>
      <c r="B2247" s="11" t="s">
        <v>2472</v>
      </c>
      <c r="C2247" s="11" t="s">
        <v>2206</v>
      </c>
      <c r="D2247" s="4">
        <v>13</v>
      </c>
      <c r="F2247" s="1"/>
      <c r="G2247" s="1">
        <v>13</v>
      </c>
      <c r="H2247" s="1" t="s">
        <v>3152</v>
      </c>
      <c r="I2247" s="1" t="s">
        <v>3185</v>
      </c>
    </row>
    <row r="2248" spans="1:9" ht="15.75" customHeight="1" x14ac:dyDescent="0.25">
      <c r="A2248" s="21">
        <v>20050403</v>
      </c>
      <c r="B2248" s="11" t="s">
        <v>1089</v>
      </c>
      <c r="C2248" s="11" t="s">
        <v>2211</v>
      </c>
      <c r="D2248" s="4">
        <v>13</v>
      </c>
      <c r="F2248" s="1"/>
      <c r="G2248" s="1">
        <v>13</v>
      </c>
      <c r="H2248" s="1" t="s">
        <v>3152</v>
      </c>
      <c r="I2248" s="1" t="s">
        <v>3185</v>
      </c>
    </row>
    <row r="2249" spans="1:9" ht="15.75" customHeight="1" x14ac:dyDescent="0.25">
      <c r="A2249" s="4">
        <v>20050403</v>
      </c>
      <c r="B2249" s="1" t="s">
        <v>1087</v>
      </c>
      <c r="C2249" s="11" t="s">
        <v>2209</v>
      </c>
      <c r="D2249" s="4">
        <f>ROUND(E2249*F2249*1.25,0)</f>
        <v>49</v>
      </c>
      <c r="E2249" s="1">
        <v>0.47</v>
      </c>
      <c r="F2249" s="1">
        <v>84</v>
      </c>
      <c r="H2249" s="1" t="s">
        <v>3187</v>
      </c>
      <c r="I2249" s="1" t="s">
        <v>2999</v>
      </c>
    </row>
    <row r="2250" spans="1:9" ht="15.75" customHeight="1" x14ac:dyDescent="0.25">
      <c r="A2250" s="21">
        <v>20050404</v>
      </c>
      <c r="B2250" s="11" t="s">
        <v>1091</v>
      </c>
      <c r="C2250" s="11" t="s">
        <v>2211</v>
      </c>
      <c r="D2250" s="4">
        <v>13</v>
      </c>
      <c r="F2250" s="1"/>
      <c r="G2250" s="1">
        <v>13</v>
      </c>
      <c r="H2250" s="1" t="s">
        <v>3152</v>
      </c>
      <c r="I2250" s="1" t="s">
        <v>3185</v>
      </c>
    </row>
    <row r="2251" spans="1:9" ht="15.75" customHeight="1" x14ac:dyDescent="0.25">
      <c r="A2251" s="26">
        <v>20050404</v>
      </c>
      <c r="B2251" s="25" t="s">
        <v>1091</v>
      </c>
      <c r="C2251" s="25" t="s">
        <v>24</v>
      </c>
      <c r="D2251" s="4">
        <v>49</v>
      </c>
      <c r="H2251" s="1" t="s">
        <v>3152</v>
      </c>
    </row>
    <row r="2252" spans="1:9" ht="15.75" customHeight="1" x14ac:dyDescent="0.25">
      <c r="A2252" s="26">
        <v>20050405</v>
      </c>
      <c r="B2252" s="25" t="s">
        <v>1088</v>
      </c>
      <c r="C2252" s="25" t="s">
        <v>27</v>
      </c>
      <c r="D2252" s="4">
        <v>111</v>
      </c>
      <c r="H2252" s="1" t="s">
        <v>3188</v>
      </c>
    </row>
    <row r="2253" spans="1:9" ht="15.75" customHeight="1" x14ac:dyDescent="0.25">
      <c r="A2253" s="4">
        <v>20050405</v>
      </c>
      <c r="B2253" s="1" t="s">
        <v>1088</v>
      </c>
      <c r="C2253" s="11" t="s">
        <v>2210</v>
      </c>
      <c r="D2253" s="4">
        <f>ROUND(E2253*F2253*1.25,0)</f>
        <v>71</v>
      </c>
      <c r="E2253" s="1">
        <v>0.68</v>
      </c>
      <c r="F2253" s="1">
        <v>84</v>
      </c>
      <c r="H2253" s="1" t="s">
        <v>3188</v>
      </c>
      <c r="I2253" s="1" t="s">
        <v>2999</v>
      </c>
    </row>
    <row r="2254" spans="1:9" ht="15.75" customHeight="1" x14ac:dyDescent="0.25">
      <c r="A2254" s="21">
        <v>20050405</v>
      </c>
      <c r="B2254" s="11" t="s">
        <v>1090</v>
      </c>
      <c r="C2254" s="11" t="s">
        <v>2211</v>
      </c>
      <c r="D2254" s="4">
        <v>14</v>
      </c>
      <c r="F2254" s="1"/>
      <c r="G2254" s="1">
        <v>14</v>
      </c>
      <c r="H2254" s="1" t="s">
        <v>3152</v>
      </c>
      <c r="I2254" s="1" t="s">
        <v>3186</v>
      </c>
    </row>
    <row r="2255" spans="1:9" ht="15.75" customHeight="1" x14ac:dyDescent="0.25">
      <c r="A2255" s="4">
        <v>20050501</v>
      </c>
      <c r="B2255" s="1" t="s">
        <v>1095</v>
      </c>
      <c r="C2255" s="11" t="s">
        <v>2216</v>
      </c>
      <c r="D2255" s="4">
        <f>ROUND(E2255*F2255*1.25,0)</f>
        <v>76</v>
      </c>
      <c r="E2255" s="1">
        <v>0.47</v>
      </c>
      <c r="F2255" s="1">
        <v>130</v>
      </c>
      <c r="H2255" s="1" t="s">
        <v>2827</v>
      </c>
    </row>
    <row r="2256" spans="1:9" ht="15.75" customHeight="1" x14ac:dyDescent="0.25">
      <c r="A2256" s="4">
        <v>20050501</v>
      </c>
      <c r="B2256" s="1" t="s">
        <v>2502</v>
      </c>
      <c r="C2256" s="11" t="s">
        <v>2212</v>
      </c>
      <c r="D2256" s="4">
        <f>ROUND(E2256*F2256*1.25,0)</f>
        <v>49</v>
      </c>
      <c r="E2256" s="1">
        <v>0.47</v>
      </c>
      <c r="F2256" s="1">
        <v>84</v>
      </c>
      <c r="H2256" s="1" t="s">
        <v>3187</v>
      </c>
      <c r="I2256" s="1" t="s">
        <v>2999</v>
      </c>
    </row>
    <row r="2257" spans="1:10" ht="15.75" customHeight="1" x14ac:dyDescent="0.25">
      <c r="A2257" s="21">
        <v>20050501</v>
      </c>
      <c r="B2257" s="11" t="s">
        <v>1092</v>
      </c>
      <c r="C2257" s="11" t="s">
        <v>2214</v>
      </c>
      <c r="D2257" s="4">
        <v>13</v>
      </c>
      <c r="F2257" s="1"/>
      <c r="G2257" s="1">
        <v>13</v>
      </c>
      <c r="H2257" s="1" t="s">
        <v>3152</v>
      </c>
      <c r="I2257" s="1" t="s">
        <v>3185</v>
      </c>
    </row>
    <row r="2258" spans="1:10" ht="15.75" customHeight="1" x14ac:dyDescent="0.25">
      <c r="A2258" s="4">
        <v>20050502</v>
      </c>
      <c r="B2258" s="1" t="s">
        <v>2470</v>
      </c>
      <c r="C2258" s="11" t="s">
        <v>2213</v>
      </c>
      <c r="D2258" s="4">
        <f>ROUND(E2258*F2258*1.25,0)</f>
        <v>49</v>
      </c>
      <c r="E2258" s="1">
        <v>0.47</v>
      </c>
      <c r="F2258" s="1">
        <v>84</v>
      </c>
      <c r="H2258" s="1" t="s">
        <v>3187</v>
      </c>
      <c r="I2258" s="1" t="s">
        <v>2999</v>
      </c>
    </row>
    <row r="2259" spans="1:10" ht="15.75" customHeight="1" x14ac:dyDescent="0.25">
      <c r="A2259" s="21">
        <v>20050502</v>
      </c>
      <c r="B2259" s="11" t="s">
        <v>2470</v>
      </c>
      <c r="C2259" s="11" t="s">
        <v>2214</v>
      </c>
      <c r="D2259" s="4">
        <v>13</v>
      </c>
      <c r="F2259" s="1"/>
      <c r="G2259" s="1">
        <v>13</v>
      </c>
      <c r="H2259" s="1" t="s">
        <v>3152</v>
      </c>
      <c r="I2259" s="1" t="s">
        <v>3185</v>
      </c>
    </row>
    <row r="2260" spans="1:10" ht="15.75" customHeight="1" x14ac:dyDescent="0.25">
      <c r="A2260" s="21">
        <v>20050503</v>
      </c>
      <c r="B2260" s="11" t="s">
        <v>1096</v>
      </c>
      <c r="C2260" s="11" t="s">
        <v>2217</v>
      </c>
      <c r="D2260" s="4">
        <v>14</v>
      </c>
      <c r="F2260" s="1"/>
      <c r="G2260" s="1">
        <v>14</v>
      </c>
      <c r="H2260" s="1" t="s">
        <v>3152</v>
      </c>
      <c r="I2260" s="1" t="s">
        <v>3186</v>
      </c>
    </row>
    <row r="2261" spans="1:10" ht="15.75" customHeight="1" x14ac:dyDescent="0.25">
      <c r="A2261" s="4">
        <v>20050503</v>
      </c>
      <c r="B2261" s="1" t="s">
        <v>1093</v>
      </c>
      <c r="C2261" s="11" t="s">
        <v>2215</v>
      </c>
      <c r="D2261" s="4">
        <f>ROUND(E2261*F2261*1.25,0)</f>
        <v>71</v>
      </c>
      <c r="E2261" s="1">
        <v>0.68</v>
      </c>
      <c r="F2261" s="1">
        <v>84</v>
      </c>
      <c r="H2261" s="1" t="s">
        <v>3188</v>
      </c>
      <c r="I2261" s="1" t="s">
        <v>2999</v>
      </c>
    </row>
    <row r="2262" spans="1:10" ht="15.75" customHeight="1" x14ac:dyDescent="0.25">
      <c r="A2262" s="4">
        <v>20050504</v>
      </c>
      <c r="B2262" s="1" t="s">
        <v>1094</v>
      </c>
      <c r="C2262" s="11" t="s">
        <v>27</v>
      </c>
      <c r="D2262" s="4">
        <f>ROUND(E2262*F2262*1.25,0)</f>
        <v>76</v>
      </c>
      <c r="E2262" s="1">
        <v>0.47</v>
      </c>
      <c r="F2262" s="1">
        <v>130</v>
      </c>
      <c r="H2262" s="1" t="s">
        <v>3187</v>
      </c>
      <c r="I2262" s="1" t="s">
        <v>2999</v>
      </c>
    </row>
    <row r="2263" spans="1:10" ht="15.75" customHeight="1" x14ac:dyDescent="0.25">
      <c r="A2263" s="21">
        <v>20050504</v>
      </c>
      <c r="B2263" s="11" t="s">
        <v>1098</v>
      </c>
      <c r="C2263" s="11" t="s">
        <v>2219</v>
      </c>
      <c r="D2263" s="4">
        <v>13</v>
      </c>
      <c r="F2263" s="1"/>
      <c r="G2263" s="1">
        <v>13</v>
      </c>
      <c r="H2263" s="1" t="s">
        <v>3152</v>
      </c>
      <c r="I2263" s="1" t="s">
        <v>3185</v>
      </c>
    </row>
    <row r="2264" spans="1:10" ht="15.75" customHeight="1" x14ac:dyDescent="0.25">
      <c r="A2264" s="4">
        <v>20050504</v>
      </c>
      <c r="B2264" s="1" t="s">
        <v>1094</v>
      </c>
      <c r="C2264" s="11" t="s">
        <v>2215</v>
      </c>
      <c r="D2264" s="4">
        <f>ROUND(E2264*F2264*1.25,0)</f>
        <v>49</v>
      </c>
      <c r="E2264" s="1">
        <v>0.47</v>
      </c>
      <c r="F2264" s="1">
        <v>84</v>
      </c>
      <c r="H2264" s="1" t="s">
        <v>3187</v>
      </c>
      <c r="I2264" s="1" t="s">
        <v>2999</v>
      </c>
    </row>
    <row r="2265" spans="1:10" ht="15.75" customHeight="1" x14ac:dyDescent="0.25">
      <c r="A2265" s="4">
        <v>20050505</v>
      </c>
      <c r="B2265" s="1" t="s">
        <v>1097</v>
      </c>
      <c r="C2265" s="11" t="s">
        <v>2218</v>
      </c>
      <c r="D2265" s="4">
        <f>ROUND(E2265*F2265*1.25,0)</f>
        <v>49</v>
      </c>
      <c r="E2265" s="1">
        <v>0.47</v>
      </c>
      <c r="F2265" s="1">
        <v>84</v>
      </c>
      <c r="H2265" s="1" t="s">
        <v>3187</v>
      </c>
      <c r="I2265" s="1" t="s">
        <v>2999</v>
      </c>
    </row>
    <row r="2266" spans="1:10" ht="15.75" customHeight="1" x14ac:dyDescent="0.25">
      <c r="A2266" s="21">
        <v>20050505</v>
      </c>
      <c r="B2266" s="11" t="s">
        <v>1097</v>
      </c>
      <c r="C2266" s="11" t="s">
        <v>2219</v>
      </c>
      <c r="D2266" s="4">
        <v>13</v>
      </c>
      <c r="F2266" s="1"/>
      <c r="G2266" s="1">
        <v>13</v>
      </c>
      <c r="H2266" s="1" t="s">
        <v>3152</v>
      </c>
      <c r="I2266" s="1" t="s">
        <v>3185</v>
      </c>
    </row>
    <row r="2267" spans="1:10" ht="15.75" customHeight="1" x14ac:dyDescent="0.25">
      <c r="A2267" s="4">
        <v>20050506</v>
      </c>
      <c r="B2267" s="1" t="s">
        <v>3106</v>
      </c>
      <c r="C2267" s="11" t="s">
        <v>24</v>
      </c>
      <c r="D2267" s="4">
        <f>ROUND(E2267*F2267*1.25,0)</f>
        <v>71</v>
      </c>
      <c r="E2267" s="1">
        <v>0.68</v>
      </c>
      <c r="F2267" s="1">
        <v>84</v>
      </c>
      <c r="G2267" s="4"/>
      <c r="H2267" s="1" t="s">
        <v>3188</v>
      </c>
      <c r="I2267" s="1" t="s">
        <v>2999</v>
      </c>
      <c r="J2267" s="1" t="s">
        <v>3132</v>
      </c>
    </row>
    <row r="2268" spans="1:10" ht="15.75" customHeight="1" x14ac:dyDescent="0.25">
      <c r="A2268" s="21">
        <v>20050507</v>
      </c>
      <c r="B2268" s="30" t="s">
        <v>2616</v>
      </c>
      <c r="C2268" s="11" t="s">
        <v>26</v>
      </c>
      <c r="D2268" s="4">
        <f>ROUND(E2268*F2268*1.25,0)</f>
        <v>20</v>
      </c>
      <c r="E2268" s="10">
        <v>1.04</v>
      </c>
      <c r="F2268" s="1">
        <v>15</v>
      </c>
      <c r="H2268" s="1" t="s">
        <v>3196</v>
      </c>
      <c r="I2268" s="1" t="s">
        <v>2999</v>
      </c>
    </row>
    <row r="2269" spans="1:10" ht="15.75" customHeight="1" x14ac:dyDescent="0.25">
      <c r="A2269" s="4">
        <v>20050507</v>
      </c>
      <c r="B2269" s="30" t="s">
        <v>2616</v>
      </c>
      <c r="C2269" s="11" t="s">
        <v>24</v>
      </c>
      <c r="D2269" s="4">
        <f>ROUND(E2269*F2269*1.25,0)</f>
        <v>109</v>
      </c>
      <c r="E2269" s="10">
        <v>1.04</v>
      </c>
      <c r="F2269" s="1">
        <v>84</v>
      </c>
      <c r="H2269" s="1" t="s">
        <v>3196</v>
      </c>
      <c r="I2269" s="1" t="s">
        <v>2999</v>
      </c>
    </row>
    <row r="2270" spans="1:10" ht="15.75" customHeight="1" x14ac:dyDescent="0.25">
      <c r="A2270" s="4">
        <v>20050601</v>
      </c>
      <c r="B2270" s="1" t="s">
        <v>1099</v>
      </c>
      <c r="C2270" s="11" t="s">
        <v>25</v>
      </c>
      <c r="D2270" s="4">
        <v>6</v>
      </c>
      <c r="F2270" s="1">
        <v>5</v>
      </c>
      <c r="G2270" s="1">
        <v>6</v>
      </c>
      <c r="H2270" s="1" t="s">
        <v>3152</v>
      </c>
      <c r="I2270" s="1" t="s">
        <v>3185</v>
      </c>
    </row>
    <row r="2271" spans="1:10" ht="15.75" customHeight="1" x14ac:dyDescent="0.25">
      <c r="A2271" s="4">
        <v>20050601</v>
      </c>
      <c r="B2271" s="1" t="s">
        <v>1099</v>
      </c>
      <c r="C2271" s="11" t="s">
        <v>2220</v>
      </c>
      <c r="D2271" s="4">
        <f>ROUND(E2271*F2271*1.25,0)</f>
        <v>49</v>
      </c>
      <c r="E2271" s="1">
        <v>0.47</v>
      </c>
      <c r="F2271" s="1">
        <v>84</v>
      </c>
      <c r="H2271" s="1" t="s">
        <v>3187</v>
      </c>
      <c r="I2271" s="1" t="s">
        <v>2999</v>
      </c>
    </row>
    <row r="2272" spans="1:10" ht="15.75" customHeight="1" x14ac:dyDescent="0.25">
      <c r="A2272" s="21">
        <v>20050601</v>
      </c>
      <c r="B2272" s="11" t="s">
        <v>2469</v>
      </c>
      <c r="C2272" s="11" t="s">
        <v>2221</v>
      </c>
      <c r="D2272" s="4">
        <v>13</v>
      </c>
      <c r="F2272" s="1"/>
      <c r="G2272" s="1">
        <v>13</v>
      </c>
      <c r="H2272" s="1" t="s">
        <v>3152</v>
      </c>
      <c r="I2272" s="1" t="s">
        <v>3185</v>
      </c>
    </row>
    <row r="2273" spans="1:9" ht="15.75" customHeight="1" x14ac:dyDescent="0.25">
      <c r="A2273" s="4">
        <v>20050602</v>
      </c>
      <c r="B2273" s="1" t="s">
        <v>1100</v>
      </c>
      <c r="C2273" s="11" t="s">
        <v>2222</v>
      </c>
      <c r="D2273" s="4">
        <f>ROUND(E2273*F2273*1.25,0)</f>
        <v>49</v>
      </c>
      <c r="E2273" s="1">
        <v>0.47</v>
      </c>
      <c r="F2273" s="1">
        <v>84</v>
      </c>
      <c r="H2273" s="1" t="s">
        <v>3187</v>
      </c>
      <c r="I2273" s="1" t="s">
        <v>2999</v>
      </c>
    </row>
    <row r="2274" spans="1:9" ht="15.75" customHeight="1" x14ac:dyDescent="0.25">
      <c r="A2274" s="21">
        <v>20050602</v>
      </c>
      <c r="B2274" s="11" t="s">
        <v>1100</v>
      </c>
      <c r="C2274" s="11" t="s">
        <v>2221</v>
      </c>
      <c r="D2274" s="4">
        <v>13</v>
      </c>
      <c r="F2274" s="1"/>
      <c r="G2274" s="1">
        <v>13</v>
      </c>
      <c r="H2274" s="1" t="s">
        <v>3152</v>
      </c>
      <c r="I2274" s="1" t="s">
        <v>3185</v>
      </c>
    </row>
    <row r="2275" spans="1:9" ht="15.75" customHeight="1" x14ac:dyDescent="0.25">
      <c r="A2275" s="4">
        <v>20050603</v>
      </c>
      <c r="B2275" s="1" t="s">
        <v>3107</v>
      </c>
      <c r="C2275" s="11" t="s">
        <v>25</v>
      </c>
      <c r="D2275" s="4">
        <v>6</v>
      </c>
      <c r="E2275" s="4"/>
      <c r="F2275" s="1" t="s">
        <v>3132</v>
      </c>
      <c r="G2275" s="4">
        <v>6</v>
      </c>
      <c r="H2275" s="1" t="s">
        <v>3152</v>
      </c>
      <c r="I2275" s="1" t="s">
        <v>3186</v>
      </c>
    </row>
    <row r="2276" spans="1:9" ht="15.75" customHeight="1" x14ac:dyDescent="0.25">
      <c r="A2276" s="21">
        <v>20050603</v>
      </c>
      <c r="B2276" s="11" t="s">
        <v>3107</v>
      </c>
      <c r="C2276" s="11" t="s">
        <v>26</v>
      </c>
      <c r="D2276" s="4">
        <v>14</v>
      </c>
      <c r="F2276" s="1"/>
      <c r="G2276" s="1">
        <v>14</v>
      </c>
      <c r="H2276" s="1" t="s">
        <v>3152</v>
      </c>
      <c r="I2276" s="1" t="s">
        <v>3186</v>
      </c>
    </row>
    <row r="2277" spans="1:9" ht="15.75" customHeight="1" x14ac:dyDescent="0.25">
      <c r="A2277" s="21">
        <v>20050701</v>
      </c>
      <c r="B2277" s="11" t="s">
        <v>1103</v>
      </c>
      <c r="C2277" s="11" t="s">
        <v>2223</v>
      </c>
      <c r="D2277" s="4">
        <v>13</v>
      </c>
      <c r="F2277" s="1"/>
      <c r="G2277" s="1">
        <v>13</v>
      </c>
      <c r="H2277" s="1" t="s">
        <v>3152</v>
      </c>
      <c r="I2277" s="1" t="s">
        <v>3185</v>
      </c>
    </row>
    <row r="2278" spans="1:9" ht="15.75" customHeight="1" x14ac:dyDescent="0.25">
      <c r="A2278" s="4">
        <v>20050701</v>
      </c>
      <c r="B2278" s="1" t="s">
        <v>1101</v>
      </c>
      <c r="C2278" s="11" t="s">
        <v>2222</v>
      </c>
      <c r="D2278" s="4">
        <f>ROUND(E2278*F2278*1.25,0)</f>
        <v>49</v>
      </c>
      <c r="E2278" s="1">
        <v>0.47</v>
      </c>
      <c r="F2278" s="1">
        <v>84</v>
      </c>
      <c r="H2278" s="1" t="s">
        <v>3187</v>
      </c>
      <c r="I2278" s="1" t="s">
        <v>2999</v>
      </c>
    </row>
    <row r="2279" spans="1:9" ht="15.75" customHeight="1" x14ac:dyDescent="0.25">
      <c r="A2279" s="4">
        <v>20050702</v>
      </c>
      <c r="B2279" s="1" t="s">
        <v>1105</v>
      </c>
      <c r="C2279" s="11" t="s">
        <v>2224</v>
      </c>
      <c r="D2279" s="4">
        <f>ROUND(E2279*F2279*1.25,0)</f>
        <v>49</v>
      </c>
      <c r="E2279" s="1">
        <v>0.47</v>
      </c>
      <c r="F2279" s="1">
        <v>84</v>
      </c>
      <c r="H2279" s="1" t="s">
        <v>3187</v>
      </c>
      <c r="I2279" s="1" t="s">
        <v>2999</v>
      </c>
    </row>
    <row r="2280" spans="1:9" ht="15.75" customHeight="1" x14ac:dyDescent="0.25">
      <c r="A2280" s="21">
        <v>20050702</v>
      </c>
      <c r="B2280" s="11" t="s">
        <v>1102</v>
      </c>
      <c r="C2280" s="11" t="s">
        <v>2223</v>
      </c>
      <c r="D2280" s="4">
        <v>13</v>
      </c>
      <c r="F2280" s="1"/>
      <c r="G2280" s="1">
        <v>13</v>
      </c>
      <c r="H2280" s="1" t="s">
        <v>3152</v>
      </c>
      <c r="I2280" s="1" t="s">
        <v>3185</v>
      </c>
    </row>
    <row r="2281" spans="1:9" ht="15.75" customHeight="1" x14ac:dyDescent="0.25">
      <c r="A2281" s="4">
        <v>20050703</v>
      </c>
      <c r="B2281" s="1" t="s">
        <v>1104</v>
      </c>
      <c r="C2281" s="11" t="s">
        <v>2224</v>
      </c>
      <c r="D2281" s="4">
        <f>ROUND(E2281*F2281*1.25,0)</f>
        <v>71</v>
      </c>
      <c r="E2281" s="1">
        <v>0.68</v>
      </c>
      <c r="F2281" s="1">
        <v>84</v>
      </c>
      <c r="H2281" s="1" t="s">
        <v>3188</v>
      </c>
      <c r="I2281" s="1" t="s">
        <v>2999</v>
      </c>
    </row>
    <row r="2282" spans="1:9" ht="15.75" customHeight="1" x14ac:dyDescent="0.25">
      <c r="A2282" s="21">
        <v>20050703</v>
      </c>
      <c r="B2282" s="11" t="s">
        <v>2539</v>
      </c>
      <c r="C2282" s="11" t="s">
        <v>2225</v>
      </c>
      <c r="D2282" s="4">
        <v>14</v>
      </c>
      <c r="F2282" s="1"/>
      <c r="G2282" s="1">
        <v>14</v>
      </c>
      <c r="H2282" s="1" t="s">
        <v>3152</v>
      </c>
      <c r="I2282" s="1" t="s">
        <v>3186</v>
      </c>
    </row>
    <row r="2283" spans="1:9" ht="15.75" customHeight="1" x14ac:dyDescent="0.25">
      <c r="A2283" s="4">
        <v>20050801</v>
      </c>
      <c r="B2283" s="1" t="s">
        <v>1107</v>
      </c>
      <c r="C2283" s="11" t="s">
        <v>2675</v>
      </c>
      <c r="D2283" s="4">
        <v>31</v>
      </c>
      <c r="F2283" s="1"/>
      <c r="H2283" s="1" t="s">
        <v>3189</v>
      </c>
    </row>
    <row r="2284" spans="1:9" ht="15.75" customHeight="1" x14ac:dyDescent="0.25">
      <c r="A2284" s="4">
        <v>20050801</v>
      </c>
      <c r="B2284" s="1" t="s">
        <v>1107</v>
      </c>
      <c r="C2284" s="11" t="s">
        <v>2229</v>
      </c>
      <c r="D2284" s="4">
        <f>ROUND(E2284*F2284*1.25,0)</f>
        <v>76</v>
      </c>
      <c r="E2284" s="1">
        <v>0.47</v>
      </c>
      <c r="F2284" s="1">
        <v>130</v>
      </c>
      <c r="H2284" s="1" t="s">
        <v>3187</v>
      </c>
      <c r="I2284" s="1" t="s">
        <v>2999</v>
      </c>
    </row>
    <row r="2285" spans="1:9" ht="15.75" customHeight="1" x14ac:dyDescent="0.25">
      <c r="A2285" s="4">
        <v>20050801</v>
      </c>
      <c r="B2285" s="11" t="s">
        <v>2471</v>
      </c>
      <c r="C2285" s="11" t="s">
        <v>2226</v>
      </c>
      <c r="D2285" s="4">
        <f>ROUND(E2285*F2285*1.25,0)</f>
        <v>49</v>
      </c>
      <c r="E2285" s="1">
        <v>0.47</v>
      </c>
      <c r="F2285" s="1">
        <v>84</v>
      </c>
      <c r="H2285" s="1" t="s">
        <v>3187</v>
      </c>
      <c r="I2285" s="1" t="s">
        <v>2999</v>
      </c>
    </row>
    <row r="2286" spans="1:9" ht="15.75" customHeight="1" x14ac:dyDescent="0.25">
      <c r="A2286" s="21">
        <v>20050801</v>
      </c>
      <c r="B2286" s="11" t="s">
        <v>2471</v>
      </c>
      <c r="C2286" s="11" t="s">
        <v>2227</v>
      </c>
      <c r="D2286" s="4">
        <v>13</v>
      </c>
      <c r="F2286" s="1"/>
      <c r="G2286" s="1">
        <v>13</v>
      </c>
      <c r="H2286" s="1" t="s">
        <v>3152</v>
      </c>
      <c r="I2286" s="1" t="s">
        <v>3185</v>
      </c>
    </row>
    <row r="2287" spans="1:9" ht="15.75" customHeight="1" x14ac:dyDescent="0.25">
      <c r="A2287" s="4">
        <v>20050802</v>
      </c>
      <c r="B2287" s="1" t="s">
        <v>1109</v>
      </c>
      <c r="C2287" s="11" t="s">
        <v>2232</v>
      </c>
      <c r="D2287" s="4">
        <f>ROUND(E2287*F2287*1.25,0)</f>
        <v>111</v>
      </c>
      <c r="E2287" s="1">
        <v>0.68</v>
      </c>
      <c r="F2287" s="1">
        <v>130</v>
      </c>
      <c r="H2287" s="1" t="s">
        <v>3188</v>
      </c>
      <c r="I2287" s="1" t="s">
        <v>2999</v>
      </c>
    </row>
    <row r="2288" spans="1:9" ht="15.75" customHeight="1" x14ac:dyDescent="0.25">
      <c r="A2288" s="4">
        <v>20050802</v>
      </c>
      <c r="B2288" s="1" t="s">
        <v>1106</v>
      </c>
      <c r="C2288" s="11" t="s">
        <v>2228</v>
      </c>
      <c r="D2288" s="4">
        <f>ROUND(E2288*F2288*1.25,0)</f>
        <v>71</v>
      </c>
      <c r="E2288" s="1">
        <v>0.68</v>
      </c>
      <c r="F2288" s="1">
        <v>84</v>
      </c>
      <c r="H2288" s="1" t="s">
        <v>3188</v>
      </c>
      <c r="I2288" s="1" t="s">
        <v>2999</v>
      </c>
    </row>
    <row r="2289" spans="1:9" ht="15.75" customHeight="1" x14ac:dyDescent="0.25">
      <c r="A2289" s="21">
        <v>20050802</v>
      </c>
      <c r="B2289" s="11" t="s">
        <v>2526</v>
      </c>
      <c r="C2289" s="11" t="s">
        <v>2227</v>
      </c>
      <c r="D2289" s="4">
        <v>14</v>
      </c>
      <c r="F2289" s="1"/>
      <c r="G2289" s="1">
        <v>14</v>
      </c>
      <c r="H2289" s="1" t="s">
        <v>3152</v>
      </c>
      <c r="I2289" s="1" t="s">
        <v>3186</v>
      </c>
    </row>
    <row r="2290" spans="1:9" ht="15.75" customHeight="1" x14ac:dyDescent="0.25">
      <c r="A2290" s="4">
        <v>20050803</v>
      </c>
      <c r="B2290" s="1" t="s">
        <v>1108</v>
      </c>
      <c r="C2290" s="11" t="s">
        <v>2230</v>
      </c>
      <c r="D2290" s="4">
        <f>ROUND(E2290*F2290*1.25,0)</f>
        <v>109</v>
      </c>
      <c r="E2290" s="10">
        <v>1.04</v>
      </c>
      <c r="F2290" s="1">
        <v>84</v>
      </c>
      <c r="H2290" s="1" t="s">
        <v>3196</v>
      </c>
      <c r="I2290" s="1" t="s">
        <v>2999</v>
      </c>
    </row>
    <row r="2291" spans="1:9" ht="15.75" customHeight="1" x14ac:dyDescent="0.25">
      <c r="A2291" s="21">
        <v>20050803</v>
      </c>
      <c r="B2291" s="11" t="s">
        <v>1108</v>
      </c>
      <c r="C2291" s="11" t="s">
        <v>2231</v>
      </c>
      <c r="D2291" s="4">
        <f>ROUND(E2291*F2291*1.25,0)</f>
        <v>20</v>
      </c>
      <c r="E2291" s="10">
        <v>1.04</v>
      </c>
      <c r="F2291" s="1">
        <v>15</v>
      </c>
      <c r="H2291" s="1" t="s">
        <v>3196</v>
      </c>
      <c r="I2291" s="1" t="s">
        <v>2999</v>
      </c>
    </row>
    <row r="2292" spans="1:9" ht="15.75" customHeight="1" x14ac:dyDescent="0.25">
      <c r="A2292" s="26">
        <v>20050804</v>
      </c>
      <c r="B2292" s="25" t="s">
        <v>2621</v>
      </c>
      <c r="C2292" s="25" t="s">
        <v>25</v>
      </c>
      <c r="D2292" s="4">
        <v>4</v>
      </c>
      <c r="H2292" s="1" t="s">
        <v>3152</v>
      </c>
    </row>
    <row r="2293" spans="1:9" ht="15.75" customHeight="1" x14ac:dyDescent="0.25">
      <c r="A2293" s="21">
        <v>20050804</v>
      </c>
      <c r="B2293" s="11" t="s">
        <v>2621</v>
      </c>
      <c r="C2293" s="11" t="s">
        <v>26</v>
      </c>
      <c r="D2293" s="4">
        <v>13</v>
      </c>
      <c r="F2293" s="1"/>
      <c r="G2293" s="1">
        <v>13</v>
      </c>
      <c r="H2293" s="1" t="s">
        <v>3152</v>
      </c>
      <c r="I2293" s="1" t="s">
        <v>3185</v>
      </c>
    </row>
    <row r="2294" spans="1:9" ht="15.75" customHeight="1" x14ac:dyDescent="0.25">
      <c r="A2294" s="4">
        <v>20050804</v>
      </c>
      <c r="B2294" s="1" t="s">
        <v>2621</v>
      </c>
      <c r="C2294" s="11" t="s">
        <v>24</v>
      </c>
      <c r="D2294" s="4">
        <f>ROUND(E2294*F2294*1.25,0)</f>
        <v>49</v>
      </c>
      <c r="E2294" s="1">
        <v>0.47</v>
      </c>
      <c r="F2294" s="1">
        <v>84</v>
      </c>
      <c r="H2294" s="1" t="s">
        <v>3187</v>
      </c>
      <c r="I2294" s="1" t="s">
        <v>2999</v>
      </c>
    </row>
    <row r="2295" spans="1:9" ht="15.75" customHeight="1" x14ac:dyDescent="0.25">
      <c r="A2295" s="21">
        <v>20050901</v>
      </c>
      <c r="B2295" s="11" t="s">
        <v>1110</v>
      </c>
      <c r="C2295" s="11" t="s">
        <v>2234</v>
      </c>
      <c r="D2295" s="4">
        <v>13</v>
      </c>
      <c r="F2295" s="1"/>
      <c r="G2295" s="1">
        <v>13</v>
      </c>
      <c r="H2295" s="1" t="s">
        <v>3152</v>
      </c>
      <c r="I2295" s="1" t="s">
        <v>3185</v>
      </c>
    </row>
    <row r="2296" spans="1:9" ht="15.75" customHeight="1" x14ac:dyDescent="0.25">
      <c r="A2296" s="4">
        <v>20050901</v>
      </c>
      <c r="B2296" s="1" t="s">
        <v>1110</v>
      </c>
      <c r="C2296" s="11" t="s">
        <v>2233</v>
      </c>
      <c r="D2296" s="4">
        <f>ROUND(E2296*F2296*1.25,0)</f>
        <v>49</v>
      </c>
      <c r="E2296" s="1">
        <v>0.47</v>
      </c>
      <c r="F2296" s="1">
        <v>84</v>
      </c>
      <c r="H2296" s="1" t="s">
        <v>3187</v>
      </c>
      <c r="I2296" s="1" t="s">
        <v>2999</v>
      </c>
    </row>
    <row r="2297" spans="1:9" ht="15.75" customHeight="1" x14ac:dyDescent="0.25">
      <c r="A2297" s="4">
        <v>20050902</v>
      </c>
      <c r="B2297" s="1" t="s">
        <v>1111</v>
      </c>
      <c r="C2297" s="11" t="s">
        <v>2235</v>
      </c>
      <c r="D2297" s="4">
        <f>ROUND(E2297*F2297*1.25,0)</f>
        <v>71</v>
      </c>
      <c r="E2297" s="1">
        <v>0.68</v>
      </c>
      <c r="F2297" s="1">
        <v>84</v>
      </c>
      <c r="H2297" s="1" t="s">
        <v>3188</v>
      </c>
      <c r="I2297" s="1" t="s">
        <v>2999</v>
      </c>
    </row>
    <row r="2298" spans="1:9" ht="15.75" customHeight="1" x14ac:dyDescent="0.25">
      <c r="A2298" s="21">
        <v>20050902</v>
      </c>
      <c r="B2298" s="11" t="s">
        <v>1111</v>
      </c>
      <c r="C2298" s="11" t="s">
        <v>2234</v>
      </c>
      <c r="D2298" s="4">
        <v>14</v>
      </c>
      <c r="F2298" s="1"/>
      <c r="G2298" s="1">
        <v>14</v>
      </c>
      <c r="H2298" s="1" t="s">
        <v>3152</v>
      </c>
      <c r="I2298" s="1" t="s">
        <v>3186</v>
      </c>
    </row>
    <row r="2299" spans="1:9" ht="15.75" customHeight="1" x14ac:dyDescent="0.25">
      <c r="A2299" s="21">
        <v>20050902</v>
      </c>
      <c r="B2299" s="11" t="s">
        <v>1111</v>
      </c>
      <c r="C2299" s="11" t="s">
        <v>25</v>
      </c>
      <c r="D2299" s="4">
        <v>5</v>
      </c>
    </row>
    <row r="2300" spans="1:9" ht="15.75" customHeight="1" x14ac:dyDescent="0.25">
      <c r="A2300" s="4">
        <v>20050903</v>
      </c>
      <c r="B2300" s="30" t="s">
        <v>1112</v>
      </c>
      <c r="C2300" s="11" t="s">
        <v>2235</v>
      </c>
      <c r="D2300" s="4">
        <f>ROUND(E2300*F2300*1.25,0)</f>
        <v>109</v>
      </c>
      <c r="E2300" s="10">
        <v>1.04</v>
      </c>
      <c r="F2300" s="1">
        <v>84</v>
      </c>
      <c r="H2300" s="1" t="s">
        <v>3196</v>
      </c>
      <c r="I2300" s="1" t="s">
        <v>2999</v>
      </c>
    </row>
    <row r="2301" spans="1:9" ht="15.75" customHeight="1" x14ac:dyDescent="0.25">
      <c r="A2301" s="21">
        <v>20050903</v>
      </c>
      <c r="B2301" s="30" t="s">
        <v>1112</v>
      </c>
      <c r="C2301" s="11" t="s">
        <v>2236</v>
      </c>
      <c r="D2301" s="4">
        <f>ROUND(E2301*F2301*1.25,0)</f>
        <v>20</v>
      </c>
      <c r="E2301" s="10">
        <v>1.04</v>
      </c>
      <c r="F2301" s="1">
        <v>15</v>
      </c>
      <c r="H2301" s="1" t="s">
        <v>3196</v>
      </c>
      <c r="I2301" s="1" t="s">
        <v>2999</v>
      </c>
    </row>
    <row r="2302" spans="1:9" ht="15.75" customHeight="1" x14ac:dyDescent="0.25">
      <c r="A2302" s="4">
        <v>20051001</v>
      </c>
      <c r="B2302" s="1" t="s">
        <v>1113</v>
      </c>
      <c r="C2302" s="11" t="s">
        <v>2237</v>
      </c>
      <c r="D2302" s="4">
        <f>ROUND(E2302*F2302*1.25,0)</f>
        <v>49</v>
      </c>
      <c r="E2302" s="1">
        <v>0.47</v>
      </c>
      <c r="F2302" s="1">
        <v>84</v>
      </c>
      <c r="H2302" s="1" t="s">
        <v>3187</v>
      </c>
      <c r="I2302" s="1" t="s">
        <v>2999</v>
      </c>
    </row>
    <row r="2303" spans="1:9" ht="15.75" customHeight="1" x14ac:dyDescent="0.25">
      <c r="A2303" s="21">
        <v>20051001</v>
      </c>
      <c r="B2303" s="11" t="s">
        <v>1116</v>
      </c>
      <c r="C2303" s="11" t="s">
        <v>2240</v>
      </c>
      <c r="D2303" s="4">
        <v>13</v>
      </c>
      <c r="F2303" s="1"/>
      <c r="G2303" s="1">
        <v>13</v>
      </c>
      <c r="H2303" s="1" t="s">
        <v>3152</v>
      </c>
      <c r="I2303" s="1" t="s">
        <v>3185</v>
      </c>
    </row>
    <row r="2304" spans="1:9" ht="15.75" customHeight="1" x14ac:dyDescent="0.25">
      <c r="A2304" s="4">
        <v>20051002</v>
      </c>
      <c r="B2304" s="1" t="s">
        <v>1114</v>
      </c>
      <c r="C2304" s="11" t="s">
        <v>2237</v>
      </c>
      <c r="D2304" s="4">
        <f>ROUND(E2304*F2304*1.25,0)</f>
        <v>49</v>
      </c>
      <c r="E2304" s="1">
        <v>0.47</v>
      </c>
      <c r="F2304" s="1">
        <v>84</v>
      </c>
      <c r="H2304" s="1" t="s">
        <v>3187</v>
      </c>
      <c r="I2304" s="1" t="s">
        <v>2999</v>
      </c>
    </row>
    <row r="2305" spans="1:10" ht="15.75" customHeight="1" x14ac:dyDescent="0.25">
      <c r="A2305" s="21">
        <v>20051002</v>
      </c>
      <c r="B2305" s="11" t="s">
        <v>1114</v>
      </c>
      <c r="C2305" s="11" t="s">
        <v>2238</v>
      </c>
      <c r="D2305" s="4">
        <v>13</v>
      </c>
      <c r="F2305" s="1"/>
      <c r="G2305" s="1">
        <v>13</v>
      </c>
      <c r="H2305" s="1" t="s">
        <v>3152</v>
      </c>
      <c r="I2305" s="1" t="s">
        <v>3185</v>
      </c>
    </row>
    <row r="2306" spans="1:10" ht="15.75" customHeight="1" x14ac:dyDescent="0.25">
      <c r="A2306" s="4">
        <v>20051003</v>
      </c>
      <c r="B2306" s="1" t="s">
        <v>1115</v>
      </c>
      <c r="C2306" s="11" t="s">
        <v>2239</v>
      </c>
      <c r="D2306" s="4">
        <f>ROUND(E2306*F2306*1.25,0)</f>
        <v>71</v>
      </c>
      <c r="E2306" s="1">
        <v>0.68</v>
      </c>
      <c r="F2306" s="1">
        <v>84</v>
      </c>
      <c r="H2306" s="1" t="s">
        <v>3188</v>
      </c>
      <c r="I2306" s="1" t="s">
        <v>2999</v>
      </c>
    </row>
    <row r="2307" spans="1:10" ht="15.75" customHeight="1" x14ac:dyDescent="0.25">
      <c r="A2307" s="21">
        <v>20051003</v>
      </c>
      <c r="B2307" s="11" t="s">
        <v>1117</v>
      </c>
      <c r="C2307" s="11" t="s">
        <v>2240</v>
      </c>
      <c r="D2307" s="4">
        <v>14</v>
      </c>
      <c r="F2307" s="1"/>
      <c r="G2307" s="1">
        <v>14</v>
      </c>
      <c r="H2307" s="1" t="s">
        <v>3152</v>
      </c>
      <c r="I2307" s="1" t="s">
        <v>3186</v>
      </c>
    </row>
    <row r="2308" spans="1:10" ht="15.75" customHeight="1" x14ac:dyDescent="0.25">
      <c r="A2308" s="4">
        <v>20059901</v>
      </c>
      <c r="B2308" s="1" t="s">
        <v>1122</v>
      </c>
      <c r="C2308" s="11" t="s">
        <v>2244</v>
      </c>
      <c r="D2308" s="4">
        <f>ROUND(E2308*F2308*1.25,0)</f>
        <v>76</v>
      </c>
      <c r="E2308" s="1">
        <v>0.47</v>
      </c>
      <c r="F2308" s="1">
        <v>130</v>
      </c>
      <c r="H2308" s="1" t="s">
        <v>3187</v>
      </c>
      <c r="I2308" s="1" t="s">
        <v>2999</v>
      </c>
    </row>
    <row r="2309" spans="1:10" ht="15.75" customHeight="1" x14ac:dyDescent="0.25">
      <c r="A2309" s="4">
        <v>20059901</v>
      </c>
      <c r="B2309" s="1" t="s">
        <v>1118</v>
      </c>
      <c r="C2309" s="11" t="s">
        <v>2241</v>
      </c>
      <c r="D2309" s="4">
        <f>ROUND(E2309*F2309*1.25,0)</f>
        <v>49</v>
      </c>
      <c r="E2309" s="1">
        <v>0.47</v>
      </c>
      <c r="F2309" s="1">
        <v>84</v>
      </c>
      <c r="H2309" s="1" t="s">
        <v>3187</v>
      </c>
      <c r="I2309" s="1" t="s">
        <v>2999</v>
      </c>
    </row>
    <row r="2310" spans="1:10" ht="15.75" customHeight="1" x14ac:dyDescent="0.25">
      <c r="A2310" s="21">
        <v>20059901</v>
      </c>
      <c r="B2310" s="11" t="s">
        <v>1120</v>
      </c>
      <c r="C2310" s="11" t="s">
        <v>2242</v>
      </c>
      <c r="D2310" s="4">
        <v>13</v>
      </c>
      <c r="F2310" s="1"/>
      <c r="G2310" s="1">
        <v>13</v>
      </c>
      <c r="H2310" s="1" t="s">
        <v>3152</v>
      </c>
      <c r="I2310" s="1" t="s">
        <v>3185</v>
      </c>
    </row>
    <row r="2311" spans="1:10" ht="15.75" customHeight="1" x14ac:dyDescent="0.25">
      <c r="A2311" s="4">
        <v>20059902</v>
      </c>
      <c r="B2311" s="1" t="s">
        <v>1123</v>
      </c>
      <c r="C2311" s="11" t="s">
        <v>2244</v>
      </c>
      <c r="D2311" s="4">
        <f>ROUND(E2311*F2311*1.25,0)</f>
        <v>76</v>
      </c>
      <c r="E2311" s="1">
        <v>0.47</v>
      </c>
      <c r="F2311" s="1">
        <v>130</v>
      </c>
      <c r="H2311" s="1" t="s">
        <v>3187</v>
      </c>
      <c r="I2311" s="1" t="s">
        <v>2999</v>
      </c>
    </row>
    <row r="2312" spans="1:10" ht="15.75" customHeight="1" x14ac:dyDescent="0.25">
      <c r="A2312" s="4">
        <v>20059902</v>
      </c>
      <c r="B2312" s="1" t="s">
        <v>1121</v>
      </c>
      <c r="C2312" s="11" t="s">
        <v>2243</v>
      </c>
      <c r="D2312" s="4">
        <f>ROUND(E2312*F2312*1.25,0)</f>
        <v>49</v>
      </c>
      <c r="E2312" s="1">
        <v>0.47</v>
      </c>
      <c r="F2312" s="1">
        <v>84</v>
      </c>
      <c r="H2312" s="1" t="s">
        <v>3187</v>
      </c>
      <c r="I2312" s="1" t="s">
        <v>2999</v>
      </c>
    </row>
    <row r="2313" spans="1:10" ht="15.75" customHeight="1" x14ac:dyDescent="0.25">
      <c r="A2313" s="21">
        <v>20059902</v>
      </c>
      <c r="B2313" s="11" t="s">
        <v>1119</v>
      </c>
      <c r="C2313" s="11" t="s">
        <v>2242</v>
      </c>
      <c r="D2313" s="4">
        <v>13</v>
      </c>
      <c r="F2313" s="1"/>
      <c r="G2313" s="1">
        <v>13</v>
      </c>
      <c r="H2313" s="1" t="s">
        <v>3152</v>
      </c>
      <c r="I2313" s="1" t="s">
        <v>3185</v>
      </c>
    </row>
    <row r="2314" spans="1:10" ht="15.75" customHeight="1" x14ac:dyDescent="0.25">
      <c r="A2314" s="4">
        <v>20059903</v>
      </c>
      <c r="B2314" s="1" t="s">
        <v>3108</v>
      </c>
      <c r="C2314" s="11" t="s">
        <v>25</v>
      </c>
      <c r="D2314" s="4">
        <f t="shared" ref="D2314:D2320" si="54">ROUND(E2314*F2314*1.25,0)</f>
        <v>7</v>
      </c>
      <c r="E2314" s="10">
        <v>1.04</v>
      </c>
      <c r="F2314" s="1">
        <v>5</v>
      </c>
      <c r="G2314" s="4"/>
      <c r="H2314" s="1" t="s">
        <v>3196</v>
      </c>
      <c r="I2314" s="1" t="s">
        <v>2999</v>
      </c>
      <c r="J2314" s="1" t="s">
        <v>3132</v>
      </c>
    </row>
    <row r="2315" spans="1:10" ht="15.75" customHeight="1" x14ac:dyDescent="0.25">
      <c r="A2315" s="21">
        <v>20059903</v>
      </c>
      <c r="B2315" s="11" t="s">
        <v>3108</v>
      </c>
      <c r="C2315" s="11" t="s">
        <v>13</v>
      </c>
      <c r="D2315" s="4">
        <f t="shared" si="54"/>
        <v>78</v>
      </c>
      <c r="E2315" s="10">
        <v>1.04</v>
      </c>
      <c r="F2315" s="1">
        <v>60</v>
      </c>
      <c r="G2315" s="4"/>
      <c r="H2315" s="1" t="s">
        <v>3196</v>
      </c>
      <c r="I2315" s="1" t="s">
        <v>2702</v>
      </c>
      <c r="J2315" s="1" t="s">
        <v>3132</v>
      </c>
    </row>
    <row r="2316" spans="1:10" ht="15.75" customHeight="1" x14ac:dyDescent="0.25">
      <c r="A2316" s="4">
        <v>20059903</v>
      </c>
      <c r="B2316" s="30" t="s">
        <v>3108</v>
      </c>
      <c r="C2316" s="11" t="s">
        <v>27</v>
      </c>
      <c r="D2316" s="4">
        <f t="shared" si="54"/>
        <v>169</v>
      </c>
      <c r="E2316" s="10">
        <v>1.04</v>
      </c>
      <c r="F2316" s="1">
        <v>130</v>
      </c>
      <c r="H2316" s="1" t="s">
        <v>3196</v>
      </c>
      <c r="I2316" s="1" t="s">
        <v>2999</v>
      </c>
      <c r="J2316" s="1" t="s">
        <v>3132</v>
      </c>
    </row>
    <row r="2317" spans="1:10" ht="15.75" customHeight="1" x14ac:dyDescent="0.25">
      <c r="A2317" s="4">
        <v>20059903</v>
      </c>
      <c r="B2317" s="30" t="s">
        <v>3108</v>
      </c>
      <c r="C2317" s="11" t="s">
        <v>24</v>
      </c>
      <c r="D2317" s="4">
        <f t="shared" si="54"/>
        <v>109</v>
      </c>
      <c r="E2317" s="10">
        <v>1.04</v>
      </c>
      <c r="F2317" s="1">
        <v>84</v>
      </c>
      <c r="H2317" s="1" t="s">
        <v>3196</v>
      </c>
      <c r="I2317" s="1" t="s">
        <v>2999</v>
      </c>
    </row>
    <row r="2318" spans="1:10" ht="15.75" customHeight="1" x14ac:dyDescent="0.25">
      <c r="A2318" s="21">
        <v>20059903</v>
      </c>
      <c r="B2318" s="30" t="s">
        <v>3108</v>
      </c>
      <c r="C2318" s="11" t="s">
        <v>26</v>
      </c>
      <c r="D2318" s="4">
        <f t="shared" si="54"/>
        <v>20</v>
      </c>
      <c r="E2318" s="10">
        <v>1.04</v>
      </c>
      <c r="F2318" s="1">
        <v>15</v>
      </c>
      <c r="G2318" s="4"/>
      <c r="H2318" s="1" t="s">
        <v>3196</v>
      </c>
      <c r="I2318" s="1" t="s">
        <v>2999</v>
      </c>
      <c r="J2318" s="1" t="s">
        <v>3132</v>
      </c>
    </row>
    <row r="2319" spans="1:10" ht="15.75" customHeight="1" x14ac:dyDescent="0.25">
      <c r="A2319" s="4">
        <v>20059904</v>
      </c>
      <c r="B2319" s="1" t="s">
        <v>3109</v>
      </c>
      <c r="C2319" s="11" t="s">
        <v>27</v>
      </c>
      <c r="D2319" s="4">
        <f t="shared" si="54"/>
        <v>76</v>
      </c>
      <c r="E2319" s="1">
        <v>0.47</v>
      </c>
      <c r="F2319" s="1">
        <v>130</v>
      </c>
      <c r="G2319" s="4"/>
      <c r="H2319" s="1" t="s">
        <v>3187</v>
      </c>
      <c r="I2319" s="1" t="s">
        <v>2999</v>
      </c>
      <c r="J2319" s="1" t="s">
        <v>3132</v>
      </c>
    </row>
    <row r="2320" spans="1:10" ht="15.75" customHeight="1" x14ac:dyDescent="0.25">
      <c r="A2320" s="4">
        <v>20059904</v>
      </c>
      <c r="B2320" s="1" t="s">
        <v>3109</v>
      </c>
      <c r="C2320" s="11" t="s">
        <v>24</v>
      </c>
      <c r="D2320" s="4">
        <f t="shared" si="54"/>
        <v>49</v>
      </c>
      <c r="E2320" s="1">
        <v>0.47</v>
      </c>
      <c r="F2320" s="1">
        <v>84</v>
      </c>
      <c r="G2320" s="4"/>
      <c r="H2320" s="1" t="s">
        <v>3187</v>
      </c>
      <c r="I2320" s="1" t="s">
        <v>2999</v>
      </c>
    </row>
    <row r="2321" spans="1:10" ht="15.75" customHeight="1" x14ac:dyDescent="0.25">
      <c r="A2321" s="21">
        <v>20059904</v>
      </c>
      <c r="B2321" s="11" t="s">
        <v>3109</v>
      </c>
      <c r="C2321" s="11" t="s">
        <v>26</v>
      </c>
      <c r="D2321" s="4">
        <v>13</v>
      </c>
      <c r="F2321" s="1"/>
      <c r="G2321" s="1">
        <v>13</v>
      </c>
      <c r="H2321" s="1" t="s">
        <v>3152</v>
      </c>
      <c r="I2321" s="1" t="s">
        <v>3185</v>
      </c>
    </row>
    <row r="2322" spans="1:10" ht="15.75" customHeight="1" x14ac:dyDescent="0.25">
      <c r="A2322" s="4">
        <v>20059905</v>
      </c>
      <c r="B2322" s="1" t="s">
        <v>3110</v>
      </c>
      <c r="C2322" s="11" t="s">
        <v>27</v>
      </c>
      <c r="D2322" s="4">
        <f>ROUND(E2322*F2322*1.25,0)</f>
        <v>111</v>
      </c>
      <c r="E2322" s="1">
        <v>0.68</v>
      </c>
      <c r="F2322" s="1">
        <v>130</v>
      </c>
      <c r="G2322" s="4"/>
      <c r="H2322" s="1" t="s">
        <v>3188</v>
      </c>
      <c r="I2322" s="1" t="s">
        <v>2999</v>
      </c>
      <c r="J2322" s="1" t="s">
        <v>3132</v>
      </c>
    </row>
    <row r="2323" spans="1:10" ht="15.75" customHeight="1" x14ac:dyDescent="0.25">
      <c r="A2323" s="4">
        <v>20059905</v>
      </c>
      <c r="B2323" s="1" t="s">
        <v>3110</v>
      </c>
      <c r="C2323" s="11" t="s">
        <v>24</v>
      </c>
      <c r="D2323" s="4">
        <f>ROUND(E2323*F2323*1.25,0)</f>
        <v>71</v>
      </c>
      <c r="E2323" s="1">
        <v>0.68</v>
      </c>
      <c r="F2323" s="1">
        <v>84</v>
      </c>
      <c r="H2323" s="1" t="s">
        <v>3188</v>
      </c>
      <c r="I2323" s="1" t="s">
        <v>2999</v>
      </c>
      <c r="J2323" s="1" t="s">
        <v>3132</v>
      </c>
    </row>
    <row r="2324" spans="1:10" ht="15.75" customHeight="1" x14ac:dyDescent="0.25">
      <c r="A2324" s="21">
        <v>20059905</v>
      </c>
      <c r="B2324" s="11" t="s">
        <v>3110</v>
      </c>
      <c r="C2324" s="11" t="s">
        <v>26</v>
      </c>
      <c r="D2324" s="4">
        <v>14</v>
      </c>
      <c r="F2324" s="1"/>
      <c r="G2324" s="1">
        <v>14</v>
      </c>
      <c r="H2324" s="1" t="s">
        <v>3152</v>
      </c>
      <c r="I2324" s="1" t="s">
        <v>3186</v>
      </c>
      <c r="J2324" s="1" t="s">
        <v>3132</v>
      </c>
    </row>
    <row r="2325" spans="1:10" ht="15.75" customHeight="1" x14ac:dyDescent="0.25">
      <c r="A2325" s="4">
        <v>20059906</v>
      </c>
      <c r="B2325" s="1" t="s">
        <v>3111</v>
      </c>
      <c r="C2325" s="11" t="s">
        <v>27</v>
      </c>
      <c r="D2325" s="4">
        <f>ROUND(E2325*F2325*1.25,0)</f>
        <v>76</v>
      </c>
      <c r="E2325" s="1">
        <v>0.47</v>
      </c>
      <c r="F2325" s="1">
        <v>130</v>
      </c>
      <c r="G2325" s="4"/>
      <c r="H2325" s="1" t="s">
        <v>3187</v>
      </c>
      <c r="I2325" s="1" t="s">
        <v>2999</v>
      </c>
      <c r="J2325" s="1" t="s">
        <v>3132</v>
      </c>
    </row>
    <row r="2326" spans="1:10" ht="15.75" customHeight="1" x14ac:dyDescent="0.25">
      <c r="A2326" s="4">
        <v>20059906</v>
      </c>
      <c r="B2326" s="1" t="s">
        <v>3111</v>
      </c>
      <c r="C2326" s="11" t="s">
        <v>24</v>
      </c>
      <c r="D2326" s="4">
        <f>ROUND(E2326*F2326*1.25,0)</f>
        <v>49</v>
      </c>
      <c r="E2326" s="1">
        <v>0.47</v>
      </c>
      <c r="F2326" s="1">
        <v>84</v>
      </c>
      <c r="G2326" s="4"/>
      <c r="H2326" s="1" t="s">
        <v>3187</v>
      </c>
      <c r="I2326" s="1" t="s">
        <v>2999</v>
      </c>
    </row>
    <row r="2327" spans="1:10" ht="15.75" customHeight="1" x14ac:dyDescent="0.25">
      <c r="A2327" s="21">
        <v>20059906</v>
      </c>
      <c r="B2327" s="11" t="s">
        <v>3111</v>
      </c>
      <c r="C2327" s="11" t="s">
        <v>26</v>
      </c>
      <c r="D2327" s="4">
        <v>13</v>
      </c>
      <c r="F2327" s="1"/>
      <c r="G2327" s="1">
        <v>13</v>
      </c>
      <c r="H2327" s="1" t="s">
        <v>3152</v>
      </c>
      <c r="I2327" s="1" t="s">
        <v>3185</v>
      </c>
      <c r="J2327" s="1" t="s">
        <v>3132</v>
      </c>
    </row>
    <row r="2328" spans="1:10" ht="15.75" customHeight="1" x14ac:dyDescent="0.25">
      <c r="A2328" s="4">
        <v>20060002</v>
      </c>
      <c r="B2328" s="1" t="s">
        <v>1125</v>
      </c>
      <c r="C2328" s="11" t="s">
        <v>2247</v>
      </c>
      <c r="D2328" s="4">
        <f>ROUND(E2328*F2328*1.25,0)</f>
        <v>76</v>
      </c>
      <c r="E2328" s="10">
        <v>0.72</v>
      </c>
      <c r="F2328" s="1">
        <v>84</v>
      </c>
      <c r="H2328" s="1" t="s">
        <v>2824</v>
      </c>
      <c r="I2328" s="1" t="s">
        <v>2999</v>
      </c>
    </row>
    <row r="2329" spans="1:10" ht="15.75" customHeight="1" x14ac:dyDescent="0.25">
      <c r="A2329" s="21">
        <v>20060002</v>
      </c>
      <c r="B2329" s="11" t="s">
        <v>2525</v>
      </c>
      <c r="C2329" s="11" t="s">
        <v>2245</v>
      </c>
      <c r="D2329" s="2">
        <v>16</v>
      </c>
      <c r="F2329" s="1">
        <v>9</v>
      </c>
      <c r="G2329" s="1">
        <v>5</v>
      </c>
      <c r="H2329" s="1" t="s">
        <v>3198</v>
      </c>
    </row>
    <row r="2330" spans="1:10" ht="15.75" customHeight="1" x14ac:dyDescent="0.25">
      <c r="A2330" s="21">
        <v>20060003</v>
      </c>
      <c r="B2330" s="11" t="s">
        <v>1126</v>
      </c>
      <c r="C2330" s="11" t="s">
        <v>2248</v>
      </c>
      <c r="D2330" s="4">
        <f>ROUND(E2330*F2330*1.25,0)</f>
        <v>20</v>
      </c>
      <c r="E2330" s="10">
        <v>1.04</v>
      </c>
      <c r="F2330" s="1">
        <v>15</v>
      </c>
      <c r="H2330" s="1" t="s">
        <v>3196</v>
      </c>
      <c r="I2330" s="1" t="s">
        <v>2999</v>
      </c>
    </row>
    <row r="2331" spans="1:10" ht="15.75" customHeight="1" x14ac:dyDescent="0.25">
      <c r="A2331" s="4">
        <v>20060003</v>
      </c>
      <c r="B2331" s="1" t="s">
        <v>1124</v>
      </c>
      <c r="C2331" s="11" t="s">
        <v>2246</v>
      </c>
      <c r="D2331" s="4">
        <f>ROUND(E2331*F2331*1.25,0)</f>
        <v>109</v>
      </c>
      <c r="E2331" s="10">
        <v>1.04</v>
      </c>
      <c r="F2331" s="1">
        <v>84</v>
      </c>
      <c r="H2331" s="1" t="s">
        <v>3196</v>
      </c>
      <c r="I2331" s="1" t="s">
        <v>2999</v>
      </c>
    </row>
    <row r="2332" spans="1:10" ht="15.75" customHeight="1" x14ac:dyDescent="0.25">
      <c r="A2332" s="4">
        <v>20070001</v>
      </c>
      <c r="B2332" s="1" t="s">
        <v>1132</v>
      </c>
      <c r="C2332" s="11" t="s">
        <v>2254</v>
      </c>
      <c r="D2332" s="1">
        <f>G2332</f>
        <v>12</v>
      </c>
      <c r="E2332" s="10"/>
      <c r="F2332" s="1"/>
      <c r="G2332" s="1">
        <v>12</v>
      </c>
      <c r="H2332" s="1" t="s">
        <v>2871</v>
      </c>
      <c r="I2332" s="1" t="s">
        <v>2848</v>
      </c>
    </row>
    <row r="2333" spans="1:10" ht="15.75" customHeight="1" x14ac:dyDescent="0.25">
      <c r="A2333" s="4">
        <v>20070001</v>
      </c>
      <c r="B2333" s="1" t="s">
        <v>1138</v>
      </c>
      <c r="C2333" s="11" t="s">
        <v>2258</v>
      </c>
      <c r="D2333" s="1">
        <v>74</v>
      </c>
      <c r="E2333" s="10"/>
      <c r="F2333" s="1"/>
      <c r="G2333" s="1">
        <v>74</v>
      </c>
      <c r="H2333" s="1" t="s">
        <v>2871</v>
      </c>
      <c r="I2333" s="1" t="s">
        <v>2701</v>
      </c>
    </row>
    <row r="2334" spans="1:10" ht="15.75" customHeight="1" x14ac:dyDescent="0.25">
      <c r="A2334" s="21">
        <v>20070001</v>
      </c>
      <c r="B2334" s="11" t="s">
        <v>1127</v>
      </c>
      <c r="C2334" s="11" t="s">
        <v>2249</v>
      </c>
      <c r="D2334" s="1">
        <f>G2334</f>
        <v>37</v>
      </c>
      <c r="E2334" s="10"/>
      <c r="F2334" s="1"/>
      <c r="G2334" s="1">
        <v>37</v>
      </c>
      <c r="H2334" s="1" t="s">
        <v>2871</v>
      </c>
      <c r="I2334" s="1" t="s">
        <v>2700</v>
      </c>
    </row>
    <row r="2335" spans="1:10" ht="15.75" customHeight="1" x14ac:dyDescent="0.25">
      <c r="A2335" s="4">
        <v>20070001</v>
      </c>
      <c r="B2335" s="1" t="s">
        <v>2501</v>
      </c>
      <c r="C2335" s="11" t="s">
        <v>2251</v>
      </c>
      <c r="D2335" s="4">
        <f>ROUND(E2335*F2335*1.25,0)</f>
        <v>111</v>
      </c>
      <c r="E2335" s="10">
        <v>1.06</v>
      </c>
      <c r="F2335" s="1">
        <v>84</v>
      </c>
      <c r="H2335" s="1" t="s">
        <v>2837</v>
      </c>
      <c r="I2335" s="1" t="s">
        <v>2999</v>
      </c>
    </row>
    <row r="2336" spans="1:10" ht="15.75" customHeight="1" x14ac:dyDescent="0.25">
      <c r="A2336" s="21">
        <v>20070001</v>
      </c>
      <c r="B2336" s="11" t="s">
        <v>2501</v>
      </c>
      <c r="C2336" s="11" t="s">
        <v>2252</v>
      </c>
      <c r="D2336" s="1">
        <f>G2336</f>
        <v>37</v>
      </c>
      <c r="E2336" s="10"/>
      <c r="F2336" s="1"/>
      <c r="G2336" s="1">
        <v>37</v>
      </c>
      <c r="H2336" s="1" t="s">
        <v>2871</v>
      </c>
    </row>
    <row r="2337" spans="1:9" ht="15.75" customHeight="1" x14ac:dyDescent="0.25">
      <c r="A2337" s="21">
        <v>20070002</v>
      </c>
      <c r="B2337" s="11" t="s">
        <v>1128</v>
      </c>
      <c r="C2337" s="11" t="s">
        <v>12</v>
      </c>
      <c r="D2337" s="4">
        <v>30</v>
      </c>
      <c r="F2337" s="1"/>
      <c r="G2337" s="1">
        <v>30</v>
      </c>
      <c r="H2337" s="1" t="s">
        <v>2547</v>
      </c>
      <c r="I2337" s="1" t="s">
        <v>2873</v>
      </c>
    </row>
    <row r="2338" spans="1:9" ht="15.75" customHeight="1" x14ac:dyDescent="0.25">
      <c r="A2338" s="26">
        <v>20070002</v>
      </c>
      <c r="B2338" s="25" t="s">
        <v>1128</v>
      </c>
      <c r="C2338" s="25" t="s">
        <v>27</v>
      </c>
      <c r="D2338" s="4">
        <v>81</v>
      </c>
      <c r="H2338" s="1" t="s">
        <v>2547</v>
      </c>
    </row>
    <row r="2339" spans="1:9" ht="15.75" customHeight="1" x14ac:dyDescent="0.25">
      <c r="A2339" s="4">
        <v>20070002</v>
      </c>
      <c r="B2339" s="1" t="s">
        <v>1128</v>
      </c>
      <c r="C2339" s="11" t="s">
        <v>2250</v>
      </c>
      <c r="D2339" s="4">
        <v>118</v>
      </c>
      <c r="F2339" s="1"/>
      <c r="G2339" s="1">
        <v>118</v>
      </c>
      <c r="H2339" s="1" t="s">
        <v>2547</v>
      </c>
      <c r="I2339" s="1" t="s">
        <v>2874</v>
      </c>
    </row>
    <row r="2340" spans="1:9" ht="15.75" customHeight="1" x14ac:dyDescent="0.25">
      <c r="A2340" s="21">
        <v>20070002</v>
      </c>
      <c r="B2340" s="11" t="s">
        <v>1128</v>
      </c>
      <c r="C2340" s="11" t="s">
        <v>2249</v>
      </c>
      <c r="D2340" s="4">
        <v>15</v>
      </c>
      <c r="F2340" s="1"/>
      <c r="G2340" s="1">
        <v>15</v>
      </c>
      <c r="H2340" s="1" t="s">
        <v>2547</v>
      </c>
      <c r="I2340" s="1" t="s">
        <v>2872</v>
      </c>
    </row>
    <row r="2341" spans="1:9" ht="15.75" customHeight="1" x14ac:dyDescent="0.25">
      <c r="A2341" s="21">
        <v>20070002</v>
      </c>
      <c r="B2341" s="11" t="s">
        <v>1129</v>
      </c>
      <c r="C2341" s="11" t="s">
        <v>2252</v>
      </c>
      <c r="D2341" s="4">
        <v>15</v>
      </c>
      <c r="F2341" s="1"/>
      <c r="G2341" s="1">
        <v>15</v>
      </c>
      <c r="H2341" s="1" t="s">
        <v>2547</v>
      </c>
      <c r="I2341" s="1" t="s">
        <v>2872</v>
      </c>
    </row>
    <row r="2342" spans="1:9" ht="15.75" customHeight="1" x14ac:dyDescent="0.25">
      <c r="A2342" s="4">
        <v>20070002</v>
      </c>
      <c r="B2342" s="1" t="s">
        <v>2546</v>
      </c>
      <c r="C2342" s="11" t="s">
        <v>2253</v>
      </c>
      <c r="D2342" s="4">
        <f>ROUND(E2342*F2342*1.25,0)</f>
        <v>52</v>
      </c>
      <c r="E2342" s="10">
        <f>118/236.5</f>
        <v>0.4989429175475687</v>
      </c>
      <c r="F2342" s="1">
        <v>84</v>
      </c>
      <c r="H2342" s="1" t="s">
        <v>2547</v>
      </c>
      <c r="I2342" s="1" t="s">
        <v>2999</v>
      </c>
    </row>
    <row r="2343" spans="1:9" ht="15.75" customHeight="1" x14ac:dyDescent="0.25">
      <c r="A2343" s="4">
        <v>20070003</v>
      </c>
      <c r="B2343" s="1" t="s">
        <v>1130</v>
      </c>
      <c r="C2343" s="11" t="s">
        <v>2253</v>
      </c>
      <c r="D2343" s="4">
        <f>ROUND(E2343*F2343*1.25,0)</f>
        <v>109</v>
      </c>
      <c r="E2343" s="10">
        <v>1.04</v>
      </c>
      <c r="F2343" s="1">
        <v>84</v>
      </c>
      <c r="H2343" s="1" t="s">
        <v>3196</v>
      </c>
      <c r="I2343" s="1" t="s">
        <v>2999</v>
      </c>
    </row>
    <row r="2344" spans="1:9" ht="15.75" customHeight="1" x14ac:dyDescent="0.25">
      <c r="A2344" s="21">
        <v>20070003</v>
      </c>
      <c r="B2344" s="11" t="s">
        <v>1134</v>
      </c>
      <c r="C2344" s="11" t="s">
        <v>2256</v>
      </c>
      <c r="D2344" s="4">
        <f>ROUND(E2344*F2344*1.25,0)</f>
        <v>20</v>
      </c>
      <c r="E2344" s="10">
        <v>1.04</v>
      </c>
      <c r="F2344" s="1">
        <v>15</v>
      </c>
      <c r="H2344" s="1" t="s">
        <v>3196</v>
      </c>
      <c r="I2344" s="1" t="s">
        <v>2999</v>
      </c>
    </row>
    <row r="2345" spans="1:9" ht="15.75" customHeight="1" x14ac:dyDescent="0.25">
      <c r="A2345" s="21">
        <v>20070004</v>
      </c>
      <c r="B2345" s="11" t="s">
        <v>1136</v>
      </c>
      <c r="C2345" s="11" t="s">
        <v>2256</v>
      </c>
      <c r="D2345" s="1">
        <v>12</v>
      </c>
      <c r="F2345" s="1">
        <v>9</v>
      </c>
      <c r="H2345" s="1" t="s">
        <v>2861</v>
      </c>
    </row>
    <row r="2346" spans="1:9" ht="15.75" customHeight="1" x14ac:dyDescent="0.25">
      <c r="A2346" s="4">
        <v>20070004</v>
      </c>
      <c r="B2346" s="1" t="s">
        <v>1131</v>
      </c>
      <c r="C2346" s="11" t="s">
        <v>2253</v>
      </c>
      <c r="D2346" s="4">
        <f>ROUND(E2346*F2346*1.25,0)</f>
        <v>70</v>
      </c>
      <c r="E2346" s="1">
        <v>0.67</v>
      </c>
      <c r="F2346" s="1">
        <v>84</v>
      </c>
      <c r="H2346" s="2" t="s">
        <v>2750</v>
      </c>
      <c r="I2346" s="1" t="s">
        <v>2999</v>
      </c>
    </row>
    <row r="2347" spans="1:9" ht="15.75" customHeight="1" x14ac:dyDescent="0.25">
      <c r="A2347" s="4">
        <v>20070005</v>
      </c>
      <c r="B2347" s="1" t="s">
        <v>1133</v>
      </c>
      <c r="C2347" s="11" t="s">
        <v>16</v>
      </c>
      <c r="D2347" s="4">
        <f>ROUND(E2347*F2347*1.25,0)</f>
        <v>25</v>
      </c>
      <c r="E2347" s="1">
        <v>0.5</v>
      </c>
      <c r="F2347" s="1">
        <v>40</v>
      </c>
      <c r="H2347" s="1" t="s">
        <v>2547</v>
      </c>
      <c r="I2347" s="1" t="s">
        <v>2999</v>
      </c>
    </row>
    <row r="2348" spans="1:9" ht="15.75" customHeight="1" x14ac:dyDescent="0.25">
      <c r="A2348" s="4">
        <v>20070005</v>
      </c>
      <c r="B2348" s="1" t="s">
        <v>1137</v>
      </c>
      <c r="C2348" s="11" t="s">
        <v>2257</v>
      </c>
      <c r="D2348" s="4">
        <f>ROUND(E2348*F2348*1.25,0)</f>
        <v>81</v>
      </c>
      <c r="E2348" s="1">
        <v>0.5</v>
      </c>
      <c r="F2348" s="1">
        <v>130</v>
      </c>
      <c r="H2348" s="1" t="s">
        <v>2547</v>
      </c>
      <c r="I2348" s="1" t="s">
        <v>2999</v>
      </c>
    </row>
    <row r="2349" spans="1:9" ht="15.75" customHeight="1" x14ac:dyDescent="0.25">
      <c r="A2349" s="4">
        <v>20070005</v>
      </c>
      <c r="B2349" s="1" t="s">
        <v>1133</v>
      </c>
      <c r="C2349" s="11" t="s">
        <v>2255</v>
      </c>
      <c r="D2349" s="4">
        <f>ROUND(E2349*F2349*1.25,0)</f>
        <v>70</v>
      </c>
      <c r="E2349" s="1">
        <v>0.67</v>
      </c>
      <c r="F2349" s="1">
        <v>84</v>
      </c>
      <c r="H2349" s="2" t="s">
        <v>2750</v>
      </c>
      <c r="I2349" s="1" t="s">
        <v>2999</v>
      </c>
    </row>
    <row r="2350" spans="1:9" ht="15.75" customHeight="1" x14ac:dyDescent="0.25">
      <c r="A2350" s="21">
        <v>20070005</v>
      </c>
      <c r="B2350" s="11" t="s">
        <v>1135</v>
      </c>
      <c r="C2350" s="11" t="s">
        <v>2256</v>
      </c>
      <c r="D2350" s="4">
        <v>12</v>
      </c>
      <c r="E2350" s="1">
        <v>0.5</v>
      </c>
      <c r="F2350" s="1">
        <v>9</v>
      </c>
      <c r="H2350" s="1" t="s">
        <v>2861</v>
      </c>
    </row>
    <row r="2351" spans="1:9" ht="15.75" customHeight="1" x14ac:dyDescent="0.25">
      <c r="A2351" s="21">
        <v>20070006</v>
      </c>
      <c r="B2351" s="11" t="s">
        <v>2643</v>
      </c>
      <c r="C2351" s="11" t="s">
        <v>26</v>
      </c>
      <c r="D2351" s="4">
        <f>ROUND(E2351*F2351*1.25,0)</f>
        <v>20</v>
      </c>
      <c r="E2351" s="10">
        <v>1.06</v>
      </c>
      <c r="F2351" s="1">
        <v>15</v>
      </c>
      <c r="H2351" s="1" t="s">
        <v>2837</v>
      </c>
      <c r="I2351" s="1" t="s">
        <v>2999</v>
      </c>
    </row>
    <row r="2352" spans="1:9" ht="15.75" customHeight="1" x14ac:dyDescent="0.25">
      <c r="A2352" s="4">
        <v>20070006</v>
      </c>
      <c r="B2352" s="1" t="s">
        <v>2643</v>
      </c>
      <c r="C2352" s="11" t="s">
        <v>24</v>
      </c>
      <c r="D2352" s="4">
        <f>ROUND(E2352*F2352*1.25,0)</f>
        <v>111</v>
      </c>
      <c r="E2352" s="10">
        <v>1.06</v>
      </c>
      <c r="F2352" s="1">
        <v>84</v>
      </c>
      <c r="H2352" s="1" t="s">
        <v>2837</v>
      </c>
      <c r="I2352" s="1" t="s">
        <v>2999</v>
      </c>
    </row>
    <row r="2353" spans="1:9" ht="15.75" customHeight="1" x14ac:dyDescent="0.25">
      <c r="A2353" s="4">
        <v>20080101</v>
      </c>
      <c r="B2353" s="1" t="s">
        <v>2531</v>
      </c>
      <c r="C2353" s="11" t="s">
        <v>2260</v>
      </c>
      <c r="D2353" s="4">
        <f>ROUND(E2353*F2353*1.25,0)</f>
        <v>109</v>
      </c>
      <c r="E2353" s="10">
        <v>1.04</v>
      </c>
      <c r="F2353" s="1">
        <v>84</v>
      </c>
      <c r="H2353" s="1" t="s">
        <v>3196</v>
      </c>
      <c r="I2353" s="1" t="s">
        <v>2999</v>
      </c>
    </row>
    <row r="2354" spans="1:9" ht="15.75" customHeight="1" x14ac:dyDescent="0.25">
      <c r="A2354" s="21">
        <v>20080101</v>
      </c>
      <c r="B2354" s="11" t="s">
        <v>2531</v>
      </c>
      <c r="C2354" s="11" t="s">
        <v>2261</v>
      </c>
      <c r="D2354" s="4">
        <v>20</v>
      </c>
      <c r="F2354" s="1"/>
      <c r="G2354" s="1">
        <v>20</v>
      </c>
      <c r="H2354" s="1" t="s">
        <v>2842</v>
      </c>
    </row>
    <row r="2355" spans="1:9" ht="15.75" customHeight="1" x14ac:dyDescent="0.25">
      <c r="A2355" s="4">
        <v>20080102</v>
      </c>
      <c r="B2355" s="1" t="s">
        <v>1140</v>
      </c>
      <c r="C2355" s="11" t="s">
        <v>2262</v>
      </c>
      <c r="D2355" s="4">
        <f>ROUND(E2355*F2355,0)</f>
        <v>62</v>
      </c>
      <c r="E2355" s="1">
        <v>0.74</v>
      </c>
      <c r="F2355" s="1">
        <v>84</v>
      </c>
      <c r="H2355" s="1" t="s">
        <v>2733</v>
      </c>
    </row>
    <row r="2356" spans="1:9" ht="15.75" customHeight="1" x14ac:dyDescent="0.25">
      <c r="A2356" s="21">
        <v>20080102</v>
      </c>
      <c r="B2356" s="11" t="s">
        <v>1140</v>
      </c>
      <c r="C2356" s="11" t="s">
        <v>2261</v>
      </c>
      <c r="D2356" s="4">
        <f>ROUND(E2356*F2356,0)</f>
        <v>20</v>
      </c>
      <c r="E2356" s="1">
        <f>ROUND(175/237,2)</f>
        <v>0.74</v>
      </c>
      <c r="F2356" s="1">
        <v>27</v>
      </c>
      <c r="H2356" s="1" t="s">
        <v>2733</v>
      </c>
    </row>
    <row r="2357" spans="1:9" ht="15.75" customHeight="1" x14ac:dyDescent="0.25">
      <c r="A2357" s="21">
        <v>20080103</v>
      </c>
      <c r="B2357" s="11" t="s">
        <v>1139</v>
      </c>
      <c r="C2357" s="11" t="s">
        <v>2259</v>
      </c>
      <c r="D2357" s="4">
        <v>20</v>
      </c>
      <c r="F2357" s="1"/>
      <c r="G2357" s="1">
        <v>20</v>
      </c>
      <c r="H2357" s="1" t="s">
        <v>2842</v>
      </c>
      <c r="I2357" s="1" t="s">
        <v>2700</v>
      </c>
    </row>
    <row r="2358" spans="1:9" ht="15.75" customHeight="1" x14ac:dyDescent="0.25">
      <c r="A2358" s="21">
        <v>20080103</v>
      </c>
      <c r="B2358" s="11" t="s">
        <v>1141</v>
      </c>
      <c r="C2358" s="11" t="s">
        <v>2263</v>
      </c>
      <c r="D2358" s="4">
        <v>20</v>
      </c>
      <c r="F2358" s="1"/>
      <c r="G2358" s="1">
        <v>20</v>
      </c>
      <c r="H2358" s="1" t="s">
        <v>2841</v>
      </c>
    </row>
    <row r="2359" spans="1:9" ht="15.75" customHeight="1" x14ac:dyDescent="0.25">
      <c r="A2359" s="4">
        <v>20080103</v>
      </c>
      <c r="B2359" s="1" t="s">
        <v>1141</v>
      </c>
      <c r="C2359" s="11" t="s">
        <v>2262</v>
      </c>
      <c r="D2359" s="4">
        <f>ROUND(E2359*F2359*1.25,0)</f>
        <v>109</v>
      </c>
      <c r="E2359" s="10">
        <v>1.04</v>
      </c>
      <c r="F2359" s="1">
        <v>84</v>
      </c>
      <c r="H2359" s="1" t="s">
        <v>3196</v>
      </c>
      <c r="I2359" s="1" t="s">
        <v>2999</v>
      </c>
    </row>
    <row r="2360" spans="1:9" ht="15.75" customHeight="1" x14ac:dyDescent="0.25">
      <c r="A2360" s="4">
        <v>20080201</v>
      </c>
      <c r="B2360" s="1" t="s">
        <v>1142</v>
      </c>
      <c r="C2360" s="11" t="s">
        <v>2264</v>
      </c>
      <c r="D2360" s="4">
        <f>ROUND(E2360*F2360*1.25,0)</f>
        <v>68</v>
      </c>
      <c r="E2360" s="10">
        <v>0.65</v>
      </c>
      <c r="F2360" s="1">
        <v>84</v>
      </c>
      <c r="H2360" s="1" t="s">
        <v>3176</v>
      </c>
      <c r="I2360" s="1" t="s">
        <v>2999</v>
      </c>
    </row>
    <row r="2361" spans="1:9" ht="15.75" customHeight="1" x14ac:dyDescent="0.25">
      <c r="A2361" s="21">
        <v>20080201</v>
      </c>
      <c r="B2361" s="11" t="s">
        <v>1144</v>
      </c>
      <c r="C2361" s="11" t="s">
        <v>2265</v>
      </c>
      <c r="D2361" s="4">
        <v>25</v>
      </c>
      <c r="E2361" s="10"/>
      <c r="F2361" s="1"/>
      <c r="G2361" s="1">
        <v>25</v>
      </c>
      <c r="H2361" s="1" t="s">
        <v>2843</v>
      </c>
      <c r="I2361" s="1" t="s">
        <v>2477</v>
      </c>
    </row>
    <row r="2362" spans="1:9" ht="15.75" customHeight="1" x14ac:dyDescent="0.25">
      <c r="A2362" s="26">
        <v>20080202</v>
      </c>
      <c r="B2362" s="25" t="s">
        <v>1143</v>
      </c>
      <c r="C2362" s="25" t="s">
        <v>11</v>
      </c>
      <c r="D2362" s="4">
        <v>25</v>
      </c>
      <c r="H2362" s="1" t="s">
        <v>3196</v>
      </c>
    </row>
    <row r="2363" spans="1:9" ht="15.75" customHeight="1" x14ac:dyDescent="0.25">
      <c r="A2363" s="4">
        <v>20080202</v>
      </c>
      <c r="B2363" s="1" t="s">
        <v>1143</v>
      </c>
      <c r="C2363" s="11" t="s">
        <v>2675</v>
      </c>
      <c r="D2363" s="4">
        <f>G2363</f>
        <v>57</v>
      </c>
      <c r="F2363" s="1"/>
      <c r="G2363" s="1">
        <v>57</v>
      </c>
      <c r="H2363" s="1" t="s">
        <v>3176</v>
      </c>
      <c r="I2363" s="1" t="s">
        <v>2999</v>
      </c>
    </row>
    <row r="2364" spans="1:9" ht="15.75" customHeight="1" x14ac:dyDescent="0.25">
      <c r="A2364" s="4">
        <v>20080202</v>
      </c>
      <c r="B2364" s="1" t="s">
        <v>2505</v>
      </c>
      <c r="C2364" s="11" t="s">
        <v>2264</v>
      </c>
      <c r="D2364" s="4">
        <f>ROUND(E2364*F2364*1.25,0)</f>
        <v>109</v>
      </c>
      <c r="E2364" s="10">
        <v>1.04</v>
      </c>
      <c r="F2364" s="1">
        <v>84</v>
      </c>
      <c r="H2364" s="1" t="s">
        <v>3196</v>
      </c>
      <c r="I2364" s="1" t="s">
        <v>2999</v>
      </c>
    </row>
    <row r="2365" spans="1:9" ht="15.75" customHeight="1" x14ac:dyDescent="0.25">
      <c r="A2365" s="21">
        <v>20080202</v>
      </c>
      <c r="B2365" s="11" t="s">
        <v>1143</v>
      </c>
      <c r="C2365" s="11" t="s">
        <v>2265</v>
      </c>
      <c r="D2365" s="4">
        <v>25</v>
      </c>
      <c r="E2365" s="10"/>
      <c r="F2365" s="1"/>
      <c r="G2365" s="1">
        <v>25</v>
      </c>
      <c r="H2365" s="1" t="s">
        <v>2843</v>
      </c>
      <c r="I2365" s="1" t="s">
        <v>2477</v>
      </c>
    </row>
    <row r="2366" spans="1:9" ht="15.75" customHeight="1" x14ac:dyDescent="0.25">
      <c r="A2366" s="4">
        <v>20080203</v>
      </c>
      <c r="B2366" s="1" t="s">
        <v>1145</v>
      </c>
      <c r="C2366" s="11" t="s">
        <v>2266</v>
      </c>
      <c r="D2366" s="4">
        <f>ROUND(E2366*F2366*1.25,0)</f>
        <v>113</v>
      </c>
      <c r="E2366" s="1">
        <v>1.08</v>
      </c>
      <c r="F2366" s="1">
        <v>84</v>
      </c>
      <c r="H2366" s="1" t="s">
        <v>3177</v>
      </c>
      <c r="I2366" s="1" t="s">
        <v>2999</v>
      </c>
    </row>
    <row r="2367" spans="1:9" ht="15.75" customHeight="1" x14ac:dyDescent="0.25">
      <c r="A2367" s="21">
        <v>20080203</v>
      </c>
      <c r="B2367" s="11" t="s">
        <v>1148</v>
      </c>
      <c r="C2367" s="11" t="s">
        <v>2267</v>
      </c>
      <c r="D2367" s="4">
        <f>ROUND(E2367*F2367*1.25,0)</f>
        <v>20</v>
      </c>
      <c r="E2367" s="1">
        <v>1.08</v>
      </c>
      <c r="F2367" s="1">
        <v>15</v>
      </c>
      <c r="H2367" s="1" t="s">
        <v>3177</v>
      </c>
      <c r="I2367" s="1" t="s">
        <v>2999</v>
      </c>
    </row>
    <row r="2368" spans="1:9" ht="15.75" customHeight="1" x14ac:dyDescent="0.25">
      <c r="A2368" s="26">
        <v>20080204</v>
      </c>
      <c r="B2368" s="25" t="s">
        <v>1146</v>
      </c>
      <c r="C2368" s="25" t="s">
        <v>26</v>
      </c>
      <c r="D2368" s="4">
        <v>20</v>
      </c>
      <c r="H2368" s="1" t="s">
        <v>3177</v>
      </c>
    </row>
    <row r="2369" spans="1:10" ht="15.75" customHeight="1" x14ac:dyDescent="0.25">
      <c r="A2369" s="4">
        <v>20080204</v>
      </c>
      <c r="B2369" s="1" t="s">
        <v>1146</v>
      </c>
      <c r="C2369" s="11" t="s">
        <v>2266</v>
      </c>
      <c r="D2369" s="4">
        <f t="shared" ref="D2369:D2374" si="55">ROUND(E2369*F2369*1.25,0)</f>
        <v>113</v>
      </c>
      <c r="E2369" s="1">
        <v>1.08</v>
      </c>
      <c r="F2369" s="1">
        <v>84</v>
      </c>
      <c r="H2369" s="1" t="s">
        <v>3177</v>
      </c>
      <c r="I2369" s="1" t="s">
        <v>2999</v>
      </c>
    </row>
    <row r="2370" spans="1:10" ht="15.75" customHeight="1" x14ac:dyDescent="0.25">
      <c r="A2370" s="21">
        <v>20080205</v>
      </c>
      <c r="B2370" s="11" t="s">
        <v>1151</v>
      </c>
      <c r="C2370" s="11" t="s">
        <v>2269</v>
      </c>
      <c r="D2370" s="4">
        <f t="shared" si="55"/>
        <v>20</v>
      </c>
      <c r="E2370" s="1">
        <v>1.08</v>
      </c>
      <c r="F2370" s="1">
        <v>15</v>
      </c>
      <c r="H2370" s="1" t="s">
        <v>3177</v>
      </c>
      <c r="I2370" s="1" t="s">
        <v>2999</v>
      </c>
    </row>
    <row r="2371" spans="1:10" ht="15.75" customHeight="1" x14ac:dyDescent="0.25">
      <c r="A2371" s="4">
        <v>20080205</v>
      </c>
      <c r="B2371" s="1" t="s">
        <v>1147</v>
      </c>
      <c r="C2371" s="11" t="s">
        <v>2266</v>
      </c>
      <c r="D2371" s="4">
        <f t="shared" si="55"/>
        <v>68</v>
      </c>
      <c r="E2371" s="10">
        <v>0.65</v>
      </c>
      <c r="F2371" s="1">
        <v>84</v>
      </c>
      <c r="H2371" s="1" t="s">
        <v>3176</v>
      </c>
      <c r="I2371" s="1" t="s">
        <v>2999</v>
      </c>
    </row>
    <row r="2372" spans="1:10" ht="15.75" customHeight="1" x14ac:dyDescent="0.25">
      <c r="A2372" s="21">
        <v>20080206</v>
      </c>
      <c r="B2372" s="11" t="s">
        <v>1149</v>
      </c>
      <c r="C2372" s="11" t="s">
        <v>11</v>
      </c>
      <c r="D2372" s="4">
        <f t="shared" si="55"/>
        <v>20</v>
      </c>
      <c r="E2372" s="1">
        <v>1.08</v>
      </c>
      <c r="F2372" s="1">
        <v>15</v>
      </c>
      <c r="G2372" s="4"/>
      <c r="H2372" s="1" t="s">
        <v>3177</v>
      </c>
      <c r="I2372" s="1" t="s">
        <v>2700</v>
      </c>
      <c r="J2372" s="1" t="s">
        <v>3132</v>
      </c>
    </row>
    <row r="2373" spans="1:10" ht="15.75" customHeight="1" x14ac:dyDescent="0.25">
      <c r="A2373" s="21">
        <v>20080206</v>
      </c>
      <c r="B2373" s="11" t="s">
        <v>1149</v>
      </c>
      <c r="C2373" s="11" t="s">
        <v>2267</v>
      </c>
      <c r="D2373" s="4">
        <f t="shared" si="55"/>
        <v>20</v>
      </c>
      <c r="E2373" s="1">
        <v>1.08</v>
      </c>
      <c r="F2373" s="1">
        <v>15</v>
      </c>
      <c r="H2373" s="1" t="s">
        <v>3177</v>
      </c>
      <c r="I2373" s="1" t="s">
        <v>2999</v>
      </c>
    </row>
    <row r="2374" spans="1:10" ht="15.75" customHeight="1" x14ac:dyDescent="0.25">
      <c r="A2374" s="4">
        <v>20080206</v>
      </c>
      <c r="B2374" s="1" t="s">
        <v>1149</v>
      </c>
      <c r="C2374" s="11" t="s">
        <v>24</v>
      </c>
      <c r="D2374" s="4">
        <f t="shared" si="55"/>
        <v>113</v>
      </c>
      <c r="E2374" s="1">
        <v>1.08</v>
      </c>
      <c r="F2374" s="1">
        <v>84</v>
      </c>
      <c r="G2374" s="4"/>
      <c r="H2374" s="1" t="s">
        <v>3177</v>
      </c>
      <c r="I2374" s="1" t="s">
        <v>2999</v>
      </c>
    </row>
    <row r="2375" spans="1:10" ht="15.75" customHeight="1" x14ac:dyDescent="0.25">
      <c r="A2375" s="26">
        <v>20080207</v>
      </c>
      <c r="B2375" s="25" t="s">
        <v>1153</v>
      </c>
      <c r="C2375" s="25" t="s">
        <v>24</v>
      </c>
      <c r="D2375" s="4">
        <v>109</v>
      </c>
      <c r="H2375" s="1" t="s">
        <v>3196</v>
      </c>
    </row>
    <row r="2376" spans="1:10" ht="15.75" customHeight="1" x14ac:dyDescent="0.25">
      <c r="A2376" s="21">
        <v>20080207</v>
      </c>
      <c r="B2376" s="11" t="s">
        <v>1153</v>
      </c>
      <c r="C2376" s="11" t="s">
        <v>2271</v>
      </c>
      <c r="D2376" s="4">
        <f>ROUND(E2376*F2376*1.25,0)</f>
        <v>20</v>
      </c>
      <c r="E2376" s="10">
        <v>1.04</v>
      </c>
      <c r="F2376" s="1">
        <v>15</v>
      </c>
      <c r="H2376" s="1" t="s">
        <v>3196</v>
      </c>
      <c r="I2376" s="1" t="s">
        <v>2999</v>
      </c>
    </row>
    <row r="2377" spans="1:10" ht="15.75" customHeight="1" x14ac:dyDescent="0.25">
      <c r="A2377" s="21">
        <v>20080208</v>
      </c>
      <c r="B2377" s="11" t="s">
        <v>1150</v>
      </c>
      <c r="C2377" s="11" t="s">
        <v>2268</v>
      </c>
      <c r="D2377" s="4">
        <f>ROUND(E2377*F2377*1.25,0)</f>
        <v>109</v>
      </c>
      <c r="E2377" s="10">
        <v>1.04</v>
      </c>
      <c r="F2377" s="1">
        <v>84</v>
      </c>
      <c r="H2377" s="1" t="s">
        <v>3196</v>
      </c>
      <c r="I2377" s="1" t="s">
        <v>2999</v>
      </c>
    </row>
    <row r="2378" spans="1:10" ht="15.75" customHeight="1" x14ac:dyDescent="0.25">
      <c r="A2378" s="21">
        <v>20080208</v>
      </c>
      <c r="B2378" s="11" t="s">
        <v>1155</v>
      </c>
      <c r="C2378" s="11" t="s">
        <v>2273</v>
      </c>
      <c r="D2378" s="4">
        <f>ROUND(E2378*F2378*1.25,0)</f>
        <v>20</v>
      </c>
      <c r="E2378" s="10">
        <v>1.04</v>
      </c>
      <c r="F2378" s="1">
        <v>15</v>
      </c>
      <c r="H2378" s="1" t="s">
        <v>3196</v>
      </c>
      <c r="I2378" s="1" t="s">
        <v>2999</v>
      </c>
    </row>
    <row r="2379" spans="1:10" ht="15.75" customHeight="1" x14ac:dyDescent="0.25">
      <c r="A2379" s="21">
        <v>20080209</v>
      </c>
      <c r="B2379" s="11" t="s">
        <v>1157</v>
      </c>
      <c r="C2379" s="11" t="s">
        <v>2273</v>
      </c>
      <c r="D2379" s="4">
        <f>ROUND(E2379*F2379*1.25,0)</f>
        <v>20</v>
      </c>
      <c r="E2379" s="10">
        <v>1.04</v>
      </c>
      <c r="F2379" s="1">
        <v>15</v>
      </c>
      <c r="H2379" s="1" t="s">
        <v>3196</v>
      </c>
      <c r="I2379" s="1" t="s">
        <v>2999</v>
      </c>
    </row>
    <row r="2380" spans="1:10" ht="15.75" customHeight="1" x14ac:dyDescent="0.25">
      <c r="A2380" s="21">
        <v>20080209</v>
      </c>
      <c r="B2380" s="11" t="s">
        <v>1152</v>
      </c>
      <c r="C2380" s="11" t="s">
        <v>2270</v>
      </c>
      <c r="D2380" s="4">
        <f>ROUND(E2380*F2380*1.25,0)</f>
        <v>109</v>
      </c>
      <c r="E2380" s="10">
        <v>1.04</v>
      </c>
      <c r="F2380" s="1">
        <v>84</v>
      </c>
      <c r="H2380" s="1" t="s">
        <v>3196</v>
      </c>
      <c r="I2380" s="1" t="s">
        <v>2999</v>
      </c>
    </row>
    <row r="2381" spans="1:10" ht="15.75" customHeight="1" x14ac:dyDescent="0.25">
      <c r="A2381" s="26">
        <v>20080210</v>
      </c>
      <c r="B2381" s="25" t="s">
        <v>1154</v>
      </c>
      <c r="C2381" s="25" t="s">
        <v>11</v>
      </c>
      <c r="D2381" s="4">
        <v>20</v>
      </c>
      <c r="H2381" s="1" t="s">
        <v>3177</v>
      </c>
    </row>
    <row r="2382" spans="1:10" ht="15.75" customHeight="1" x14ac:dyDescent="0.25">
      <c r="A2382" s="21">
        <v>20080210</v>
      </c>
      <c r="B2382" s="11" t="s">
        <v>1156</v>
      </c>
      <c r="C2382" s="11" t="s">
        <v>2273</v>
      </c>
      <c r="D2382" s="4">
        <f>ROUND(E2382*F2382*1.25,0)</f>
        <v>20</v>
      </c>
      <c r="E2382" s="1">
        <v>1.08</v>
      </c>
      <c r="F2382" s="1">
        <v>15</v>
      </c>
      <c r="H2382" s="1" t="s">
        <v>3177</v>
      </c>
      <c r="I2382" s="1" t="s">
        <v>2999</v>
      </c>
    </row>
    <row r="2383" spans="1:10" ht="15.75" customHeight="1" x14ac:dyDescent="0.25">
      <c r="A2383" s="4">
        <v>20080210</v>
      </c>
      <c r="B2383" s="1" t="s">
        <v>1154</v>
      </c>
      <c r="C2383" s="11" t="s">
        <v>27</v>
      </c>
      <c r="D2383" s="4">
        <f>ROUND(E2383*F2383*1.25,0)</f>
        <v>176</v>
      </c>
      <c r="E2383" s="1">
        <v>1.08</v>
      </c>
      <c r="F2383" s="1">
        <v>130</v>
      </c>
      <c r="G2383" s="4"/>
      <c r="H2383" s="1" t="s">
        <v>3177</v>
      </c>
      <c r="I2383" s="1" t="s">
        <v>2999</v>
      </c>
      <c r="J2383" s="1" t="s">
        <v>3132</v>
      </c>
    </row>
    <row r="2384" spans="1:10" ht="15.75" customHeight="1" x14ac:dyDescent="0.25">
      <c r="A2384" s="21">
        <v>20080210</v>
      </c>
      <c r="B2384" s="11" t="s">
        <v>1154</v>
      </c>
      <c r="C2384" s="11" t="s">
        <v>2272</v>
      </c>
      <c r="D2384" s="4">
        <f>ROUND(E2384*F2384*1.25,0)</f>
        <v>113</v>
      </c>
      <c r="E2384" s="1">
        <v>1.08</v>
      </c>
      <c r="F2384" s="1">
        <v>84</v>
      </c>
      <c r="H2384" s="1" t="s">
        <v>3177</v>
      </c>
      <c r="I2384" s="1" t="s">
        <v>2999</v>
      </c>
    </row>
    <row r="2385" spans="1:10" ht="15.75" customHeight="1" x14ac:dyDescent="0.25">
      <c r="A2385" s="21">
        <v>20080211</v>
      </c>
      <c r="B2385" s="11" t="s">
        <v>1158</v>
      </c>
      <c r="C2385" s="11" t="s">
        <v>2274</v>
      </c>
      <c r="D2385" s="4">
        <f>ROUND(E2385*F2385*1.25,0)</f>
        <v>68</v>
      </c>
      <c r="E2385" s="10">
        <v>0.65</v>
      </c>
      <c r="F2385" s="1">
        <v>84</v>
      </c>
      <c r="H2385" s="1" t="s">
        <v>3176</v>
      </c>
      <c r="I2385" s="1" t="s">
        <v>2999</v>
      </c>
    </row>
    <row r="2386" spans="1:10" ht="15.75" customHeight="1" x14ac:dyDescent="0.25">
      <c r="A2386" s="21">
        <v>20080211</v>
      </c>
      <c r="B2386" s="11" t="s">
        <v>1158</v>
      </c>
      <c r="C2386" s="11" t="s">
        <v>2275</v>
      </c>
      <c r="D2386" s="4">
        <v>25</v>
      </c>
      <c r="E2386" s="10"/>
      <c r="F2386" s="1">
        <v>15</v>
      </c>
      <c r="G2386" s="1">
        <v>25</v>
      </c>
      <c r="H2386" s="1" t="s">
        <v>2843</v>
      </c>
      <c r="I2386" s="1" t="s">
        <v>2477</v>
      </c>
    </row>
    <row r="2387" spans="1:10" ht="15.75" customHeight="1" x14ac:dyDescent="0.25">
      <c r="A2387" s="21">
        <v>20080212</v>
      </c>
      <c r="B2387" s="11" t="s">
        <v>3112</v>
      </c>
      <c r="C2387" s="11" t="s">
        <v>11</v>
      </c>
      <c r="D2387" s="4">
        <f>ROUND(E2387*F2387*1.25,0)</f>
        <v>20</v>
      </c>
      <c r="E2387" s="1">
        <v>1.08</v>
      </c>
      <c r="F2387" s="1">
        <v>15</v>
      </c>
      <c r="G2387" s="4"/>
      <c r="H2387" s="1" t="s">
        <v>3177</v>
      </c>
      <c r="I2387" s="1" t="s">
        <v>2700</v>
      </c>
      <c r="J2387" s="1" t="s">
        <v>3132</v>
      </c>
    </row>
    <row r="2388" spans="1:10" ht="15.75" customHeight="1" x14ac:dyDescent="0.25">
      <c r="A2388" s="4">
        <v>20080212</v>
      </c>
      <c r="B2388" s="1" t="s">
        <v>3112</v>
      </c>
      <c r="C2388" s="11" t="s">
        <v>27</v>
      </c>
      <c r="D2388" s="4">
        <f>ROUND(E2388*F2388*1.25,0)</f>
        <v>176</v>
      </c>
      <c r="E2388" s="1">
        <v>1.08</v>
      </c>
      <c r="F2388" s="1">
        <v>130</v>
      </c>
      <c r="G2388" s="4"/>
      <c r="H2388" s="1" t="s">
        <v>3177</v>
      </c>
      <c r="I2388" s="1" t="s">
        <v>2999</v>
      </c>
      <c r="J2388" s="1" t="s">
        <v>3132</v>
      </c>
    </row>
    <row r="2389" spans="1:10" ht="15.75" customHeight="1" x14ac:dyDescent="0.25">
      <c r="A2389" s="21">
        <v>20080212</v>
      </c>
      <c r="B2389" s="11" t="s">
        <v>3112</v>
      </c>
      <c r="C2389" s="11" t="s">
        <v>24</v>
      </c>
      <c r="D2389" s="4">
        <f>ROUND(E2389*F2389*1.25,0)</f>
        <v>113</v>
      </c>
      <c r="E2389" s="1">
        <v>1.08</v>
      </c>
      <c r="F2389" s="1">
        <v>84</v>
      </c>
      <c r="G2389" s="4"/>
      <c r="H2389" s="1" t="s">
        <v>3177</v>
      </c>
      <c r="I2389" s="1" t="s">
        <v>2999</v>
      </c>
    </row>
    <row r="2390" spans="1:10" ht="15.75" customHeight="1" x14ac:dyDescent="0.25">
      <c r="A2390" s="21">
        <v>20080212</v>
      </c>
      <c r="B2390" s="11" t="s">
        <v>3112</v>
      </c>
      <c r="C2390" s="11" t="s">
        <v>26</v>
      </c>
      <c r="D2390" s="4">
        <f>ROUND(E2390*F2390*1.25,0)</f>
        <v>20</v>
      </c>
      <c r="E2390" s="1">
        <v>1.08</v>
      </c>
      <c r="F2390" s="1">
        <v>15</v>
      </c>
      <c r="G2390" s="4"/>
      <c r="H2390" s="1" t="s">
        <v>3177</v>
      </c>
      <c r="I2390" s="1" t="s">
        <v>2999</v>
      </c>
      <c r="J2390" s="1" t="s">
        <v>3132</v>
      </c>
    </row>
    <row r="2391" spans="1:10" ht="15.75" customHeight="1" x14ac:dyDescent="0.25">
      <c r="A2391" s="21">
        <v>20080213</v>
      </c>
      <c r="B2391" s="11" t="s">
        <v>3113</v>
      </c>
      <c r="C2391" s="11" t="s">
        <v>24</v>
      </c>
      <c r="D2391" s="4">
        <f>ROUND(E2391*F2391*1.25,0)</f>
        <v>68</v>
      </c>
      <c r="E2391" s="10">
        <v>0.65</v>
      </c>
      <c r="F2391" s="1">
        <v>84</v>
      </c>
      <c r="H2391" s="1" t="s">
        <v>3176</v>
      </c>
      <c r="I2391" s="1" t="s">
        <v>2999</v>
      </c>
      <c r="J2391" s="1" t="s">
        <v>3132</v>
      </c>
    </row>
    <row r="2392" spans="1:10" ht="15.75" customHeight="1" x14ac:dyDescent="0.25">
      <c r="A2392" s="21">
        <v>20080213</v>
      </c>
      <c r="B2392" s="11" t="s">
        <v>3113</v>
      </c>
      <c r="C2392" s="11" t="s">
        <v>26</v>
      </c>
      <c r="D2392" s="4">
        <v>25</v>
      </c>
      <c r="E2392" s="10"/>
      <c r="F2392" s="1">
        <v>15</v>
      </c>
      <c r="G2392" s="1">
        <v>25</v>
      </c>
      <c r="H2392" s="1" t="s">
        <v>2843</v>
      </c>
      <c r="I2392" s="1" t="s">
        <v>2477</v>
      </c>
      <c r="J2392" s="1" t="s">
        <v>3132</v>
      </c>
    </row>
    <row r="2393" spans="1:10" ht="15.75" customHeight="1" x14ac:dyDescent="0.25">
      <c r="A2393" s="4">
        <v>20080301</v>
      </c>
      <c r="B2393" s="1" t="s">
        <v>1159</v>
      </c>
      <c r="C2393" s="11" t="s">
        <v>27</v>
      </c>
      <c r="D2393" s="4">
        <f>ROUND(E2393*F2393*1.25,0)</f>
        <v>81</v>
      </c>
      <c r="E2393" s="10">
        <f>118/236.5</f>
        <v>0.4989429175475687</v>
      </c>
      <c r="F2393" s="1">
        <v>130</v>
      </c>
      <c r="H2393" s="1" t="s">
        <v>2547</v>
      </c>
      <c r="I2393" s="1" t="s">
        <v>2999</v>
      </c>
    </row>
    <row r="2394" spans="1:10" ht="15.75" customHeight="1" x14ac:dyDescent="0.25">
      <c r="A2394" s="21">
        <v>20080301</v>
      </c>
      <c r="B2394" s="11" t="s">
        <v>1162</v>
      </c>
      <c r="C2394" s="11" t="s">
        <v>2281</v>
      </c>
      <c r="D2394" s="1">
        <v>40</v>
      </c>
      <c r="E2394" s="1">
        <v>0.67</v>
      </c>
      <c r="F2394" s="1">
        <v>60</v>
      </c>
      <c r="H2394" s="2" t="s">
        <v>2844</v>
      </c>
      <c r="I2394" s="1" t="s">
        <v>2862</v>
      </c>
    </row>
    <row r="2395" spans="1:10" ht="15.75" customHeight="1" x14ac:dyDescent="0.25">
      <c r="A2395" s="21">
        <v>20080301</v>
      </c>
      <c r="B2395" s="11" t="s">
        <v>1164</v>
      </c>
      <c r="C2395" s="11" t="s">
        <v>2283</v>
      </c>
      <c r="D2395" s="1">
        <v>80</v>
      </c>
      <c r="E2395" s="1">
        <v>0.67</v>
      </c>
      <c r="F2395" s="1">
        <v>120</v>
      </c>
      <c r="H2395" s="2" t="s">
        <v>2844</v>
      </c>
      <c r="I2395" s="1" t="s">
        <v>2862</v>
      </c>
    </row>
    <row r="2396" spans="1:10" ht="15.75" customHeight="1" x14ac:dyDescent="0.25">
      <c r="A2396" s="21">
        <v>20080301</v>
      </c>
      <c r="B2396" s="11" t="s">
        <v>1159</v>
      </c>
      <c r="C2396" s="11" t="s">
        <v>2276</v>
      </c>
      <c r="D2396" s="1">
        <f>ROUND(E2396*F2396,0)</f>
        <v>20</v>
      </c>
      <c r="E2396" s="1">
        <v>0.67</v>
      </c>
      <c r="F2396" s="1">
        <v>30</v>
      </c>
      <c r="G2396" s="1">
        <v>20</v>
      </c>
      <c r="H2396" s="2" t="s">
        <v>2844</v>
      </c>
      <c r="I2396" s="1" t="s">
        <v>2862</v>
      </c>
    </row>
    <row r="2397" spans="1:10" ht="15.75" customHeight="1" x14ac:dyDescent="0.25">
      <c r="A2397" s="21">
        <v>20080301</v>
      </c>
      <c r="B2397" s="11" t="s">
        <v>1170</v>
      </c>
      <c r="C2397" s="11" t="s">
        <v>2287</v>
      </c>
      <c r="D2397" s="1">
        <v>20</v>
      </c>
      <c r="F2397" s="1"/>
      <c r="G2397" s="1">
        <v>20</v>
      </c>
      <c r="H2397" s="2" t="s">
        <v>2750</v>
      </c>
      <c r="I2397" s="1" t="s">
        <v>2845</v>
      </c>
    </row>
    <row r="2398" spans="1:10" ht="15.75" customHeight="1" x14ac:dyDescent="0.25">
      <c r="A2398" s="21">
        <v>20080301</v>
      </c>
      <c r="B2398" s="11" t="s">
        <v>2542</v>
      </c>
      <c r="C2398" s="11" t="s">
        <v>2286</v>
      </c>
      <c r="D2398" s="4">
        <f>ROUND(E2398*F2398*1.25,0)</f>
        <v>52</v>
      </c>
      <c r="E2398" s="10">
        <f>118/236.5</f>
        <v>0.4989429175475687</v>
      </c>
      <c r="F2398" s="1">
        <v>84</v>
      </c>
      <c r="H2398" s="1" t="s">
        <v>2547</v>
      </c>
      <c r="I2398" s="1" t="s">
        <v>2999</v>
      </c>
    </row>
    <row r="2399" spans="1:10" ht="15.75" customHeight="1" x14ac:dyDescent="0.25">
      <c r="A2399" s="4">
        <v>20080302</v>
      </c>
      <c r="B2399" s="1" t="s">
        <v>1160</v>
      </c>
      <c r="C2399" s="11" t="s">
        <v>32</v>
      </c>
      <c r="D2399" s="4">
        <f>G2399</f>
        <v>1</v>
      </c>
      <c r="F2399" s="1"/>
      <c r="G2399" s="4">
        <v>1</v>
      </c>
      <c r="H2399" s="2" t="s">
        <v>2844</v>
      </c>
    </row>
    <row r="2400" spans="1:10" ht="15.75" customHeight="1" x14ac:dyDescent="0.25">
      <c r="A2400" s="4">
        <v>20080302</v>
      </c>
      <c r="B2400" s="1" t="s">
        <v>1160</v>
      </c>
      <c r="C2400" s="11" t="s">
        <v>2675</v>
      </c>
      <c r="D2400" s="1">
        <v>20</v>
      </c>
      <c r="F2400" s="1"/>
      <c r="G2400" s="1">
        <v>20</v>
      </c>
      <c r="H2400" s="2" t="s">
        <v>2750</v>
      </c>
      <c r="I2400" s="1" t="s">
        <v>2845</v>
      </c>
    </row>
    <row r="2401" spans="1:11" ht="15.75" customHeight="1" x14ac:dyDescent="0.25">
      <c r="A2401" s="4">
        <v>20080302</v>
      </c>
      <c r="B2401" s="1" t="s">
        <v>1160</v>
      </c>
      <c r="C2401" s="11" t="s">
        <v>29</v>
      </c>
      <c r="D2401" s="4">
        <v>30</v>
      </c>
      <c r="F2401" s="1"/>
      <c r="G2401" s="1">
        <v>30</v>
      </c>
      <c r="H2401" s="2" t="s">
        <v>2750</v>
      </c>
      <c r="I2401" s="1" t="s">
        <v>2739</v>
      </c>
    </row>
    <row r="2402" spans="1:11" ht="15.75" customHeight="1" x14ac:dyDescent="0.25">
      <c r="A2402" s="21">
        <v>20080302</v>
      </c>
      <c r="B2402" s="11" t="s">
        <v>1160</v>
      </c>
      <c r="C2402" s="11" t="s">
        <v>2277</v>
      </c>
      <c r="D2402" s="1">
        <v>40</v>
      </c>
      <c r="E2402" s="1">
        <v>0.67</v>
      </c>
      <c r="F2402" s="1">
        <v>60</v>
      </c>
      <c r="H2402" s="2" t="s">
        <v>2844</v>
      </c>
      <c r="I2402" s="1" t="s">
        <v>2701</v>
      </c>
    </row>
    <row r="2403" spans="1:11" ht="15.75" customHeight="1" x14ac:dyDescent="0.25">
      <c r="A2403" s="21">
        <v>20080302</v>
      </c>
      <c r="B2403" s="11" t="s">
        <v>1163</v>
      </c>
      <c r="C2403" s="11" t="s">
        <v>2282</v>
      </c>
      <c r="D2403" s="1">
        <v>20</v>
      </c>
      <c r="E2403" s="1">
        <v>0.67</v>
      </c>
      <c r="F2403" s="1">
        <v>30</v>
      </c>
      <c r="H2403" s="2" t="s">
        <v>2844</v>
      </c>
      <c r="I2403" s="1" t="s">
        <v>2700</v>
      </c>
    </row>
    <row r="2404" spans="1:11" ht="15.75" customHeight="1" x14ac:dyDescent="0.25">
      <c r="A2404" s="4">
        <v>20080302</v>
      </c>
      <c r="B2404" s="1" t="s">
        <v>1172</v>
      </c>
      <c r="C2404" s="11" t="s">
        <v>2290</v>
      </c>
      <c r="D2404" s="4">
        <f>ROUND(E2404*F2404*1.25,0)</f>
        <v>109</v>
      </c>
      <c r="E2404" s="1">
        <v>0.67</v>
      </c>
      <c r="F2404" s="1">
        <v>130</v>
      </c>
      <c r="H2404" s="2" t="s">
        <v>2750</v>
      </c>
      <c r="I2404" s="1" t="s">
        <v>2999</v>
      </c>
    </row>
    <row r="2405" spans="1:11" ht="15.75" customHeight="1" x14ac:dyDescent="0.25">
      <c r="A2405" s="21">
        <v>20080302</v>
      </c>
      <c r="B2405" s="11" t="s">
        <v>1160</v>
      </c>
      <c r="C2405" s="11" t="s">
        <v>2278</v>
      </c>
      <c r="D2405" s="1">
        <v>80</v>
      </c>
      <c r="E2405" s="1">
        <v>0.67</v>
      </c>
      <c r="F2405" s="1">
        <f>80*1.5</f>
        <v>120</v>
      </c>
      <c r="H2405" s="2" t="s">
        <v>2844</v>
      </c>
      <c r="I2405" s="1" t="s">
        <v>2702</v>
      </c>
    </row>
    <row r="2406" spans="1:11" ht="15.75" customHeight="1" x14ac:dyDescent="0.25">
      <c r="A2406" s="21">
        <v>20080302</v>
      </c>
      <c r="B2406" s="11" t="s">
        <v>1169</v>
      </c>
      <c r="C2406" s="11" t="s">
        <v>2287</v>
      </c>
      <c r="D2406" s="4">
        <v>20</v>
      </c>
      <c r="E2406" s="10"/>
      <c r="F2406" s="1"/>
      <c r="G2406" s="1">
        <v>20</v>
      </c>
      <c r="H2406" s="2" t="s">
        <v>2750</v>
      </c>
      <c r="I2406" s="1" t="s">
        <v>2845</v>
      </c>
    </row>
    <row r="2407" spans="1:11" ht="15.75" customHeight="1" x14ac:dyDescent="0.25">
      <c r="A2407" s="21">
        <v>20080302</v>
      </c>
      <c r="B2407" s="11" t="s">
        <v>2475</v>
      </c>
      <c r="C2407" s="11" t="s">
        <v>2286</v>
      </c>
      <c r="D2407" s="4">
        <f>ROUND(E2407*F2407*1.25,0)</f>
        <v>70</v>
      </c>
      <c r="E2407" s="2">
        <v>0.67</v>
      </c>
      <c r="F2407" s="2">
        <v>84</v>
      </c>
      <c r="G2407" s="2"/>
      <c r="H2407" s="2" t="s">
        <v>2750</v>
      </c>
      <c r="I2407" s="1" t="s">
        <v>2999</v>
      </c>
      <c r="J2407" s="2"/>
      <c r="K2407" s="2"/>
    </row>
    <row r="2408" spans="1:11" ht="15.75" customHeight="1" x14ac:dyDescent="0.25">
      <c r="A2408" s="4">
        <v>20080303</v>
      </c>
      <c r="B2408" s="1" t="s">
        <v>1171</v>
      </c>
      <c r="C2408" s="11" t="s">
        <v>2288</v>
      </c>
      <c r="D2408" s="1">
        <v>66</v>
      </c>
      <c r="E2408" s="10"/>
      <c r="F2408" s="1"/>
      <c r="G2408" s="1">
        <v>66</v>
      </c>
      <c r="H2408" s="1" t="s">
        <v>2751</v>
      </c>
      <c r="I2408" s="1" t="s">
        <v>2734</v>
      </c>
    </row>
    <row r="2409" spans="1:11" ht="15.75" customHeight="1" x14ac:dyDescent="0.25">
      <c r="A2409" s="4">
        <v>20080303</v>
      </c>
      <c r="B2409" s="1" t="s">
        <v>1175</v>
      </c>
      <c r="C2409" s="11" t="s">
        <v>2292</v>
      </c>
      <c r="D2409" s="1">
        <v>66</v>
      </c>
      <c r="E2409" s="10"/>
      <c r="F2409" s="1"/>
      <c r="G2409" s="1">
        <v>66</v>
      </c>
      <c r="H2409" s="1" t="s">
        <v>2751</v>
      </c>
      <c r="I2409" s="1" t="s">
        <v>2701</v>
      </c>
    </row>
    <row r="2410" spans="1:11" ht="15.75" customHeight="1" x14ac:dyDescent="0.25">
      <c r="A2410" s="21">
        <v>20080303</v>
      </c>
      <c r="B2410" s="11" t="s">
        <v>1168</v>
      </c>
      <c r="C2410" s="11" t="s">
        <v>2285</v>
      </c>
      <c r="D2410" s="1">
        <v>28</v>
      </c>
      <c r="E2410" s="10"/>
      <c r="F2410" s="1"/>
      <c r="G2410" s="1">
        <v>28</v>
      </c>
      <c r="H2410" s="1" t="s">
        <v>2751</v>
      </c>
      <c r="I2410" s="1" t="s">
        <v>2846</v>
      </c>
    </row>
    <row r="2411" spans="1:11" ht="15.75" customHeight="1" x14ac:dyDescent="0.25">
      <c r="A2411" s="21">
        <v>20080303</v>
      </c>
      <c r="B2411" s="11" t="s">
        <v>1165</v>
      </c>
      <c r="C2411" s="11" t="s">
        <v>2283</v>
      </c>
      <c r="D2411" s="1">
        <v>88</v>
      </c>
      <c r="E2411" s="10"/>
      <c r="F2411" s="1"/>
      <c r="G2411" s="1">
        <v>88</v>
      </c>
      <c r="H2411" s="1" t="s">
        <v>2751</v>
      </c>
      <c r="I2411" s="1" t="s">
        <v>2702</v>
      </c>
    </row>
    <row r="2412" spans="1:11" ht="15.75" customHeight="1" x14ac:dyDescent="0.25">
      <c r="A2412" s="21">
        <v>20080303</v>
      </c>
      <c r="B2412" s="11" t="s">
        <v>1161</v>
      </c>
      <c r="C2412" s="11" t="s">
        <v>2279</v>
      </c>
      <c r="D2412" s="1">
        <v>44</v>
      </c>
      <c r="E2412" s="10"/>
      <c r="F2412" s="1">
        <v>30</v>
      </c>
      <c r="G2412" s="1">
        <v>44</v>
      </c>
      <c r="H2412" s="1" t="s">
        <v>2751</v>
      </c>
      <c r="I2412" s="1" t="s">
        <v>2701</v>
      </c>
    </row>
    <row r="2413" spans="1:11" ht="15.75" customHeight="1" x14ac:dyDescent="0.25">
      <c r="A2413" s="21">
        <v>20080303</v>
      </c>
      <c r="B2413" s="11" t="s">
        <v>1161</v>
      </c>
      <c r="C2413" s="11" t="s">
        <v>2280</v>
      </c>
      <c r="D2413" s="1">
        <v>22</v>
      </c>
      <c r="E2413" s="10"/>
      <c r="F2413" s="1"/>
      <c r="G2413" s="1">
        <v>22</v>
      </c>
      <c r="H2413" s="1" t="s">
        <v>2751</v>
      </c>
      <c r="I2413" s="1" t="s">
        <v>2700</v>
      </c>
    </row>
    <row r="2414" spans="1:11" ht="15.75" customHeight="1" x14ac:dyDescent="0.25">
      <c r="A2414" s="21">
        <v>20080303</v>
      </c>
      <c r="B2414" s="11" t="s">
        <v>2463</v>
      </c>
      <c r="C2414" s="11" t="s">
        <v>2289</v>
      </c>
      <c r="D2414" s="4">
        <f>ROUND(E2414*F2414*1.25,0)</f>
        <v>21</v>
      </c>
      <c r="E2414" s="15">
        <v>1.1000000000000001</v>
      </c>
      <c r="F2414" s="1">
        <v>15</v>
      </c>
      <c r="G2414" s="1">
        <v>22</v>
      </c>
      <c r="H2414" s="1" t="s">
        <v>3193</v>
      </c>
    </row>
    <row r="2415" spans="1:11" ht="15.75" customHeight="1" x14ac:dyDescent="0.25">
      <c r="A2415" s="21">
        <v>20080303</v>
      </c>
      <c r="B2415" s="11" t="s">
        <v>2463</v>
      </c>
      <c r="C2415" s="11" t="s">
        <v>2286</v>
      </c>
      <c r="D2415" s="4">
        <f>ROUND(E2415*F2415*1.25,0)</f>
        <v>116</v>
      </c>
      <c r="E2415" s="15">
        <v>1.1000000000000001</v>
      </c>
      <c r="F2415" s="1">
        <v>84</v>
      </c>
      <c r="H2415" s="1" t="s">
        <v>3193</v>
      </c>
      <c r="I2415" s="1" t="s">
        <v>2999</v>
      </c>
    </row>
    <row r="2416" spans="1:11" ht="15.75" customHeight="1" x14ac:dyDescent="0.25">
      <c r="A2416" s="21">
        <v>20080304</v>
      </c>
      <c r="B2416" s="11" t="s">
        <v>3114</v>
      </c>
      <c r="C2416" s="11" t="s">
        <v>26</v>
      </c>
      <c r="D2416" s="4">
        <f>ROUND(E2416*F2416*1.25,0)</f>
        <v>21</v>
      </c>
      <c r="E2416" s="15">
        <v>1.1000000000000001</v>
      </c>
      <c r="F2416" s="1">
        <v>15</v>
      </c>
      <c r="G2416" s="1">
        <v>22</v>
      </c>
      <c r="H2416" s="1" t="s">
        <v>3193</v>
      </c>
      <c r="J2416" s="1" t="s">
        <v>3132</v>
      </c>
    </row>
    <row r="2417" spans="1:45" ht="15.75" customHeight="1" x14ac:dyDescent="0.25">
      <c r="A2417" s="21">
        <v>20080304</v>
      </c>
      <c r="B2417" s="11" t="s">
        <v>3114</v>
      </c>
      <c r="C2417" s="11" t="s">
        <v>11</v>
      </c>
      <c r="D2417" s="1">
        <v>22</v>
      </c>
      <c r="E2417" s="10"/>
      <c r="F2417" s="1"/>
      <c r="G2417" s="1">
        <v>22</v>
      </c>
      <c r="H2417" s="1" t="s">
        <v>2751</v>
      </c>
      <c r="I2417" s="1" t="s">
        <v>2700</v>
      </c>
      <c r="J2417" s="1" t="s">
        <v>3132</v>
      </c>
    </row>
    <row r="2418" spans="1:45" ht="15.75" customHeight="1" x14ac:dyDescent="0.25">
      <c r="A2418" s="21">
        <v>20080304</v>
      </c>
      <c r="B2418" s="11" t="s">
        <v>3114</v>
      </c>
      <c r="C2418" s="11" t="s">
        <v>13</v>
      </c>
      <c r="D2418" s="1">
        <v>88</v>
      </c>
      <c r="E2418" s="10"/>
      <c r="F2418" s="1"/>
      <c r="G2418" s="1">
        <v>88</v>
      </c>
      <c r="H2418" s="1" t="s">
        <v>2751</v>
      </c>
      <c r="I2418" s="1" t="s">
        <v>2702</v>
      </c>
      <c r="J2418" s="1" t="s">
        <v>3132</v>
      </c>
    </row>
    <row r="2419" spans="1:45" ht="15.75" customHeight="1" x14ac:dyDescent="0.25">
      <c r="A2419" s="26">
        <v>20080304</v>
      </c>
      <c r="B2419" s="25" t="s">
        <v>3114</v>
      </c>
      <c r="C2419" s="25" t="s">
        <v>24</v>
      </c>
      <c r="D2419" s="4">
        <v>116</v>
      </c>
      <c r="H2419" s="1" t="s">
        <v>2751</v>
      </c>
    </row>
    <row r="2420" spans="1:45" ht="15.75" customHeight="1" x14ac:dyDescent="0.25">
      <c r="A2420" s="21">
        <v>20080305</v>
      </c>
      <c r="B2420" s="11" t="s">
        <v>3115</v>
      </c>
      <c r="C2420" s="11" t="s">
        <v>24</v>
      </c>
      <c r="D2420" s="4">
        <f>ROUND(E2420*F2420*1.25,0)</f>
        <v>70</v>
      </c>
      <c r="E2420" s="2">
        <v>0.67</v>
      </c>
      <c r="F2420" s="2">
        <v>84</v>
      </c>
      <c r="G2420" s="4"/>
      <c r="H2420" s="2" t="s">
        <v>2750</v>
      </c>
      <c r="I2420" s="1" t="s">
        <v>2999</v>
      </c>
      <c r="J2420" s="1" t="s">
        <v>3132</v>
      </c>
    </row>
    <row r="2421" spans="1:45" ht="15.75" customHeight="1" x14ac:dyDescent="0.25">
      <c r="A2421" s="4">
        <v>20080306</v>
      </c>
      <c r="B2421" s="1" t="s">
        <v>1176</v>
      </c>
      <c r="C2421" s="11" t="s">
        <v>27</v>
      </c>
      <c r="D2421" s="4">
        <f>ROUND(E2421*F2421*1.25,0)</f>
        <v>179</v>
      </c>
      <c r="E2421" s="15">
        <v>1.1000000000000001</v>
      </c>
      <c r="F2421" s="1">
        <v>130</v>
      </c>
      <c r="H2421" s="1" t="s">
        <v>3193</v>
      </c>
    </row>
    <row r="2422" spans="1:45" ht="15.75" customHeight="1" x14ac:dyDescent="0.25">
      <c r="A2422" s="21">
        <v>20080306</v>
      </c>
      <c r="B2422" s="11" t="s">
        <v>1176</v>
      </c>
      <c r="C2422" s="11" t="s">
        <v>11</v>
      </c>
      <c r="D2422" s="1">
        <v>22</v>
      </c>
      <c r="E2422" s="10"/>
      <c r="F2422" s="1"/>
      <c r="G2422" s="1">
        <v>22</v>
      </c>
      <c r="H2422" s="1" t="s">
        <v>2751</v>
      </c>
      <c r="I2422" s="1" t="s">
        <v>2863</v>
      </c>
    </row>
    <row r="2423" spans="1:45" ht="15.75" customHeight="1" x14ac:dyDescent="0.25">
      <c r="A2423" s="21">
        <v>20080306</v>
      </c>
      <c r="B2423" s="11" t="s">
        <v>1176</v>
      </c>
      <c r="C2423" s="11" t="s">
        <v>2294</v>
      </c>
      <c r="D2423" s="1">
        <v>22</v>
      </c>
      <c r="E2423" s="10"/>
      <c r="F2423" s="1"/>
      <c r="G2423" s="1">
        <v>22</v>
      </c>
      <c r="H2423" s="1" t="s">
        <v>2751</v>
      </c>
      <c r="I2423" s="1" t="s">
        <v>2863</v>
      </c>
    </row>
    <row r="2424" spans="1:45" ht="15.75" customHeight="1" x14ac:dyDescent="0.25">
      <c r="A2424" s="21">
        <v>20080306</v>
      </c>
      <c r="B2424" s="11" t="s">
        <v>1176</v>
      </c>
      <c r="C2424" s="11" t="s">
        <v>2293</v>
      </c>
      <c r="D2424" s="4">
        <f>ROUND(E2424*F2424*1.25,0)</f>
        <v>116</v>
      </c>
      <c r="E2424" s="15">
        <v>1.1000000000000001</v>
      </c>
      <c r="F2424" s="1">
        <v>84</v>
      </c>
      <c r="H2424" s="1" t="s">
        <v>3193</v>
      </c>
      <c r="I2424" s="1" t="s">
        <v>2999</v>
      </c>
    </row>
    <row r="2425" spans="1:45" ht="15.75" customHeight="1" x14ac:dyDescent="0.25">
      <c r="A2425" s="21">
        <v>20080307</v>
      </c>
      <c r="B2425" s="11" t="s">
        <v>1166</v>
      </c>
      <c r="C2425" s="11" t="s">
        <v>2284</v>
      </c>
      <c r="D2425" s="1">
        <v>44</v>
      </c>
      <c r="E2425" s="10"/>
      <c r="F2425" s="1"/>
      <c r="G2425" s="1">
        <v>44</v>
      </c>
      <c r="H2425" s="1" t="s">
        <v>2751</v>
      </c>
      <c r="I2425" s="1" t="s">
        <v>2701</v>
      </c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2"/>
      <c r="AS2425" s="2"/>
    </row>
    <row r="2426" spans="1:45" ht="15.75" customHeight="1" x14ac:dyDescent="0.25">
      <c r="A2426" s="4">
        <v>20080307</v>
      </c>
      <c r="B2426" s="1" t="s">
        <v>1179</v>
      </c>
      <c r="C2426" s="11" t="s">
        <v>2295</v>
      </c>
      <c r="D2426" s="4">
        <f>ROUND(E2426*F2426*1.25,0)</f>
        <v>109</v>
      </c>
      <c r="E2426" s="2">
        <v>0.67</v>
      </c>
      <c r="F2426" s="1">
        <v>130</v>
      </c>
      <c r="H2426" s="2" t="s">
        <v>2750</v>
      </c>
      <c r="I2426" s="1" t="s">
        <v>2999</v>
      </c>
    </row>
    <row r="2427" spans="1:45" ht="15.75" customHeight="1" x14ac:dyDescent="0.25">
      <c r="A2427" s="21">
        <v>20080307</v>
      </c>
      <c r="B2427" s="11" t="s">
        <v>1174</v>
      </c>
      <c r="C2427" s="11" t="s">
        <v>2291</v>
      </c>
      <c r="D2427" s="4">
        <f>ROUND(E2427*F2427*1.25,0)</f>
        <v>70</v>
      </c>
      <c r="E2427" s="2">
        <v>0.67</v>
      </c>
      <c r="F2427" s="1">
        <v>84</v>
      </c>
      <c r="H2427" s="2" t="s">
        <v>2750</v>
      </c>
      <c r="I2427" s="1" t="s">
        <v>2999</v>
      </c>
    </row>
    <row r="2428" spans="1:45" ht="15.75" customHeight="1" x14ac:dyDescent="0.25">
      <c r="A2428" s="21">
        <v>20080307</v>
      </c>
      <c r="B2428" s="11" t="s">
        <v>1177</v>
      </c>
      <c r="C2428" s="11" t="s">
        <v>2294</v>
      </c>
      <c r="D2428" s="1">
        <v>22</v>
      </c>
      <c r="E2428" s="10"/>
      <c r="F2428" s="1"/>
      <c r="G2428" s="1">
        <v>22</v>
      </c>
      <c r="H2428" s="1" t="s">
        <v>2751</v>
      </c>
      <c r="I2428" s="1" t="s">
        <v>2863</v>
      </c>
    </row>
    <row r="2429" spans="1:45" ht="15.75" customHeight="1" x14ac:dyDescent="0.25">
      <c r="A2429" s="21">
        <v>20080308</v>
      </c>
      <c r="B2429" s="11" t="s">
        <v>1167</v>
      </c>
      <c r="C2429" s="11" t="s">
        <v>2284</v>
      </c>
      <c r="D2429" s="1">
        <v>44</v>
      </c>
      <c r="E2429" s="10"/>
      <c r="F2429" s="1">
        <v>30</v>
      </c>
      <c r="G2429" s="1">
        <v>44</v>
      </c>
      <c r="H2429" s="1" t="s">
        <v>2751</v>
      </c>
      <c r="I2429" s="1" t="s">
        <v>2701</v>
      </c>
    </row>
    <row r="2430" spans="1:45" ht="15.75" customHeight="1" x14ac:dyDescent="0.25">
      <c r="A2430" s="21">
        <v>20080308</v>
      </c>
      <c r="B2430" s="11" t="s">
        <v>1178</v>
      </c>
      <c r="C2430" s="11" t="s">
        <v>2294</v>
      </c>
      <c r="D2430" s="1">
        <v>22</v>
      </c>
      <c r="E2430" s="10"/>
      <c r="F2430" s="1"/>
      <c r="G2430" s="1">
        <v>22</v>
      </c>
      <c r="H2430" s="1" t="s">
        <v>2751</v>
      </c>
      <c r="I2430" s="1" t="s">
        <v>2863</v>
      </c>
    </row>
    <row r="2431" spans="1:45" ht="15.75" customHeight="1" x14ac:dyDescent="0.25">
      <c r="A2431" s="26">
        <v>20080308</v>
      </c>
      <c r="B2431" s="25" t="s">
        <v>1167</v>
      </c>
      <c r="C2431" s="25" t="s">
        <v>11</v>
      </c>
      <c r="D2431" s="4">
        <v>22</v>
      </c>
      <c r="H2431" s="1" t="s">
        <v>2751</v>
      </c>
    </row>
    <row r="2432" spans="1:45" ht="15.75" customHeight="1" x14ac:dyDescent="0.25">
      <c r="A2432" s="26">
        <v>20080308</v>
      </c>
      <c r="B2432" s="25" t="s">
        <v>1167</v>
      </c>
      <c r="C2432" s="25" t="s">
        <v>13</v>
      </c>
      <c r="D2432" s="4">
        <v>72</v>
      </c>
      <c r="H2432" s="1" t="s">
        <v>2751</v>
      </c>
    </row>
    <row r="2433" spans="1:10" ht="15.75" customHeight="1" x14ac:dyDescent="0.25">
      <c r="A2433" s="21">
        <v>20080308</v>
      </c>
      <c r="B2433" s="11" t="s">
        <v>1173</v>
      </c>
      <c r="C2433" s="11" t="s">
        <v>2291</v>
      </c>
      <c r="D2433" s="4">
        <f>ROUND(E2433*F2433*1.25,0)</f>
        <v>116</v>
      </c>
      <c r="E2433" s="15">
        <v>1.1000000000000001</v>
      </c>
      <c r="F2433" s="1">
        <v>84</v>
      </c>
      <c r="H2433" s="1" t="s">
        <v>3193</v>
      </c>
      <c r="I2433" s="1" t="s">
        <v>2999</v>
      </c>
    </row>
    <row r="2434" spans="1:10" ht="15.75" customHeight="1" x14ac:dyDescent="0.25">
      <c r="A2434" s="21">
        <v>20080401</v>
      </c>
      <c r="B2434" s="11" t="s">
        <v>1180</v>
      </c>
      <c r="C2434" s="11" t="s">
        <v>2296</v>
      </c>
      <c r="D2434" s="4">
        <f>ROUND(E2434*F2434*1.25,0)</f>
        <v>109</v>
      </c>
      <c r="E2434" s="10">
        <v>1.04</v>
      </c>
      <c r="F2434" s="1">
        <v>84</v>
      </c>
      <c r="H2434" s="1" t="s">
        <v>3196</v>
      </c>
      <c r="I2434" s="1" t="s">
        <v>2999</v>
      </c>
    </row>
    <row r="2435" spans="1:10" ht="15.75" customHeight="1" x14ac:dyDescent="0.25">
      <c r="A2435" s="21">
        <v>20080401</v>
      </c>
      <c r="B2435" s="11" t="s">
        <v>1180</v>
      </c>
      <c r="C2435" s="11" t="s">
        <v>2297</v>
      </c>
      <c r="D2435" s="4">
        <f>ROUND(E2435*F2435*1.25,0)</f>
        <v>20</v>
      </c>
      <c r="E2435" s="10">
        <v>1.04</v>
      </c>
      <c r="F2435" s="1">
        <v>15</v>
      </c>
      <c r="H2435" s="1" t="s">
        <v>3196</v>
      </c>
      <c r="I2435" s="1" t="s">
        <v>2999</v>
      </c>
    </row>
    <row r="2436" spans="1:10" ht="15.75" customHeight="1" x14ac:dyDescent="0.25">
      <c r="A2436" s="21">
        <v>20080402</v>
      </c>
      <c r="B2436" s="11" t="s">
        <v>1181</v>
      </c>
      <c r="C2436" s="11" t="s">
        <v>2298</v>
      </c>
      <c r="D2436" s="4">
        <v>13</v>
      </c>
      <c r="F2436" s="1"/>
      <c r="G2436" s="1">
        <v>13</v>
      </c>
      <c r="H2436" s="1" t="s">
        <v>3152</v>
      </c>
      <c r="I2436" s="1" t="s">
        <v>3185</v>
      </c>
    </row>
    <row r="2437" spans="1:10" ht="15.75" customHeight="1" x14ac:dyDescent="0.25">
      <c r="A2437" s="21">
        <v>20080501</v>
      </c>
      <c r="B2437" s="11" t="s">
        <v>1186</v>
      </c>
      <c r="C2437" s="11" t="s">
        <v>11</v>
      </c>
      <c r="D2437" s="4">
        <f>ROUND(E2437*F2437*1.25,0)</f>
        <v>20</v>
      </c>
      <c r="E2437" s="10">
        <v>1.04</v>
      </c>
      <c r="F2437" s="1">
        <v>15</v>
      </c>
      <c r="G2437" s="4"/>
      <c r="H2437" s="1" t="s">
        <v>3196</v>
      </c>
      <c r="I2437" s="1" t="s">
        <v>2700</v>
      </c>
      <c r="J2437" s="1" t="s">
        <v>3132</v>
      </c>
    </row>
    <row r="2438" spans="1:10" ht="15.75" customHeight="1" x14ac:dyDescent="0.25">
      <c r="A2438" s="21">
        <v>20080501</v>
      </c>
      <c r="B2438" s="11" t="s">
        <v>1186</v>
      </c>
      <c r="C2438" s="11" t="s">
        <v>2302</v>
      </c>
      <c r="D2438" s="4">
        <f>ROUND(E2438*F2438*1.25,0)</f>
        <v>20</v>
      </c>
      <c r="E2438" s="10">
        <v>1.04</v>
      </c>
      <c r="F2438" s="1">
        <v>15</v>
      </c>
      <c r="H2438" s="1" t="s">
        <v>3196</v>
      </c>
      <c r="I2438" s="1" t="s">
        <v>2999</v>
      </c>
    </row>
    <row r="2439" spans="1:10" ht="15.75" customHeight="1" x14ac:dyDescent="0.25">
      <c r="A2439" s="3">
        <v>20080502</v>
      </c>
      <c r="B2439" s="5" t="s">
        <v>1183</v>
      </c>
      <c r="C2439" s="20" t="s">
        <v>27</v>
      </c>
      <c r="D2439" s="4">
        <f>ROUND(E2439*F2439*1.25,0)</f>
        <v>169</v>
      </c>
      <c r="E2439" s="10">
        <v>1.04</v>
      </c>
      <c r="F2439" s="1">
        <v>130</v>
      </c>
      <c r="H2439" s="1" t="s">
        <v>3196</v>
      </c>
      <c r="I2439" s="1" t="s">
        <v>2999</v>
      </c>
    </row>
    <row r="2440" spans="1:10" ht="15.75" customHeight="1" x14ac:dyDescent="0.25">
      <c r="A2440" s="16">
        <v>20080502</v>
      </c>
      <c r="B2440" s="20" t="s">
        <v>1183</v>
      </c>
      <c r="C2440" s="20" t="s">
        <v>2301</v>
      </c>
      <c r="D2440" s="4">
        <f>ROUND(E2440*F2440*1.25,0)</f>
        <v>109</v>
      </c>
      <c r="E2440" s="10">
        <v>1.04</v>
      </c>
      <c r="F2440" s="1">
        <v>84</v>
      </c>
      <c r="H2440" s="1" t="s">
        <v>3196</v>
      </c>
      <c r="I2440" s="1" t="s">
        <v>2999</v>
      </c>
    </row>
    <row r="2441" spans="1:10" ht="15.75" customHeight="1" x14ac:dyDescent="0.25">
      <c r="A2441" s="16">
        <v>20080502</v>
      </c>
      <c r="B2441" s="20" t="s">
        <v>1183</v>
      </c>
      <c r="C2441" s="20" t="s">
        <v>2300</v>
      </c>
      <c r="D2441" s="4">
        <f>G2441</f>
        <v>23</v>
      </c>
      <c r="F2441" s="1"/>
      <c r="G2441" s="1">
        <v>23</v>
      </c>
      <c r="H2441" s="1" t="s">
        <v>2752</v>
      </c>
    </row>
    <row r="2442" spans="1:10" ht="15.75" customHeight="1" x14ac:dyDescent="0.25">
      <c r="A2442" s="16">
        <v>20080503</v>
      </c>
      <c r="B2442" s="20" t="s">
        <v>1182</v>
      </c>
      <c r="C2442" s="20" t="s">
        <v>2299</v>
      </c>
      <c r="D2442" s="1">
        <v>76</v>
      </c>
      <c r="F2442" s="1"/>
      <c r="H2442" s="1" t="s">
        <v>2735</v>
      </c>
      <c r="I2442" s="1" t="s">
        <v>2702</v>
      </c>
    </row>
    <row r="2443" spans="1:10" ht="15.75" customHeight="1" x14ac:dyDescent="0.25">
      <c r="A2443" s="16">
        <v>20080503</v>
      </c>
      <c r="B2443" s="20" t="s">
        <v>1184</v>
      </c>
      <c r="C2443" s="20" t="s">
        <v>2301</v>
      </c>
      <c r="D2443" s="1">
        <f>ROUND((E2443*F2443),0)</f>
        <v>60</v>
      </c>
      <c r="E2443" s="1">
        <v>0.72</v>
      </c>
      <c r="F2443" s="1">
        <v>84</v>
      </c>
      <c r="H2443" s="1" t="s">
        <v>2735</v>
      </c>
    </row>
    <row r="2444" spans="1:10" ht="15.75" customHeight="1" x14ac:dyDescent="0.25">
      <c r="A2444" s="16">
        <v>20080503</v>
      </c>
      <c r="B2444" s="20" t="s">
        <v>1187</v>
      </c>
      <c r="C2444" s="20" t="s">
        <v>2302</v>
      </c>
      <c r="D2444" s="1">
        <f>ROUND(E2444*F2444,0)</f>
        <v>19</v>
      </c>
      <c r="E2444" s="1">
        <f>ROUND(170/237,2)</f>
        <v>0.72</v>
      </c>
      <c r="F2444" s="1">
        <v>27</v>
      </c>
      <c r="H2444" s="1" t="s">
        <v>2735</v>
      </c>
    </row>
    <row r="2445" spans="1:10" ht="15.75" customHeight="1" x14ac:dyDescent="0.25">
      <c r="A2445" s="16">
        <v>20080504</v>
      </c>
      <c r="B2445" s="20" t="s">
        <v>1191</v>
      </c>
      <c r="C2445" s="20" t="s">
        <v>2306</v>
      </c>
      <c r="D2445" s="1">
        <v>18</v>
      </c>
      <c r="F2445" s="1"/>
      <c r="G2445" s="1">
        <v>18</v>
      </c>
      <c r="H2445" s="1" t="s">
        <v>2753</v>
      </c>
    </row>
    <row r="2446" spans="1:10" ht="15.75" customHeight="1" x14ac:dyDescent="0.25">
      <c r="A2446" s="16">
        <v>20080504</v>
      </c>
      <c r="B2446" s="20" t="s">
        <v>1185</v>
      </c>
      <c r="C2446" s="20" t="s">
        <v>2301</v>
      </c>
      <c r="D2446" s="4">
        <f>ROUND(E2446*F2446*1.25,0)</f>
        <v>113</v>
      </c>
      <c r="E2446" s="1">
        <v>1.08</v>
      </c>
      <c r="F2446" s="1">
        <v>84</v>
      </c>
      <c r="G2446" s="4"/>
      <c r="H2446" s="1" t="s">
        <v>3177</v>
      </c>
      <c r="I2446" s="1" t="s">
        <v>2999</v>
      </c>
    </row>
    <row r="2447" spans="1:10" ht="15.75" customHeight="1" x14ac:dyDescent="0.25">
      <c r="A2447" s="16">
        <v>20080505</v>
      </c>
      <c r="B2447" s="20" t="s">
        <v>1188</v>
      </c>
      <c r="C2447" s="20" t="s">
        <v>2303</v>
      </c>
      <c r="D2447" s="1">
        <f>ROUND(E2447*F2447*1.25,0)</f>
        <v>61</v>
      </c>
      <c r="E2447" s="10">
        <v>0.57999999999999996</v>
      </c>
      <c r="F2447" s="1">
        <v>84</v>
      </c>
      <c r="H2447" s="1" t="s">
        <v>3156</v>
      </c>
      <c r="I2447" s="1" t="s">
        <v>3155</v>
      </c>
    </row>
    <row r="2448" spans="1:10" ht="15.75" customHeight="1" x14ac:dyDescent="0.25">
      <c r="A2448" s="16">
        <v>20080505</v>
      </c>
      <c r="B2448" s="20" t="s">
        <v>1192</v>
      </c>
      <c r="C2448" s="20" t="s">
        <v>2306</v>
      </c>
      <c r="D2448" s="1">
        <v>16</v>
      </c>
      <c r="F2448" s="1"/>
      <c r="G2448" s="1">
        <v>16</v>
      </c>
      <c r="H2448" s="1" t="s">
        <v>2754</v>
      </c>
    </row>
    <row r="2449" spans="1:10" ht="15.75" customHeight="1" x14ac:dyDescent="0.25">
      <c r="A2449" s="16">
        <v>20080506</v>
      </c>
      <c r="B2449" s="20" t="s">
        <v>1189</v>
      </c>
      <c r="C2449" s="20" t="s">
        <v>2303</v>
      </c>
      <c r="D2449" s="1">
        <f>ROUND(E2449*F2449*1.25,0)</f>
        <v>61</v>
      </c>
      <c r="E2449" s="10">
        <v>0.57999999999999996</v>
      </c>
      <c r="F2449" s="1">
        <v>84</v>
      </c>
      <c r="H2449" s="1" t="s">
        <v>3156</v>
      </c>
      <c r="I2449" s="1" t="s">
        <v>3155</v>
      </c>
    </row>
    <row r="2450" spans="1:10" ht="15.75" customHeight="1" x14ac:dyDescent="0.25">
      <c r="A2450" s="16">
        <v>20080506</v>
      </c>
      <c r="B2450" s="20" t="s">
        <v>1189</v>
      </c>
      <c r="C2450" s="20" t="s">
        <v>2304</v>
      </c>
      <c r="D2450" s="1">
        <v>16</v>
      </c>
      <c r="F2450" s="1"/>
      <c r="G2450" s="1">
        <v>16</v>
      </c>
      <c r="H2450" s="1" t="s">
        <v>2754</v>
      </c>
    </row>
    <row r="2451" spans="1:10" ht="15.75" customHeight="1" x14ac:dyDescent="0.25">
      <c r="A2451" s="3">
        <v>20080507</v>
      </c>
      <c r="B2451" s="5" t="s">
        <v>1193</v>
      </c>
      <c r="C2451" s="20" t="s">
        <v>25</v>
      </c>
      <c r="D2451" s="1">
        <v>7</v>
      </c>
      <c r="F2451" s="1">
        <v>5</v>
      </c>
      <c r="G2451" s="1">
        <v>7</v>
      </c>
      <c r="H2451" s="1" t="s">
        <v>3198</v>
      </c>
    </row>
    <row r="2452" spans="1:10" ht="15.75" customHeight="1" x14ac:dyDescent="0.25">
      <c r="A2452" s="16">
        <v>20080507</v>
      </c>
      <c r="B2452" s="20" t="s">
        <v>1193</v>
      </c>
      <c r="C2452" s="20" t="s">
        <v>13</v>
      </c>
      <c r="D2452" s="4">
        <v>64</v>
      </c>
    </row>
    <row r="2453" spans="1:10" ht="15.75" customHeight="1" x14ac:dyDescent="0.25">
      <c r="A2453" s="24">
        <v>20080507</v>
      </c>
      <c r="B2453" s="27" t="s">
        <v>1193</v>
      </c>
      <c r="C2453" s="27" t="s">
        <v>24</v>
      </c>
      <c r="D2453" s="4">
        <v>71</v>
      </c>
      <c r="H2453" s="1" t="s">
        <v>3198</v>
      </c>
    </row>
    <row r="2454" spans="1:10" ht="15.75" customHeight="1" x14ac:dyDescent="0.25">
      <c r="A2454" s="16">
        <v>20080507</v>
      </c>
      <c r="B2454" s="20" t="s">
        <v>1193</v>
      </c>
      <c r="C2454" s="20" t="s">
        <v>2306</v>
      </c>
      <c r="D2454" s="1">
        <v>16</v>
      </c>
      <c r="F2454" s="1">
        <v>9</v>
      </c>
      <c r="H2454" s="1" t="s">
        <v>3198</v>
      </c>
    </row>
    <row r="2455" spans="1:10" ht="15.75" customHeight="1" x14ac:dyDescent="0.25">
      <c r="A2455" s="3">
        <v>20080508</v>
      </c>
      <c r="B2455" s="5" t="s">
        <v>1197</v>
      </c>
      <c r="C2455" s="20" t="s">
        <v>2309</v>
      </c>
      <c r="D2455" s="4">
        <f>ROUND(E2455*F2455*1.25,0)</f>
        <v>111</v>
      </c>
      <c r="E2455" s="1">
        <v>0.68</v>
      </c>
      <c r="F2455" s="1">
        <v>130</v>
      </c>
      <c r="H2455" s="1" t="s">
        <v>3188</v>
      </c>
      <c r="I2455" s="1" t="s">
        <v>2999</v>
      </c>
    </row>
    <row r="2456" spans="1:10" ht="15.75" customHeight="1" x14ac:dyDescent="0.25">
      <c r="A2456" s="3">
        <v>20080508</v>
      </c>
      <c r="B2456" s="5" t="s">
        <v>1190</v>
      </c>
      <c r="C2456" s="20" t="s">
        <v>2305</v>
      </c>
      <c r="D2456" s="4">
        <f>ROUND(E2456*F2456*1.25,0)</f>
        <v>71</v>
      </c>
      <c r="E2456" s="1">
        <v>0.68</v>
      </c>
      <c r="F2456" s="1">
        <v>84</v>
      </c>
      <c r="H2456" s="1" t="s">
        <v>3188</v>
      </c>
      <c r="I2456" s="1" t="s">
        <v>2999</v>
      </c>
    </row>
    <row r="2457" spans="1:10" ht="15.75" customHeight="1" x14ac:dyDescent="0.25">
      <c r="A2457" s="16">
        <v>20080508</v>
      </c>
      <c r="B2457" s="20" t="s">
        <v>1195</v>
      </c>
      <c r="C2457" s="20" t="s">
        <v>2308</v>
      </c>
      <c r="D2457" s="1">
        <f>ROUND(E2457*F2457,0)</f>
        <v>19</v>
      </c>
      <c r="E2457" s="1">
        <f>ROUND(170/237,2)</f>
        <v>0.72</v>
      </c>
      <c r="F2457" s="1">
        <v>27</v>
      </c>
      <c r="H2457" s="1" t="s">
        <v>2735</v>
      </c>
    </row>
    <row r="2458" spans="1:10" ht="15.75" customHeight="1" x14ac:dyDescent="0.25">
      <c r="A2458" s="3">
        <v>20080509</v>
      </c>
      <c r="B2458" s="5" t="s">
        <v>1194</v>
      </c>
      <c r="C2458" s="20" t="s">
        <v>2307</v>
      </c>
      <c r="D2458" s="4">
        <f>ROUND(E2458*F2458*1.25,0)</f>
        <v>109</v>
      </c>
      <c r="E2458" s="10">
        <v>1.04</v>
      </c>
      <c r="F2458" s="1">
        <v>84</v>
      </c>
      <c r="H2458" s="1" t="s">
        <v>3196</v>
      </c>
      <c r="I2458" s="1" t="s">
        <v>2999</v>
      </c>
    </row>
    <row r="2459" spans="1:10" ht="15.75" customHeight="1" x14ac:dyDescent="0.25">
      <c r="A2459" s="3">
        <v>20080509</v>
      </c>
      <c r="B2459" s="5" t="s">
        <v>1194</v>
      </c>
      <c r="C2459" s="20" t="s">
        <v>27</v>
      </c>
      <c r="D2459" s="4">
        <f>ROUND(E2459*F2459*1.25,0)</f>
        <v>169</v>
      </c>
      <c r="E2459" s="10">
        <v>1.04</v>
      </c>
      <c r="F2459" s="1">
        <v>130</v>
      </c>
      <c r="H2459" s="1" t="s">
        <v>3196</v>
      </c>
      <c r="I2459" s="1" t="s">
        <v>2999</v>
      </c>
      <c r="J2459" s="1" t="s">
        <v>3132</v>
      </c>
    </row>
    <row r="2460" spans="1:10" ht="15.75" customHeight="1" x14ac:dyDescent="0.25">
      <c r="A2460" s="16">
        <v>20080509</v>
      </c>
      <c r="B2460" s="20" t="s">
        <v>1196</v>
      </c>
      <c r="C2460" s="20" t="s">
        <v>2308</v>
      </c>
      <c r="D2460" s="4">
        <f>ROUND(E2460*F2460*1.25,0)</f>
        <v>20</v>
      </c>
      <c r="E2460" s="10">
        <v>1.04</v>
      </c>
      <c r="F2460" s="1">
        <v>15</v>
      </c>
      <c r="H2460" s="1" t="s">
        <v>3196</v>
      </c>
      <c r="I2460" s="1" t="s">
        <v>2999</v>
      </c>
    </row>
    <row r="2461" spans="1:10" ht="15.75" customHeight="1" x14ac:dyDescent="0.25">
      <c r="A2461" s="16">
        <v>20080602</v>
      </c>
      <c r="B2461" s="20" t="s">
        <v>2652</v>
      </c>
      <c r="C2461" s="20" t="s">
        <v>26</v>
      </c>
      <c r="D2461" s="4">
        <f>ROUND(E2461*F2461*1.25,0)</f>
        <v>20</v>
      </c>
      <c r="E2461" s="10">
        <v>1.04</v>
      </c>
      <c r="F2461" s="1">
        <v>15</v>
      </c>
      <c r="H2461" s="1" t="s">
        <v>3196</v>
      </c>
      <c r="I2461" s="1" t="s">
        <v>2999</v>
      </c>
    </row>
    <row r="2462" spans="1:10" ht="15.75" customHeight="1" x14ac:dyDescent="0.25">
      <c r="A2462" s="3">
        <v>20080602</v>
      </c>
      <c r="B2462" s="5" t="s">
        <v>2652</v>
      </c>
      <c r="C2462" s="20" t="s">
        <v>24</v>
      </c>
      <c r="D2462" s="4">
        <f>ROUND(E2462*F2462*1.25,0)</f>
        <v>109</v>
      </c>
      <c r="E2462" s="10">
        <v>1.04</v>
      </c>
      <c r="F2462" s="1">
        <v>84</v>
      </c>
      <c r="H2462" s="1" t="s">
        <v>3196</v>
      </c>
      <c r="I2462" s="1" t="s">
        <v>2999</v>
      </c>
    </row>
    <row r="2463" spans="1:10" ht="15.75" customHeight="1" x14ac:dyDescent="0.25">
      <c r="A2463" s="3">
        <v>20080701</v>
      </c>
      <c r="B2463" s="5" t="s">
        <v>1198</v>
      </c>
      <c r="C2463" s="20" t="s">
        <v>2310</v>
      </c>
      <c r="D2463" s="1">
        <v>18</v>
      </c>
      <c r="F2463" s="1"/>
      <c r="G2463" s="1">
        <v>18</v>
      </c>
      <c r="H2463" s="1" t="s">
        <v>2853</v>
      </c>
      <c r="I2463" s="1" t="s">
        <v>2856</v>
      </c>
    </row>
    <row r="2464" spans="1:10" ht="15.75" customHeight="1" x14ac:dyDescent="0.25">
      <c r="A2464" s="24">
        <v>20080701</v>
      </c>
      <c r="B2464" s="27" t="s">
        <v>1198</v>
      </c>
      <c r="C2464" s="27" t="s">
        <v>14</v>
      </c>
      <c r="D2464" s="4">
        <v>36</v>
      </c>
      <c r="H2464" s="1" t="s">
        <v>3193</v>
      </c>
    </row>
    <row r="2465" spans="1:9" ht="15.75" customHeight="1" x14ac:dyDescent="0.25">
      <c r="A2465" s="24">
        <v>20080701</v>
      </c>
      <c r="B2465" s="27" t="s">
        <v>1198</v>
      </c>
      <c r="C2465" s="27" t="s">
        <v>2</v>
      </c>
      <c r="D2465" s="4">
        <v>72</v>
      </c>
      <c r="H2465" s="1" t="s">
        <v>3193</v>
      </c>
    </row>
    <row r="2466" spans="1:9" ht="15.75" customHeight="1" x14ac:dyDescent="0.25">
      <c r="A2466" s="24">
        <v>20080701</v>
      </c>
      <c r="B2466" s="27" t="s">
        <v>1198</v>
      </c>
      <c r="C2466" s="27" t="s">
        <v>15</v>
      </c>
      <c r="D2466" s="4">
        <v>116</v>
      </c>
      <c r="H2466" s="1" t="s">
        <v>2853</v>
      </c>
    </row>
    <row r="2467" spans="1:9" ht="15.75" customHeight="1" x14ac:dyDescent="0.25">
      <c r="A2467" s="16">
        <v>20080701</v>
      </c>
      <c r="B2467" s="20" t="s">
        <v>1227</v>
      </c>
      <c r="C2467" s="20" t="s">
        <v>2342</v>
      </c>
      <c r="D2467" s="1">
        <v>9</v>
      </c>
      <c r="F2467" s="10"/>
      <c r="G2467" s="1">
        <v>9</v>
      </c>
      <c r="H2467" s="1" t="s">
        <v>2853</v>
      </c>
      <c r="I2467" s="1" t="s">
        <v>2859</v>
      </c>
    </row>
    <row r="2468" spans="1:9" ht="15.75" customHeight="1" x14ac:dyDescent="0.25">
      <c r="A2468" s="16">
        <v>20080701</v>
      </c>
      <c r="B2468" s="20" t="s">
        <v>1198</v>
      </c>
      <c r="C2468" s="20" t="s">
        <v>2311</v>
      </c>
      <c r="D2468" s="4">
        <f>ROUND(E2468*F2468*1.25,0)</f>
        <v>116</v>
      </c>
      <c r="E2468" s="15">
        <v>1.1000000000000001</v>
      </c>
      <c r="F2468" s="1">
        <v>84</v>
      </c>
      <c r="H2468" s="1" t="s">
        <v>3193</v>
      </c>
      <c r="I2468" s="1" t="s">
        <v>2955</v>
      </c>
    </row>
    <row r="2469" spans="1:9" ht="15.75" customHeight="1" x14ac:dyDescent="0.25">
      <c r="A2469" s="16">
        <v>20080701</v>
      </c>
      <c r="B2469" s="20" t="s">
        <v>1219</v>
      </c>
      <c r="C2469" s="20" t="s">
        <v>2333</v>
      </c>
      <c r="D2469" s="1">
        <v>23</v>
      </c>
      <c r="F2469" s="1"/>
      <c r="G2469" s="1">
        <v>23</v>
      </c>
      <c r="H2469" s="1" t="s">
        <v>2853</v>
      </c>
      <c r="I2469" s="1" t="s">
        <v>2860</v>
      </c>
    </row>
    <row r="2470" spans="1:9" ht="15.75" customHeight="1" x14ac:dyDescent="0.25">
      <c r="A2470" s="16">
        <v>20080701</v>
      </c>
      <c r="B2470" s="20" t="s">
        <v>1217</v>
      </c>
      <c r="C2470" s="20" t="s">
        <v>2330</v>
      </c>
      <c r="D2470" s="1">
        <v>9</v>
      </c>
      <c r="F2470" s="10"/>
      <c r="G2470" s="1">
        <v>9</v>
      </c>
      <c r="H2470" s="1" t="s">
        <v>2853</v>
      </c>
      <c r="I2470" s="1" t="s">
        <v>2859</v>
      </c>
    </row>
    <row r="2471" spans="1:9" ht="15.75" customHeight="1" x14ac:dyDescent="0.25">
      <c r="A2471" s="16">
        <v>20080701</v>
      </c>
      <c r="B2471" s="20" t="s">
        <v>1240</v>
      </c>
      <c r="C2471" s="20" t="s">
        <v>2355</v>
      </c>
      <c r="D2471" s="1">
        <v>18</v>
      </c>
      <c r="F2471" s="1"/>
      <c r="G2471" s="1">
        <v>18</v>
      </c>
      <c r="H2471" s="1" t="s">
        <v>3193</v>
      </c>
    </row>
    <row r="2472" spans="1:9" ht="15.75" customHeight="1" x14ac:dyDescent="0.25">
      <c r="A2472" s="16">
        <v>20080701</v>
      </c>
      <c r="B2472" s="20" t="s">
        <v>1234</v>
      </c>
      <c r="C2472" s="20" t="s">
        <v>2349</v>
      </c>
      <c r="D2472" s="4">
        <f>ROUND(E2472*F2472*1.25,0)</f>
        <v>116</v>
      </c>
      <c r="E2472" s="15">
        <v>1.1000000000000001</v>
      </c>
      <c r="F2472" s="1">
        <v>84</v>
      </c>
      <c r="H2472" s="1" t="s">
        <v>3193</v>
      </c>
      <c r="I2472" s="1" t="s">
        <v>2999</v>
      </c>
    </row>
    <row r="2473" spans="1:9" ht="15.75" customHeight="1" x14ac:dyDescent="0.25">
      <c r="A2473" s="16">
        <v>20080701</v>
      </c>
      <c r="B2473" s="20" t="s">
        <v>1205</v>
      </c>
      <c r="C2473" s="20" t="s">
        <v>2318</v>
      </c>
      <c r="D2473" s="1">
        <v>72</v>
      </c>
      <c r="F2473" s="1"/>
      <c r="G2473" s="1">
        <v>72</v>
      </c>
      <c r="H2473" s="1" t="s">
        <v>2853</v>
      </c>
      <c r="I2473" s="1" t="s">
        <v>2702</v>
      </c>
    </row>
    <row r="2474" spans="1:9" ht="15.75" customHeight="1" x14ac:dyDescent="0.25">
      <c r="A2474" s="16">
        <v>20080701</v>
      </c>
      <c r="B2474" s="20" t="s">
        <v>1203</v>
      </c>
      <c r="C2474" s="20" t="s">
        <v>2317</v>
      </c>
      <c r="D2474" s="1">
        <v>36</v>
      </c>
      <c r="F2474" s="1">
        <v>30</v>
      </c>
      <c r="G2474" s="1">
        <v>36</v>
      </c>
      <c r="H2474" s="1" t="s">
        <v>2853</v>
      </c>
      <c r="I2474" s="1" t="s">
        <v>2701</v>
      </c>
    </row>
    <row r="2475" spans="1:9" ht="15.75" customHeight="1" x14ac:dyDescent="0.25">
      <c r="A2475" s="16">
        <v>20080701</v>
      </c>
      <c r="B2475" s="20" t="s">
        <v>2455</v>
      </c>
      <c r="C2475" s="20" t="s">
        <v>2314</v>
      </c>
      <c r="D2475" s="1">
        <v>18</v>
      </c>
      <c r="F2475" s="1"/>
      <c r="G2475" s="1">
        <v>18</v>
      </c>
      <c r="H2475" s="1" t="s">
        <v>2853</v>
      </c>
      <c r="I2475" s="1" t="s">
        <v>2856</v>
      </c>
    </row>
    <row r="2476" spans="1:9" ht="15.75" customHeight="1" x14ac:dyDescent="0.25">
      <c r="A2476" s="16">
        <v>20080702</v>
      </c>
      <c r="B2476" s="20" t="s">
        <v>1209</v>
      </c>
      <c r="C2476" s="20" t="s">
        <v>2322</v>
      </c>
      <c r="D2476" s="1">
        <v>72</v>
      </c>
      <c r="F2476" s="1"/>
      <c r="G2476" s="1">
        <v>72</v>
      </c>
      <c r="H2476" s="1" t="s">
        <v>2853</v>
      </c>
      <c r="I2476" s="1" t="s">
        <v>2702</v>
      </c>
    </row>
    <row r="2477" spans="1:9" ht="15.75" customHeight="1" x14ac:dyDescent="0.25">
      <c r="A2477" s="24">
        <v>20080702</v>
      </c>
      <c r="B2477" s="27" t="s">
        <v>1207</v>
      </c>
      <c r="C2477" s="27" t="s">
        <v>24</v>
      </c>
      <c r="D2477" s="4">
        <v>116</v>
      </c>
      <c r="H2477" s="1" t="s">
        <v>2853</v>
      </c>
    </row>
    <row r="2478" spans="1:9" ht="15.75" customHeight="1" x14ac:dyDescent="0.25">
      <c r="A2478" s="24">
        <v>20080702</v>
      </c>
      <c r="B2478" s="27" t="s">
        <v>1207</v>
      </c>
      <c r="C2478" s="27" t="s">
        <v>26</v>
      </c>
      <c r="D2478" s="4">
        <v>18</v>
      </c>
      <c r="H2478" s="1" t="s">
        <v>2853</v>
      </c>
    </row>
    <row r="2479" spans="1:9" ht="15.75" customHeight="1" x14ac:dyDescent="0.25">
      <c r="A2479" s="16">
        <v>20080702</v>
      </c>
      <c r="B2479" s="20" t="s">
        <v>1207</v>
      </c>
      <c r="C2479" s="20" t="s">
        <v>2320</v>
      </c>
      <c r="D2479" s="1">
        <v>36</v>
      </c>
      <c r="F2479" s="1">
        <v>30</v>
      </c>
      <c r="G2479" s="1">
        <v>36</v>
      </c>
      <c r="H2479" s="1" t="s">
        <v>2853</v>
      </c>
      <c r="I2479" s="1" t="s">
        <v>2701</v>
      </c>
    </row>
    <row r="2480" spans="1:9" ht="15.75" customHeight="1" x14ac:dyDescent="0.25">
      <c r="A2480" s="16">
        <v>20080702</v>
      </c>
      <c r="B2480" s="20" t="s">
        <v>1209</v>
      </c>
      <c r="C2480" s="20" t="s">
        <v>2321</v>
      </c>
      <c r="D2480" s="1">
        <v>18</v>
      </c>
      <c r="F2480" s="1"/>
      <c r="G2480" s="1">
        <v>18</v>
      </c>
      <c r="H2480" s="1" t="s">
        <v>2853</v>
      </c>
      <c r="I2480" s="1" t="s">
        <v>2856</v>
      </c>
    </row>
    <row r="2481" spans="1:45" ht="15.75" customHeight="1" x14ac:dyDescent="0.25">
      <c r="A2481" s="3">
        <v>20080703</v>
      </c>
      <c r="B2481" s="20" t="s">
        <v>1255</v>
      </c>
      <c r="C2481" s="20" t="s">
        <v>2366</v>
      </c>
      <c r="D2481" s="4">
        <f>G2481</f>
        <v>1</v>
      </c>
      <c r="F2481" s="1"/>
      <c r="G2481" s="4">
        <v>1</v>
      </c>
      <c r="H2481" s="1" t="s">
        <v>2853</v>
      </c>
    </row>
    <row r="2482" spans="1:45" ht="15.75" customHeight="1" x14ac:dyDescent="0.25">
      <c r="A2482" s="16">
        <v>20080703</v>
      </c>
      <c r="B2482" s="20" t="s">
        <v>1232</v>
      </c>
      <c r="C2482" s="20" t="s">
        <v>2347</v>
      </c>
      <c r="D2482" s="1">
        <v>9</v>
      </c>
      <c r="F2482" s="10"/>
      <c r="G2482" s="1">
        <v>9</v>
      </c>
      <c r="H2482" s="1" t="s">
        <v>2853</v>
      </c>
      <c r="I2482" s="1" t="s">
        <v>2859</v>
      </c>
    </row>
    <row r="2483" spans="1:45" ht="15.75" customHeight="1" x14ac:dyDescent="0.25">
      <c r="A2483" s="3">
        <v>20080703</v>
      </c>
      <c r="B2483" s="5" t="s">
        <v>1204</v>
      </c>
      <c r="C2483" s="20" t="s">
        <v>27</v>
      </c>
      <c r="D2483" s="4">
        <f>ROUND(E2483*F2483*1.25,0)</f>
        <v>179</v>
      </c>
      <c r="E2483" s="15">
        <v>1.1000000000000001</v>
      </c>
      <c r="F2483" s="1">
        <v>130</v>
      </c>
      <c r="H2483" s="1" t="s">
        <v>3193</v>
      </c>
      <c r="I2483" s="1" t="s">
        <v>2999</v>
      </c>
    </row>
    <row r="2484" spans="1:45" ht="15.75" customHeight="1" x14ac:dyDescent="0.25">
      <c r="A2484" s="24">
        <v>20080703</v>
      </c>
      <c r="B2484" s="27" t="s">
        <v>1204</v>
      </c>
      <c r="C2484" s="27" t="s">
        <v>17</v>
      </c>
      <c r="D2484" s="4">
        <v>18</v>
      </c>
      <c r="H2484" s="1" t="s">
        <v>2853</v>
      </c>
    </row>
    <row r="2485" spans="1:45" ht="15.75" customHeight="1" x14ac:dyDescent="0.25">
      <c r="A2485" s="16">
        <v>20080703</v>
      </c>
      <c r="B2485" s="20" t="s">
        <v>1210</v>
      </c>
      <c r="C2485" s="20" t="s">
        <v>2322</v>
      </c>
      <c r="D2485" s="1">
        <v>72</v>
      </c>
      <c r="F2485" s="1"/>
      <c r="G2485" s="1">
        <v>72</v>
      </c>
      <c r="H2485" s="1" t="s">
        <v>2853</v>
      </c>
      <c r="I2485" s="1" t="s">
        <v>2702</v>
      </c>
    </row>
    <row r="2486" spans="1:45" ht="15.75" customHeight="1" x14ac:dyDescent="0.25">
      <c r="A2486" s="16">
        <v>20080703</v>
      </c>
      <c r="B2486" s="20" t="s">
        <v>1239</v>
      </c>
      <c r="C2486" s="20" t="s">
        <v>2354</v>
      </c>
      <c r="D2486" s="4">
        <f>ROUND(E2486*F2486*1.25,0)</f>
        <v>116</v>
      </c>
      <c r="E2486" s="15">
        <v>1.1000000000000001</v>
      </c>
      <c r="F2486" s="1">
        <v>84</v>
      </c>
      <c r="H2486" s="1" t="s">
        <v>3193</v>
      </c>
      <c r="I2486" s="1" t="s">
        <v>2999</v>
      </c>
    </row>
    <row r="2487" spans="1:45" ht="15.75" customHeight="1" x14ac:dyDescent="0.25">
      <c r="A2487" s="16">
        <v>20080703</v>
      </c>
      <c r="B2487" s="20" t="s">
        <v>1242</v>
      </c>
      <c r="C2487" s="20" t="s">
        <v>2357</v>
      </c>
      <c r="D2487" s="1">
        <v>18</v>
      </c>
      <c r="F2487" s="1"/>
      <c r="G2487" s="1">
        <v>18</v>
      </c>
      <c r="H2487" s="1" t="s">
        <v>2853</v>
      </c>
      <c r="I2487" s="1" t="s">
        <v>2856</v>
      </c>
    </row>
    <row r="2488" spans="1:45" ht="15.75" customHeight="1" x14ac:dyDescent="0.25">
      <c r="A2488" s="16">
        <v>20080703</v>
      </c>
      <c r="B2488" s="20" t="s">
        <v>1204</v>
      </c>
      <c r="C2488" s="20" t="s">
        <v>2317</v>
      </c>
      <c r="D2488" s="1">
        <v>36</v>
      </c>
      <c r="F2488" s="1">
        <v>30</v>
      </c>
      <c r="G2488" s="1">
        <v>36</v>
      </c>
      <c r="H2488" s="1" t="s">
        <v>2853</v>
      </c>
      <c r="I2488" s="1" t="s">
        <v>2701</v>
      </c>
      <c r="L2488" s="28"/>
      <c r="M2488" s="28"/>
      <c r="N2488" s="28"/>
      <c r="O2488" s="28"/>
      <c r="P2488" s="28"/>
      <c r="Q2488" s="28"/>
      <c r="R2488" s="28"/>
      <c r="S2488" s="28"/>
      <c r="T2488" s="28"/>
      <c r="U2488" s="28"/>
      <c r="V2488" s="28"/>
      <c r="W2488" s="28"/>
      <c r="X2488" s="28"/>
      <c r="Y2488" s="28"/>
      <c r="Z2488" s="28"/>
      <c r="AA2488" s="28"/>
      <c r="AB2488" s="28"/>
      <c r="AC2488" s="28"/>
      <c r="AD2488" s="28"/>
      <c r="AE2488" s="28"/>
      <c r="AF2488" s="28"/>
      <c r="AG2488" s="28"/>
      <c r="AH2488" s="28"/>
      <c r="AI2488" s="28"/>
      <c r="AJ2488" s="28"/>
      <c r="AK2488" s="28"/>
      <c r="AL2488" s="28"/>
      <c r="AM2488" s="28"/>
      <c r="AN2488" s="28"/>
      <c r="AO2488" s="28"/>
      <c r="AP2488" s="28"/>
      <c r="AQ2488" s="28"/>
      <c r="AR2488" s="28"/>
      <c r="AS2488" s="28"/>
    </row>
    <row r="2489" spans="1:45" ht="15.75" customHeight="1" x14ac:dyDescent="0.25">
      <c r="A2489" s="16">
        <v>20080703</v>
      </c>
      <c r="B2489" s="20" t="s">
        <v>1206</v>
      </c>
      <c r="C2489" s="20" t="s">
        <v>2319</v>
      </c>
      <c r="D2489" s="1">
        <v>18</v>
      </c>
      <c r="F2489" s="1"/>
      <c r="G2489" s="1">
        <v>18</v>
      </c>
      <c r="H2489" s="1" t="s">
        <v>2853</v>
      </c>
      <c r="I2489" s="1" t="s">
        <v>2856</v>
      </c>
    </row>
    <row r="2490" spans="1:45" ht="15.75" customHeight="1" x14ac:dyDescent="0.25">
      <c r="A2490" s="16">
        <v>20080704</v>
      </c>
      <c r="B2490" s="20" t="s">
        <v>1215</v>
      </c>
      <c r="C2490" s="20" t="s">
        <v>2328</v>
      </c>
      <c r="D2490" s="1">
        <v>72</v>
      </c>
      <c r="F2490" s="1"/>
      <c r="G2490" s="1">
        <v>72</v>
      </c>
      <c r="H2490" s="1" t="s">
        <v>2853</v>
      </c>
      <c r="I2490" s="1" t="s">
        <v>2702</v>
      </c>
    </row>
    <row r="2491" spans="1:45" ht="15.75" customHeight="1" x14ac:dyDescent="0.25">
      <c r="A2491" s="16">
        <v>20080704</v>
      </c>
      <c r="B2491" s="20" t="s">
        <v>1237</v>
      </c>
      <c r="C2491" s="20" t="s">
        <v>2352</v>
      </c>
      <c r="D2491" s="4">
        <f>ROUND(E2491*F2491*1.25,0)</f>
        <v>116</v>
      </c>
      <c r="E2491" s="15">
        <v>1.1000000000000001</v>
      </c>
      <c r="F2491" s="1">
        <v>84</v>
      </c>
      <c r="H2491" s="1" t="s">
        <v>3194</v>
      </c>
      <c r="I2491" s="1" t="s">
        <v>2999</v>
      </c>
    </row>
    <row r="2492" spans="1:45" ht="15.75" customHeight="1" x14ac:dyDescent="0.25">
      <c r="A2492" s="16">
        <v>20080704</v>
      </c>
      <c r="B2492" s="20" t="s">
        <v>1212</v>
      </c>
      <c r="C2492" s="20" t="s">
        <v>2324</v>
      </c>
      <c r="D2492" s="1">
        <v>36</v>
      </c>
      <c r="F2492" s="1">
        <v>30</v>
      </c>
      <c r="G2492" s="1">
        <v>36</v>
      </c>
      <c r="H2492" s="1" t="s">
        <v>2853</v>
      </c>
      <c r="I2492" s="1" t="s">
        <v>2855</v>
      </c>
    </row>
    <row r="2493" spans="1:45" ht="15.75" customHeight="1" x14ac:dyDescent="0.25">
      <c r="A2493" s="16">
        <v>20080704</v>
      </c>
      <c r="B2493" s="20" t="s">
        <v>1246</v>
      </c>
      <c r="C2493" s="20" t="s">
        <v>2359</v>
      </c>
      <c r="D2493" s="1">
        <v>18</v>
      </c>
      <c r="F2493" s="1"/>
      <c r="G2493" s="1">
        <v>18</v>
      </c>
      <c r="H2493" s="1" t="s">
        <v>2853</v>
      </c>
      <c r="I2493" s="1" t="s">
        <v>2856</v>
      </c>
    </row>
    <row r="2494" spans="1:45" ht="15.75" customHeight="1" x14ac:dyDescent="0.25">
      <c r="A2494" s="16">
        <v>20080704</v>
      </c>
      <c r="B2494" s="20" t="s">
        <v>1208</v>
      </c>
      <c r="C2494" s="20" t="s">
        <v>2321</v>
      </c>
      <c r="D2494" s="1">
        <v>18</v>
      </c>
      <c r="F2494" s="1"/>
      <c r="G2494" s="1">
        <v>18</v>
      </c>
      <c r="H2494" s="1" t="s">
        <v>2853</v>
      </c>
      <c r="I2494" s="1" t="s">
        <v>2856</v>
      </c>
    </row>
    <row r="2495" spans="1:45" ht="15.75" customHeight="1" x14ac:dyDescent="0.25">
      <c r="A2495" s="16">
        <v>20080705</v>
      </c>
      <c r="B2495" s="20" t="s">
        <v>1211</v>
      </c>
      <c r="C2495" s="20" t="s">
        <v>26</v>
      </c>
      <c r="D2495" s="1">
        <v>18</v>
      </c>
      <c r="F2495" s="1"/>
      <c r="G2495" s="1">
        <v>18</v>
      </c>
      <c r="H2495" s="1" t="s">
        <v>2853</v>
      </c>
      <c r="I2495" s="1" t="s">
        <v>2856</v>
      </c>
    </row>
    <row r="2496" spans="1:45" ht="15.75" customHeight="1" x14ac:dyDescent="0.25">
      <c r="A2496" s="16">
        <v>20080705</v>
      </c>
      <c r="B2496" s="20" t="s">
        <v>1216</v>
      </c>
      <c r="C2496" s="20" t="s">
        <v>2329</v>
      </c>
      <c r="D2496" s="1">
        <v>36</v>
      </c>
      <c r="F2496" s="1">
        <v>30</v>
      </c>
      <c r="G2496" s="1">
        <v>36</v>
      </c>
      <c r="H2496" s="1" t="s">
        <v>2853</v>
      </c>
      <c r="I2496" s="1" t="s">
        <v>2855</v>
      </c>
    </row>
    <row r="2497" spans="1:45" ht="15.75" customHeight="1" x14ac:dyDescent="0.25">
      <c r="A2497" s="24">
        <v>20080705</v>
      </c>
      <c r="B2497" s="27" t="s">
        <v>1211</v>
      </c>
      <c r="C2497" s="27" t="s">
        <v>24</v>
      </c>
      <c r="D2497" s="4">
        <v>116</v>
      </c>
      <c r="H2497" s="1" t="s">
        <v>2853</v>
      </c>
    </row>
    <row r="2498" spans="1:45" ht="15.75" customHeight="1" x14ac:dyDescent="0.25">
      <c r="A2498" s="16">
        <v>20080705</v>
      </c>
      <c r="B2498" s="20" t="s">
        <v>1211</v>
      </c>
      <c r="C2498" s="20" t="s">
        <v>2323</v>
      </c>
      <c r="D2498" s="1">
        <v>18</v>
      </c>
      <c r="F2498" s="1"/>
      <c r="G2498" s="1">
        <v>18</v>
      </c>
      <c r="H2498" s="1" t="s">
        <v>2853</v>
      </c>
      <c r="I2498" s="1" t="s">
        <v>2856</v>
      </c>
    </row>
    <row r="2499" spans="1:45" ht="15.75" customHeight="1" x14ac:dyDescent="0.25">
      <c r="A2499" s="24">
        <v>20080706</v>
      </c>
      <c r="B2499" s="27" t="s">
        <v>1199</v>
      </c>
      <c r="C2499" s="27" t="s">
        <v>3</v>
      </c>
      <c r="D2499" s="4">
        <v>12</v>
      </c>
      <c r="H2499" s="1" t="s">
        <v>2861</v>
      </c>
    </row>
    <row r="2500" spans="1:45" ht="15.75" customHeight="1" x14ac:dyDescent="0.25">
      <c r="A2500" s="16">
        <v>20080706</v>
      </c>
      <c r="B2500" s="20" t="s">
        <v>1233</v>
      </c>
      <c r="C2500" s="20" t="s">
        <v>2348</v>
      </c>
      <c r="D2500" s="1">
        <v>15</v>
      </c>
      <c r="F2500" s="1"/>
      <c r="G2500" s="1">
        <v>15</v>
      </c>
      <c r="H2500" s="1" t="s">
        <v>2861</v>
      </c>
      <c r="I2500" s="1" t="s">
        <v>2846</v>
      </c>
    </row>
    <row r="2501" spans="1:45" ht="15.75" customHeight="1" x14ac:dyDescent="0.25">
      <c r="A2501" s="3">
        <v>20080706</v>
      </c>
      <c r="B2501" s="5" t="s">
        <v>1199</v>
      </c>
      <c r="C2501" s="20" t="s">
        <v>2313</v>
      </c>
      <c r="D2501" s="1">
        <v>42</v>
      </c>
      <c r="F2501" s="1"/>
      <c r="G2501" s="1">
        <v>42</v>
      </c>
      <c r="H2501" s="1" t="s">
        <v>2854</v>
      </c>
      <c r="I2501" s="1" t="s">
        <v>2938</v>
      </c>
    </row>
    <row r="2502" spans="1:45" ht="15.75" customHeight="1" x14ac:dyDescent="0.25">
      <c r="A2502" s="16">
        <v>20080706</v>
      </c>
      <c r="B2502" s="20" t="s">
        <v>1230</v>
      </c>
      <c r="C2502" s="20" t="s">
        <v>2345</v>
      </c>
      <c r="D2502" s="1">
        <v>12</v>
      </c>
      <c r="G2502" s="4">
        <v>12</v>
      </c>
      <c r="H2502" s="1" t="s">
        <v>2861</v>
      </c>
      <c r="I2502" s="1" t="s">
        <v>2700</v>
      </c>
    </row>
    <row r="2503" spans="1:45" ht="15.75" customHeight="1" x14ac:dyDescent="0.25">
      <c r="A2503" s="16">
        <v>20080706</v>
      </c>
      <c r="B2503" s="20" t="s">
        <v>1236</v>
      </c>
      <c r="C2503" s="20" t="s">
        <v>2351</v>
      </c>
      <c r="D2503" s="4">
        <v>12</v>
      </c>
      <c r="F2503" s="10"/>
      <c r="G2503" s="1">
        <v>6</v>
      </c>
      <c r="H2503" s="1" t="s">
        <v>2861</v>
      </c>
      <c r="I2503" s="1" t="s">
        <v>2700</v>
      </c>
    </row>
    <row r="2504" spans="1:45" ht="15.75" customHeight="1" x14ac:dyDescent="0.25">
      <c r="A2504" s="3">
        <v>20080706</v>
      </c>
      <c r="B2504" s="5" t="s">
        <v>1199</v>
      </c>
      <c r="C2504" s="20" t="s">
        <v>2674</v>
      </c>
      <c r="D2504" s="4">
        <v>12</v>
      </c>
      <c r="F2504" s="1"/>
      <c r="G2504" s="1">
        <v>12</v>
      </c>
      <c r="H2504" s="1" t="s">
        <v>2861</v>
      </c>
      <c r="I2504" s="1" t="s">
        <v>2700</v>
      </c>
    </row>
    <row r="2505" spans="1:45" ht="15.75" customHeight="1" x14ac:dyDescent="0.25">
      <c r="A2505" s="3">
        <v>20080706</v>
      </c>
      <c r="B2505" s="5" t="s">
        <v>1199</v>
      </c>
      <c r="C2505" s="20" t="s">
        <v>2312</v>
      </c>
      <c r="D2505" s="1">
        <v>21</v>
      </c>
      <c r="F2505" s="1"/>
      <c r="G2505" s="1">
        <v>21</v>
      </c>
      <c r="H2505" s="1" t="s">
        <v>2854</v>
      </c>
      <c r="I2505" s="1" t="s">
        <v>2937</v>
      </c>
    </row>
    <row r="2506" spans="1:45" ht="15.75" customHeight="1" x14ac:dyDescent="0.25">
      <c r="A2506" s="3">
        <v>20080706</v>
      </c>
      <c r="B2506" s="5" t="s">
        <v>1243</v>
      </c>
      <c r="C2506" s="20" t="s">
        <v>2358</v>
      </c>
      <c r="D2506" s="4">
        <f>ROUND(E2506*F2506*1.25,0)</f>
        <v>66</v>
      </c>
      <c r="E2506" s="1">
        <v>0.625</v>
      </c>
      <c r="F2506" s="1">
        <v>84</v>
      </c>
      <c r="H2506" s="1" t="s">
        <v>3200</v>
      </c>
      <c r="I2506" s="1" t="s">
        <v>2999</v>
      </c>
    </row>
    <row r="2507" spans="1:45" ht="15.75" customHeight="1" x14ac:dyDescent="0.25">
      <c r="A2507" s="16">
        <v>20080706</v>
      </c>
      <c r="B2507" s="20" t="s">
        <v>1243</v>
      </c>
      <c r="C2507" s="20" t="s">
        <v>2357</v>
      </c>
      <c r="D2507" s="4">
        <v>12</v>
      </c>
      <c r="E2507" s="10"/>
      <c r="F2507" s="1"/>
      <c r="G2507" s="1">
        <v>12</v>
      </c>
      <c r="H2507" s="1" t="s">
        <v>2861</v>
      </c>
    </row>
    <row r="2508" spans="1:45" ht="15.75" customHeight="1" x14ac:dyDescent="0.25">
      <c r="A2508" s="16">
        <v>20080706</v>
      </c>
      <c r="B2508" s="20" t="s">
        <v>1213</v>
      </c>
      <c r="C2508" s="20" t="s">
        <v>2325</v>
      </c>
      <c r="D2508" s="13">
        <v>48</v>
      </c>
      <c r="F2508" s="1"/>
      <c r="G2508" s="1">
        <v>48</v>
      </c>
      <c r="H2508" s="1" t="s">
        <v>2861</v>
      </c>
      <c r="I2508" s="1" t="s">
        <v>2702</v>
      </c>
    </row>
    <row r="2509" spans="1:45" ht="15.75" customHeight="1" x14ac:dyDescent="0.25">
      <c r="A2509" s="16">
        <v>20080706</v>
      </c>
      <c r="B2509" s="20" t="s">
        <v>1213</v>
      </c>
      <c r="C2509" s="20" t="s">
        <v>2326</v>
      </c>
      <c r="D2509" s="1">
        <v>24</v>
      </c>
      <c r="F2509" s="1"/>
      <c r="G2509" s="1">
        <v>24</v>
      </c>
      <c r="H2509" s="1" t="s">
        <v>2861</v>
      </c>
      <c r="I2509" s="1" t="s">
        <v>2701</v>
      </c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  <c r="AE2509" s="2"/>
      <c r="AF2509" s="2"/>
      <c r="AG2509" s="2"/>
      <c r="AH2509" s="2"/>
      <c r="AI2509" s="2"/>
      <c r="AJ2509" s="2"/>
      <c r="AK2509" s="2"/>
      <c r="AL2509" s="2"/>
      <c r="AM2509" s="2"/>
      <c r="AN2509" s="2"/>
      <c r="AO2509" s="2"/>
      <c r="AP2509" s="2"/>
      <c r="AQ2509" s="2"/>
      <c r="AR2509" s="2"/>
      <c r="AS2509" s="2"/>
    </row>
    <row r="2510" spans="1:45" ht="15.75" customHeight="1" x14ac:dyDescent="0.25">
      <c r="A2510" s="16">
        <v>20080706</v>
      </c>
      <c r="B2510" s="20" t="s">
        <v>2460</v>
      </c>
      <c r="C2510" s="20" t="s">
        <v>2327</v>
      </c>
      <c r="D2510" s="4">
        <v>12</v>
      </c>
      <c r="F2510" s="1"/>
      <c r="G2510" s="1">
        <v>12</v>
      </c>
      <c r="H2510" s="1" t="s">
        <v>2861</v>
      </c>
      <c r="I2510" s="1" t="s">
        <v>2700</v>
      </c>
    </row>
    <row r="2511" spans="1:45" ht="15.75" customHeight="1" x14ac:dyDescent="0.25">
      <c r="A2511" s="16">
        <v>20080707</v>
      </c>
      <c r="B2511" s="20" t="s">
        <v>1218</v>
      </c>
      <c r="C2511" s="20" t="s">
        <v>2332</v>
      </c>
      <c r="D2511" s="1">
        <v>24</v>
      </c>
      <c r="F2511" s="1"/>
      <c r="G2511" s="1">
        <v>24</v>
      </c>
      <c r="H2511" s="1" t="s">
        <v>2861</v>
      </c>
      <c r="I2511" s="1" t="s">
        <v>2701</v>
      </c>
    </row>
    <row r="2512" spans="1:45" ht="15.75" customHeight="1" x14ac:dyDescent="0.25">
      <c r="A2512" s="3">
        <v>20080707</v>
      </c>
      <c r="B2512" s="5" t="s">
        <v>1253</v>
      </c>
      <c r="C2512" s="20" t="s">
        <v>2364</v>
      </c>
      <c r="D2512" s="4">
        <f>ROUND(E2512*F2512*1.25,0)</f>
        <v>102</v>
      </c>
      <c r="E2512" s="1">
        <v>0.625</v>
      </c>
      <c r="F2512" s="1">
        <v>130</v>
      </c>
      <c r="H2512" s="1" t="s">
        <v>3200</v>
      </c>
      <c r="I2512" s="1" t="s">
        <v>2999</v>
      </c>
    </row>
    <row r="2513" spans="1:9" ht="15.75" customHeight="1" x14ac:dyDescent="0.25">
      <c r="A2513" s="16">
        <v>20080707</v>
      </c>
      <c r="B2513" s="20" t="s">
        <v>1218</v>
      </c>
      <c r="C2513" s="20" t="s">
        <v>2331</v>
      </c>
      <c r="D2513" s="4">
        <v>12</v>
      </c>
      <c r="F2513" s="1"/>
      <c r="G2513" s="1">
        <v>12</v>
      </c>
      <c r="H2513" s="1" t="s">
        <v>2861</v>
      </c>
      <c r="I2513" s="1" t="s">
        <v>2700</v>
      </c>
    </row>
    <row r="2514" spans="1:9" ht="15.75" customHeight="1" x14ac:dyDescent="0.25">
      <c r="A2514" s="16">
        <v>20080707</v>
      </c>
      <c r="B2514" s="20" t="s">
        <v>1221</v>
      </c>
      <c r="C2514" s="20" t="s">
        <v>2335</v>
      </c>
      <c r="D2514" s="13">
        <v>48</v>
      </c>
      <c r="F2514" s="1"/>
      <c r="G2514" s="1">
        <v>48</v>
      </c>
      <c r="H2514" s="1" t="s">
        <v>2861</v>
      </c>
      <c r="I2514" s="1" t="s">
        <v>2702</v>
      </c>
    </row>
    <row r="2515" spans="1:9" ht="15.75" customHeight="1" x14ac:dyDescent="0.25">
      <c r="A2515" s="3">
        <v>20080707</v>
      </c>
      <c r="B2515" s="5" t="s">
        <v>1245</v>
      </c>
      <c r="C2515" s="20" t="s">
        <v>2358</v>
      </c>
      <c r="D2515" s="4">
        <f>ROUND(E2515*F2515*1.25,0)</f>
        <v>66</v>
      </c>
      <c r="E2515" s="1">
        <v>0.625</v>
      </c>
      <c r="F2515" s="1">
        <v>84</v>
      </c>
      <c r="H2515" s="1" t="s">
        <v>3200</v>
      </c>
      <c r="I2515" s="1" t="s">
        <v>2999</v>
      </c>
    </row>
    <row r="2516" spans="1:9" ht="15.75" customHeight="1" x14ac:dyDescent="0.25">
      <c r="A2516" s="16">
        <v>20080707</v>
      </c>
      <c r="B2516" s="20" t="s">
        <v>1247</v>
      </c>
      <c r="C2516" s="20" t="s">
        <v>2359</v>
      </c>
      <c r="D2516" s="4">
        <v>12</v>
      </c>
      <c r="F2516" s="1"/>
      <c r="G2516" s="1">
        <v>12</v>
      </c>
      <c r="H2516" s="1" t="s">
        <v>2861</v>
      </c>
      <c r="I2516" s="1" t="s">
        <v>2933</v>
      </c>
    </row>
    <row r="2517" spans="1:9" ht="15.75" customHeight="1" x14ac:dyDescent="0.25">
      <c r="A2517" s="3">
        <v>20080708</v>
      </c>
      <c r="B2517" s="5" t="s">
        <v>1214</v>
      </c>
      <c r="C2517" s="20" t="s">
        <v>0</v>
      </c>
      <c r="D2517" s="4">
        <f>ROUND(E2517*F2517*1.25,0)</f>
        <v>21</v>
      </c>
      <c r="E2517" s="15">
        <v>1.1000000000000001</v>
      </c>
      <c r="F2517" s="1">
        <v>15</v>
      </c>
      <c r="G2517" s="4"/>
      <c r="H2517" s="1" t="s">
        <v>3193</v>
      </c>
      <c r="I2517" s="1" t="s">
        <v>2700</v>
      </c>
    </row>
    <row r="2518" spans="1:9" ht="15.75" customHeight="1" x14ac:dyDescent="0.25">
      <c r="A2518" s="16">
        <v>20080708</v>
      </c>
      <c r="B2518" s="20" t="s">
        <v>1222</v>
      </c>
      <c r="C2518" s="20" t="s">
        <v>2336</v>
      </c>
      <c r="D2518" s="1">
        <v>36</v>
      </c>
      <c r="F2518" s="1">
        <v>30</v>
      </c>
      <c r="G2518" s="1">
        <v>36</v>
      </c>
      <c r="H2518" s="1" t="s">
        <v>2853</v>
      </c>
      <c r="I2518" s="1" t="s">
        <v>2701</v>
      </c>
    </row>
    <row r="2519" spans="1:9" ht="15.75" customHeight="1" x14ac:dyDescent="0.25">
      <c r="A2519" s="16">
        <v>20080708</v>
      </c>
      <c r="B2519" s="20" t="s">
        <v>1229</v>
      </c>
      <c r="C2519" s="20" t="s">
        <v>2344</v>
      </c>
      <c r="D2519" s="1">
        <v>72</v>
      </c>
      <c r="F2519" s="1"/>
      <c r="G2519" s="1">
        <v>72</v>
      </c>
      <c r="H2519" s="1" t="s">
        <v>2853</v>
      </c>
      <c r="I2519" s="1" t="s">
        <v>2702</v>
      </c>
    </row>
    <row r="2520" spans="1:9" ht="15.75" customHeight="1" x14ac:dyDescent="0.25">
      <c r="A2520" s="3">
        <v>20080708</v>
      </c>
      <c r="B2520" s="5" t="s">
        <v>1252</v>
      </c>
      <c r="C2520" s="20" t="s">
        <v>2364</v>
      </c>
      <c r="D2520" s="4">
        <f>ROUND(E2520*F2520*1.25,0)</f>
        <v>179</v>
      </c>
      <c r="E2520" s="15">
        <v>1.1000000000000001</v>
      </c>
      <c r="F2520" s="1">
        <v>130</v>
      </c>
      <c r="H2520" s="1" t="s">
        <v>3194</v>
      </c>
      <c r="I2520" s="1" t="s">
        <v>2999</v>
      </c>
    </row>
    <row r="2521" spans="1:9" ht="15.75" customHeight="1" x14ac:dyDescent="0.25">
      <c r="A2521" s="16">
        <v>20080708</v>
      </c>
      <c r="B2521" s="20" t="s">
        <v>1214</v>
      </c>
      <c r="C2521" s="20" t="s">
        <v>2327</v>
      </c>
      <c r="D2521" s="1">
        <v>18</v>
      </c>
      <c r="F2521" s="1"/>
      <c r="G2521" s="1">
        <v>18</v>
      </c>
      <c r="H2521" s="1" t="s">
        <v>2853</v>
      </c>
      <c r="I2521" s="1" t="s">
        <v>2856</v>
      </c>
    </row>
    <row r="2522" spans="1:9" ht="15.75" customHeight="1" x14ac:dyDescent="0.25">
      <c r="A2522" s="16">
        <v>20080708</v>
      </c>
      <c r="B2522" s="20" t="s">
        <v>1250</v>
      </c>
      <c r="C2522" s="20" t="s">
        <v>2361</v>
      </c>
      <c r="D2522" s="1">
        <v>18</v>
      </c>
      <c r="F2522" s="1"/>
      <c r="G2522" s="1">
        <v>18</v>
      </c>
      <c r="H2522" s="1" t="s">
        <v>2853</v>
      </c>
      <c r="I2522" s="1" t="s">
        <v>2856</v>
      </c>
    </row>
    <row r="2523" spans="1:9" ht="15.75" customHeight="1" x14ac:dyDescent="0.25">
      <c r="A2523" s="3">
        <v>20080708</v>
      </c>
      <c r="B2523" s="5" t="s">
        <v>1244</v>
      </c>
      <c r="C2523" s="20" t="s">
        <v>2358</v>
      </c>
      <c r="D2523" s="4">
        <f>ROUND(E2523*F2523*1.25,0)</f>
        <v>116</v>
      </c>
      <c r="E2523" s="15">
        <v>1.1000000000000001</v>
      </c>
      <c r="F2523" s="1">
        <v>84</v>
      </c>
      <c r="H2523" s="1" t="s">
        <v>3194</v>
      </c>
      <c r="I2523" s="1" t="s">
        <v>2999</v>
      </c>
    </row>
    <row r="2524" spans="1:9" ht="15.75" customHeight="1" x14ac:dyDescent="0.25">
      <c r="A2524" s="24">
        <v>20080709</v>
      </c>
      <c r="B2524" s="27" t="s">
        <v>1220</v>
      </c>
      <c r="C2524" s="27" t="s">
        <v>27</v>
      </c>
      <c r="D2524" s="4">
        <v>81</v>
      </c>
      <c r="H2524" s="1" t="s">
        <v>2934</v>
      </c>
    </row>
    <row r="2525" spans="1:9" ht="15.75" customHeight="1" x14ac:dyDescent="0.25">
      <c r="A2525" s="16">
        <v>20080709</v>
      </c>
      <c r="B2525" s="20" t="s">
        <v>1254</v>
      </c>
      <c r="C2525" s="20" t="s">
        <v>2365</v>
      </c>
      <c r="D2525" s="4">
        <f>ROUND(E2525*F2525,0)</f>
        <v>9</v>
      </c>
      <c r="E2525" s="1">
        <f>ROUND(60/237,2)</f>
        <v>0.25</v>
      </c>
      <c r="F2525" s="1">
        <f>36</f>
        <v>36</v>
      </c>
      <c r="H2525" s="1" t="s">
        <v>2935</v>
      </c>
      <c r="I2525" s="1" t="s">
        <v>2999</v>
      </c>
    </row>
    <row r="2526" spans="1:9" ht="15.75" customHeight="1" x14ac:dyDescent="0.25">
      <c r="A2526" s="3">
        <v>20080709</v>
      </c>
      <c r="B2526" s="5" t="s">
        <v>1248</v>
      </c>
      <c r="C2526" s="20" t="s">
        <v>2360</v>
      </c>
      <c r="D2526" s="4">
        <f>ROUND(E2526*F2526*1.25,0)</f>
        <v>52</v>
      </c>
      <c r="E2526" s="10">
        <f>118/236.5</f>
        <v>0.4989429175475687</v>
      </c>
      <c r="F2526" s="1">
        <v>84</v>
      </c>
      <c r="H2526" s="1" t="s">
        <v>2547</v>
      </c>
      <c r="I2526" s="1" t="s">
        <v>2999</v>
      </c>
    </row>
    <row r="2527" spans="1:9" ht="15.75" customHeight="1" x14ac:dyDescent="0.25">
      <c r="A2527" s="16">
        <v>20080709</v>
      </c>
      <c r="B2527" s="20" t="s">
        <v>1228</v>
      </c>
      <c r="C2527" s="20" t="s">
        <v>2343</v>
      </c>
      <c r="D2527" s="1">
        <f>G2527</f>
        <v>24</v>
      </c>
      <c r="F2527" s="1"/>
      <c r="G2527" s="1">
        <v>24</v>
      </c>
      <c r="H2527" s="1" t="s">
        <v>2934</v>
      </c>
      <c r="I2527" s="1" t="s">
        <v>2744</v>
      </c>
    </row>
    <row r="2528" spans="1:9" ht="15.75" customHeight="1" x14ac:dyDescent="0.25">
      <c r="A2528" s="16">
        <v>20080709</v>
      </c>
      <c r="B2528" s="20" t="s">
        <v>1223</v>
      </c>
      <c r="C2528" s="20" t="s">
        <v>2337</v>
      </c>
      <c r="D2528" s="1">
        <v>48</v>
      </c>
      <c r="F2528" s="1"/>
      <c r="G2528" s="1">
        <v>48</v>
      </c>
      <c r="H2528" s="1" t="s">
        <v>2934</v>
      </c>
      <c r="I2528" s="1" t="s">
        <v>2746</v>
      </c>
    </row>
    <row r="2529" spans="1:10" ht="15.75" customHeight="1" x14ac:dyDescent="0.25">
      <c r="A2529" s="16">
        <v>20080709</v>
      </c>
      <c r="B2529" s="20" t="s">
        <v>1220</v>
      </c>
      <c r="C2529" s="20" t="s">
        <v>2334</v>
      </c>
      <c r="D2529" s="1">
        <v>12</v>
      </c>
      <c r="F2529" s="1"/>
      <c r="G2529" s="1">
        <v>12</v>
      </c>
      <c r="H2529" s="1" t="s">
        <v>2934</v>
      </c>
      <c r="I2529" s="1" t="s">
        <v>2943</v>
      </c>
    </row>
    <row r="2530" spans="1:10" ht="15.75" customHeight="1" x14ac:dyDescent="0.25">
      <c r="A2530" s="3">
        <v>20080710</v>
      </c>
      <c r="B2530" s="5" t="s">
        <v>1201</v>
      </c>
      <c r="C2530" s="20" t="s">
        <v>2315</v>
      </c>
      <c r="D2530" s="4">
        <f>ROUND(E2530*F2530*1.25,0)</f>
        <v>21</v>
      </c>
      <c r="E2530" s="15">
        <v>1.1000000000000001</v>
      </c>
      <c r="F2530" s="1">
        <v>15</v>
      </c>
      <c r="G2530" s="4"/>
      <c r="H2530" s="1" t="s">
        <v>3193</v>
      </c>
      <c r="I2530" s="1" t="s">
        <v>2700</v>
      </c>
    </row>
    <row r="2531" spans="1:10" ht="15.75" customHeight="1" x14ac:dyDescent="0.25">
      <c r="A2531" s="16">
        <v>20080710</v>
      </c>
      <c r="B2531" s="20" t="s">
        <v>1241</v>
      </c>
      <c r="C2531" s="20" t="s">
        <v>2356</v>
      </c>
      <c r="D2531" s="4">
        <f>ROUND(E2531*F2531*1.25,0)</f>
        <v>41</v>
      </c>
      <c r="E2531" s="15">
        <v>1.1000000000000001</v>
      </c>
      <c r="F2531" s="1">
        <v>30</v>
      </c>
      <c r="H2531" s="1" t="s">
        <v>3193</v>
      </c>
      <c r="I2531" s="1" t="s">
        <v>2701</v>
      </c>
    </row>
    <row r="2532" spans="1:10" ht="15.75" customHeight="1" x14ac:dyDescent="0.25">
      <c r="A2532" s="5">
        <v>20080710</v>
      </c>
      <c r="B2532" s="5" t="s">
        <v>1200</v>
      </c>
      <c r="C2532" s="20" t="s">
        <v>14</v>
      </c>
      <c r="D2532" s="4">
        <f>ROUND(E2532*F2532*1.25,0)</f>
        <v>41</v>
      </c>
      <c r="E2532" s="15">
        <v>1.1000000000000001</v>
      </c>
      <c r="F2532" s="1">
        <v>30</v>
      </c>
      <c r="H2532" s="1" t="s">
        <v>3193</v>
      </c>
      <c r="I2532" s="1" t="s">
        <v>2701</v>
      </c>
    </row>
    <row r="2533" spans="1:10" ht="15.75" customHeight="1" x14ac:dyDescent="0.25">
      <c r="A2533" s="5">
        <v>20080710</v>
      </c>
      <c r="B2533" s="5" t="s">
        <v>1200</v>
      </c>
      <c r="C2533" s="20" t="s">
        <v>29</v>
      </c>
      <c r="D2533" s="1">
        <v>54</v>
      </c>
      <c r="F2533" s="1"/>
      <c r="G2533" s="1">
        <v>54</v>
      </c>
      <c r="H2533" s="1" t="s">
        <v>3197</v>
      </c>
    </row>
    <row r="2534" spans="1:10" ht="15.75" customHeight="1" x14ac:dyDescent="0.25">
      <c r="A2534" s="3">
        <v>20080710</v>
      </c>
      <c r="B2534" s="5" t="s">
        <v>1200</v>
      </c>
      <c r="C2534" s="20" t="s">
        <v>2313</v>
      </c>
      <c r="D2534" s="4">
        <f>ROUND(E2534*F2534*1.25,0)</f>
        <v>116</v>
      </c>
      <c r="E2534" s="15">
        <v>1.1000000000000001</v>
      </c>
      <c r="F2534" s="1">
        <v>84</v>
      </c>
      <c r="H2534" s="1" t="s">
        <v>3193</v>
      </c>
      <c r="I2534" s="1" t="s">
        <v>2955</v>
      </c>
    </row>
    <row r="2535" spans="1:10" ht="15.75" customHeight="1" x14ac:dyDescent="0.25">
      <c r="A2535" s="24">
        <v>20080710</v>
      </c>
      <c r="B2535" s="27" t="s">
        <v>1200</v>
      </c>
      <c r="C2535" s="27" t="s">
        <v>27</v>
      </c>
      <c r="D2535" s="4">
        <v>179</v>
      </c>
      <c r="H2535" s="1" t="s">
        <v>3193</v>
      </c>
    </row>
    <row r="2536" spans="1:10" ht="15.75" customHeight="1" x14ac:dyDescent="0.25">
      <c r="A2536" s="24">
        <v>20080710</v>
      </c>
      <c r="B2536" s="27" t="s">
        <v>1200</v>
      </c>
      <c r="C2536" s="27" t="s">
        <v>15</v>
      </c>
      <c r="D2536" s="4">
        <v>116</v>
      </c>
      <c r="H2536" s="1" t="s">
        <v>3193</v>
      </c>
    </row>
    <row r="2537" spans="1:10" ht="15.75" customHeight="1" x14ac:dyDescent="0.25">
      <c r="A2537" s="16">
        <v>20080710</v>
      </c>
      <c r="B2537" s="20" t="s">
        <v>1235</v>
      </c>
      <c r="C2537" s="20" t="s">
        <v>2350</v>
      </c>
      <c r="D2537" s="4">
        <f t="shared" ref="D2537:D2543" si="56">ROUND(E2537*F2537*1.25,0)</f>
        <v>21</v>
      </c>
      <c r="E2537" s="15">
        <v>1.1000000000000001</v>
      </c>
      <c r="F2537" s="1">
        <v>15</v>
      </c>
      <c r="G2537" s="4"/>
      <c r="H2537" s="1" t="s">
        <v>3193</v>
      </c>
      <c r="I2537" s="1" t="s">
        <v>2700</v>
      </c>
    </row>
    <row r="2538" spans="1:10" ht="15.75" customHeight="1" x14ac:dyDescent="0.25">
      <c r="A2538" s="5">
        <v>20080710</v>
      </c>
      <c r="B2538" s="5" t="s">
        <v>1200</v>
      </c>
      <c r="C2538" s="20" t="s">
        <v>4</v>
      </c>
      <c r="D2538" s="4">
        <f t="shared" si="56"/>
        <v>62</v>
      </c>
      <c r="E2538" s="15">
        <v>1.1000000000000001</v>
      </c>
      <c r="F2538" s="1">
        <v>45</v>
      </c>
      <c r="H2538" s="1" t="s">
        <v>3193</v>
      </c>
      <c r="I2538" s="1" t="s">
        <v>2734</v>
      </c>
    </row>
    <row r="2539" spans="1:10" ht="15.75" customHeight="1" x14ac:dyDescent="0.25">
      <c r="A2539" s="16">
        <v>20080710</v>
      </c>
      <c r="B2539" s="20" t="s">
        <v>1251</v>
      </c>
      <c r="C2539" s="20" t="s">
        <v>2363</v>
      </c>
      <c r="D2539" s="4">
        <f t="shared" si="56"/>
        <v>21</v>
      </c>
      <c r="E2539" s="15">
        <v>1.1000000000000001</v>
      </c>
      <c r="F2539" s="1">
        <v>15</v>
      </c>
      <c r="H2539" s="1" t="s">
        <v>3193</v>
      </c>
    </row>
    <row r="2540" spans="1:10" ht="15.75" customHeight="1" x14ac:dyDescent="0.25">
      <c r="A2540" s="3">
        <v>20080710</v>
      </c>
      <c r="B2540" s="5" t="s">
        <v>1251</v>
      </c>
      <c r="C2540" s="20" t="s">
        <v>2362</v>
      </c>
      <c r="D2540" s="4">
        <f t="shared" si="56"/>
        <v>116</v>
      </c>
      <c r="E2540" s="15">
        <v>1.1000000000000001</v>
      </c>
      <c r="F2540" s="1">
        <v>84</v>
      </c>
      <c r="H2540" s="1" t="s">
        <v>3193</v>
      </c>
      <c r="I2540" s="1" t="s">
        <v>2999</v>
      </c>
    </row>
    <row r="2541" spans="1:10" ht="15.75" customHeight="1" x14ac:dyDescent="0.25">
      <c r="A2541" s="16">
        <v>20080710</v>
      </c>
      <c r="B2541" s="20" t="s">
        <v>1225</v>
      </c>
      <c r="C2541" s="20" t="s">
        <v>2339</v>
      </c>
      <c r="D2541" s="4">
        <f t="shared" si="56"/>
        <v>83</v>
      </c>
      <c r="E2541" s="15">
        <v>1.1000000000000001</v>
      </c>
      <c r="F2541" s="1">
        <v>60</v>
      </c>
      <c r="H2541" s="1" t="s">
        <v>3193</v>
      </c>
      <c r="I2541" s="1" t="s">
        <v>2702</v>
      </c>
    </row>
    <row r="2542" spans="1:10" ht="15.75" customHeight="1" x14ac:dyDescent="0.25">
      <c r="A2542" s="16">
        <v>20080710</v>
      </c>
      <c r="B2542" s="20" t="s">
        <v>1225</v>
      </c>
      <c r="C2542" s="20" t="s">
        <v>2340</v>
      </c>
      <c r="D2542" s="4">
        <f t="shared" si="56"/>
        <v>41</v>
      </c>
      <c r="E2542" s="15">
        <v>1.1000000000000001</v>
      </c>
      <c r="F2542" s="1">
        <v>30</v>
      </c>
      <c r="H2542" s="1" t="s">
        <v>3193</v>
      </c>
      <c r="I2542" s="1" t="s">
        <v>2701</v>
      </c>
    </row>
    <row r="2543" spans="1:10" ht="15.75" customHeight="1" x14ac:dyDescent="0.25">
      <c r="A2543" s="16">
        <v>20080710</v>
      </c>
      <c r="B2543" s="20" t="s">
        <v>1224</v>
      </c>
      <c r="C2543" s="20" t="s">
        <v>2338</v>
      </c>
      <c r="D2543" s="4">
        <f t="shared" si="56"/>
        <v>21</v>
      </c>
      <c r="E2543" s="15">
        <v>1.1000000000000001</v>
      </c>
      <c r="F2543" s="1">
        <v>15</v>
      </c>
      <c r="G2543" s="4"/>
      <c r="H2543" s="1" t="s">
        <v>3193</v>
      </c>
      <c r="I2543" s="1" t="s">
        <v>2700</v>
      </c>
    </row>
    <row r="2544" spans="1:10" ht="15.75" customHeight="1" x14ac:dyDescent="0.25">
      <c r="A2544" s="16">
        <v>20080711</v>
      </c>
      <c r="B2544" s="20" t="s">
        <v>1249</v>
      </c>
      <c r="C2544" s="20" t="s">
        <v>11</v>
      </c>
      <c r="D2544" s="1">
        <v>12</v>
      </c>
      <c r="E2544" s="4"/>
      <c r="F2544" s="1" t="s">
        <v>3132</v>
      </c>
      <c r="G2544" s="4">
        <v>12</v>
      </c>
      <c r="H2544" s="1" t="s">
        <v>2861</v>
      </c>
      <c r="I2544" s="1" t="s">
        <v>2700</v>
      </c>
      <c r="J2544" s="1" t="s">
        <v>3132</v>
      </c>
    </row>
    <row r="2545" spans="1:10" ht="15.75" customHeight="1" x14ac:dyDescent="0.25">
      <c r="A2545" s="16">
        <v>20080711</v>
      </c>
      <c r="B2545" s="20" t="s">
        <v>1249</v>
      </c>
      <c r="C2545" s="20" t="s">
        <v>26</v>
      </c>
      <c r="D2545" s="1">
        <v>12</v>
      </c>
      <c r="E2545" s="4"/>
      <c r="F2545" s="1" t="s">
        <v>3132</v>
      </c>
      <c r="G2545" s="4">
        <v>12</v>
      </c>
      <c r="H2545" s="1" t="s">
        <v>2861</v>
      </c>
      <c r="J2545" s="1" t="s">
        <v>3132</v>
      </c>
    </row>
    <row r="2546" spans="1:10" ht="15.75" customHeight="1" x14ac:dyDescent="0.25">
      <c r="A2546" s="3">
        <v>20080711</v>
      </c>
      <c r="B2546" s="5" t="s">
        <v>1249</v>
      </c>
      <c r="C2546" s="20" t="s">
        <v>2360</v>
      </c>
      <c r="D2546" s="4">
        <f t="shared" ref="D2546:D2552" si="57">ROUND(E2546*F2546*1.25,0)</f>
        <v>66</v>
      </c>
      <c r="E2546" s="1">
        <v>0.625</v>
      </c>
      <c r="F2546" s="1">
        <v>84</v>
      </c>
      <c r="H2546" s="1" t="s">
        <v>3200</v>
      </c>
      <c r="I2546" s="1" t="s">
        <v>2999</v>
      </c>
    </row>
    <row r="2547" spans="1:10" ht="15.75" customHeight="1" x14ac:dyDescent="0.25">
      <c r="A2547" s="5">
        <v>20080712</v>
      </c>
      <c r="B2547" s="5" t="s">
        <v>1202</v>
      </c>
      <c r="C2547" s="20" t="s">
        <v>4</v>
      </c>
      <c r="D2547" s="4">
        <f t="shared" si="57"/>
        <v>62</v>
      </c>
      <c r="E2547" s="15">
        <v>1.1000000000000001</v>
      </c>
      <c r="F2547" s="1">
        <v>45</v>
      </c>
      <c r="H2547" s="1" t="s">
        <v>3193</v>
      </c>
      <c r="I2547" s="1" t="s">
        <v>2734</v>
      </c>
    </row>
    <row r="2548" spans="1:10" ht="15.75" customHeight="1" x14ac:dyDescent="0.25">
      <c r="A2548" s="20">
        <v>20080712</v>
      </c>
      <c r="B2548" s="20" t="s">
        <v>1202</v>
      </c>
      <c r="C2548" s="20" t="s">
        <v>13</v>
      </c>
      <c r="D2548" s="4">
        <f t="shared" si="57"/>
        <v>83</v>
      </c>
      <c r="E2548" s="15">
        <v>1.1000000000000001</v>
      </c>
      <c r="F2548" s="1">
        <v>60</v>
      </c>
      <c r="H2548" s="1" t="s">
        <v>3193</v>
      </c>
      <c r="I2548" s="1" t="s">
        <v>2702</v>
      </c>
    </row>
    <row r="2549" spans="1:10" ht="15.75" customHeight="1" x14ac:dyDescent="0.25">
      <c r="A2549" s="3">
        <v>20080712</v>
      </c>
      <c r="B2549" s="5" t="s">
        <v>1202</v>
      </c>
      <c r="C2549" s="20" t="s">
        <v>2316</v>
      </c>
      <c r="D2549" s="4">
        <f t="shared" si="57"/>
        <v>116</v>
      </c>
      <c r="E2549" s="15">
        <v>1.1000000000000001</v>
      </c>
      <c r="F2549" s="1">
        <v>84</v>
      </c>
      <c r="H2549" s="1" t="s">
        <v>3193</v>
      </c>
      <c r="I2549" s="1" t="s">
        <v>2955</v>
      </c>
    </row>
    <row r="2550" spans="1:10" ht="15.75" customHeight="1" x14ac:dyDescent="0.25">
      <c r="A2550" s="16">
        <v>20080712</v>
      </c>
      <c r="B2550" s="20" t="s">
        <v>1238</v>
      </c>
      <c r="C2550" s="20" t="s">
        <v>2353</v>
      </c>
      <c r="D2550" s="4">
        <f t="shared" si="57"/>
        <v>21</v>
      </c>
      <c r="E2550" s="15">
        <v>1.1000000000000001</v>
      </c>
      <c r="F2550" s="1">
        <v>15</v>
      </c>
      <c r="G2550" s="4"/>
      <c r="H2550" s="1" t="s">
        <v>3193</v>
      </c>
      <c r="I2550" s="1" t="s">
        <v>2700</v>
      </c>
    </row>
    <row r="2551" spans="1:10" ht="15.75" customHeight="1" x14ac:dyDescent="0.25">
      <c r="A2551" s="16">
        <v>20080712</v>
      </c>
      <c r="B2551" s="20" t="s">
        <v>1231</v>
      </c>
      <c r="C2551" s="20" t="s">
        <v>2346</v>
      </c>
      <c r="D2551" s="4">
        <f t="shared" si="57"/>
        <v>41</v>
      </c>
      <c r="E2551" s="15">
        <v>1.1000000000000001</v>
      </c>
      <c r="F2551" s="1">
        <v>30</v>
      </c>
      <c r="H2551" s="1" t="s">
        <v>3193</v>
      </c>
      <c r="I2551" s="1" t="s">
        <v>2701</v>
      </c>
    </row>
    <row r="2552" spans="1:10" ht="15.75" customHeight="1" x14ac:dyDescent="0.25">
      <c r="A2552" s="16">
        <v>20080712</v>
      </c>
      <c r="B2552" s="20" t="s">
        <v>1226</v>
      </c>
      <c r="C2552" s="20" t="s">
        <v>2341</v>
      </c>
      <c r="D2552" s="4">
        <f t="shared" si="57"/>
        <v>21</v>
      </c>
      <c r="E2552" s="15">
        <v>1.1000000000000001</v>
      </c>
      <c r="F2552" s="1">
        <v>15</v>
      </c>
      <c r="G2552" s="4"/>
      <c r="H2552" s="1" t="s">
        <v>3193</v>
      </c>
      <c r="I2552" s="1" t="s">
        <v>2700</v>
      </c>
    </row>
    <row r="2553" spans="1:10" ht="15.75" customHeight="1" x14ac:dyDescent="0.25">
      <c r="A2553" s="16">
        <v>20080712</v>
      </c>
      <c r="B2553" s="20" t="s">
        <v>1202</v>
      </c>
      <c r="C2553" s="20" t="s">
        <v>25</v>
      </c>
      <c r="D2553" s="4">
        <v>7</v>
      </c>
    </row>
    <row r="2554" spans="1:10" ht="15.75" customHeight="1" x14ac:dyDescent="0.25">
      <c r="A2554" s="16">
        <v>20080712</v>
      </c>
      <c r="B2554" s="20" t="s">
        <v>1202</v>
      </c>
      <c r="C2554" s="20" t="s">
        <v>26</v>
      </c>
      <c r="D2554" s="4">
        <v>20</v>
      </c>
    </row>
    <row r="2555" spans="1:10" ht="15.75" customHeight="1" x14ac:dyDescent="0.25">
      <c r="A2555" s="16">
        <v>20080801</v>
      </c>
      <c r="B2555" s="20" t="s">
        <v>1256</v>
      </c>
      <c r="C2555" s="20" t="s">
        <v>32</v>
      </c>
      <c r="D2555" s="4">
        <f>G2555</f>
        <v>1</v>
      </c>
      <c r="F2555" s="1"/>
      <c r="G2555" s="4">
        <v>1</v>
      </c>
      <c r="H2555" s="1" t="s">
        <v>2482</v>
      </c>
    </row>
    <row r="2556" spans="1:10" ht="15.75" customHeight="1" x14ac:dyDescent="0.25">
      <c r="A2556" s="16">
        <v>20080801</v>
      </c>
      <c r="B2556" s="20" t="s">
        <v>1256</v>
      </c>
      <c r="C2556" s="20" t="s">
        <v>11</v>
      </c>
      <c r="D2556" s="1">
        <f>ROUND(E2556*F2556,0)</f>
        <v>21</v>
      </c>
      <c r="E2556" s="10">
        <f>328/236.5</f>
        <v>1.3868921775898519</v>
      </c>
      <c r="F2556" s="1">
        <v>15</v>
      </c>
      <c r="G2556" s="4"/>
      <c r="H2556" s="1" t="s">
        <v>2482</v>
      </c>
      <c r="I2556" s="1" t="s">
        <v>2700</v>
      </c>
      <c r="J2556" s="1" t="s">
        <v>3132</v>
      </c>
    </row>
    <row r="2557" spans="1:10" ht="15.75" customHeight="1" x14ac:dyDescent="0.25">
      <c r="A2557" s="24">
        <v>20080801</v>
      </c>
      <c r="B2557" s="27" t="s">
        <v>1256</v>
      </c>
      <c r="C2557" s="27" t="s">
        <v>17</v>
      </c>
      <c r="D2557" s="4">
        <v>21</v>
      </c>
      <c r="H2557" s="1" t="s">
        <v>2482</v>
      </c>
    </row>
    <row r="2558" spans="1:10" ht="15.75" customHeight="1" x14ac:dyDescent="0.25">
      <c r="A2558" s="24">
        <v>20080801</v>
      </c>
      <c r="B2558" s="27" t="s">
        <v>1256</v>
      </c>
      <c r="C2558" s="27" t="s">
        <v>14</v>
      </c>
      <c r="D2558" s="4">
        <v>40</v>
      </c>
      <c r="H2558" s="1" t="s">
        <v>2482</v>
      </c>
    </row>
    <row r="2559" spans="1:10" ht="15.75" customHeight="1" x14ac:dyDescent="0.25">
      <c r="A2559" s="24">
        <v>20080801</v>
      </c>
      <c r="B2559" s="27" t="s">
        <v>1256</v>
      </c>
      <c r="C2559" s="27" t="s">
        <v>12</v>
      </c>
      <c r="D2559" s="4">
        <v>42</v>
      </c>
    </row>
    <row r="2560" spans="1:10" ht="15.75" customHeight="1" x14ac:dyDescent="0.25">
      <c r="A2560" s="24">
        <v>20080801</v>
      </c>
      <c r="B2560" s="27" t="s">
        <v>1256</v>
      </c>
      <c r="C2560" s="27" t="s">
        <v>15</v>
      </c>
      <c r="D2560" s="4">
        <v>66</v>
      </c>
      <c r="H2560" s="1" t="s">
        <v>2482</v>
      </c>
    </row>
    <row r="2561" spans="1:10" ht="15.75" customHeight="1" x14ac:dyDescent="0.25">
      <c r="A2561" s="16">
        <v>20080801</v>
      </c>
      <c r="B2561" s="20" t="s">
        <v>1256</v>
      </c>
      <c r="C2561" s="20" t="s">
        <v>2369</v>
      </c>
      <c r="D2561" s="1">
        <f>ROUND((E2561*F2561),0)</f>
        <v>166</v>
      </c>
      <c r="E2561" s="10">
        <f>328/236.5</f>
        <v>1.3868921775898519</v>
      </c>
      <c r="F2561" s="4">
        <v>120</v>
      </c>
      <c r="H2561" s="1" t="s">
        <v>2482</v>
      </c>
      <c r="I2561" s="1" t="s">
        <v>3025</v>
      </c>
    </row>
    <row r="2562" spans="1:10" ht="15.75" customHeight="1" x14ac:dyDescent="0.25">
      <c r="A2562" s="24">
        <v>20080801</v>
      </c>
      <c r="B2562" s="27" t="s">
        <v>1256</v>
      </c>
      <c r="C2562" s="27" t="s">
        <v>23</v>
      </c>
      <c r="D2562" s="4">
        <v>52</v>
      </c>
      <c r="H2562" s="1" t="s">
        <v>2482</v>
      </c>
    </row>
    <row r="2563" spans="1:10" ht="15.75" customHeight="1" x14ac:dyDescent="0.25">
      <c r="A2563" s="16">
        <v>20080801</v>
      </c>
      <c r="B2563" s="20" t="s">
        <v>1256</v>
      </c>
      <c r="C2563" s="20" t="s">
        <v>24</v>
      </c>
      <c r="D2563" s="4">
        <f>ROUND(E2563*F2563*1.25,0)</f>
        <v>66</v>
      </c>
      <c r="E2563" s="1">
        <v>0.625</v>
      </c>
      <c r="F2563" s="1">
        <v>84</v>
      </c>
      <c r="G2563" s="4"/>
      <c r="H2563" s="1" t="s">
        <v>3200</v>
      </c>
      <c r="I2563" s="1" t="s">
        <v>2999</v>
      </c>
    </row>
    <row r="2564" spans="1:10" ht="15.75" customHeight="1" x14ac:dyDescent="0.25">
      <c r="A2564" s="16">
        <v>20080801</v>
      </c>
      <c r="B2564" s="20" t="s">
        <v>1256</v>
      </c>
      <c r="C2564" s="20" t="s">
        <v>26</v>
      </c>
      <c r="D2564" s="1">
        <f>ROUND(E2564*F2564,0)</f>
        <v>21</v>
      </c>
      <c r="E2564" s="10">
        <f>328/236.5</f>
        <v>1.3868921775898519</v>
      </c>
      <c r="F2564" s="1">
        <v>15</v>
      </c>
      <c r="G2564" s="4"/>
      <c r="H2564" s="1" t="s">
        <v>2482</v>
      </c>
      <c r="J2564" s="1" t="s">
        <v>3132</v>
      </c>
    </row>
    <row r="2565" spans="1:10" ht="15.75" customHeight="1" x14ac:dyDescent="0.25">
      <c r="A2565" s="24">
        <v>20080801</v>
      </c>
      <c r="B2565" s="27" t="s">
        <v>1256</v>
      </c>
      <c r="C2565" s="27" t="s">
        <v>13</v>
      </c>
      <c r="D2565" s="4">
        <v>83</v>
      </c>
      <c r="H2565" s="1" t="s">
        <v>2482</v>
      </c>
    </row>
    <row r="2566" spans="1:10" ht="15.75" customHeight="1" x14ac:dyDescent="0.25">
      <c r="A2566" s="16">
        <v>20080801</v>
      </c>
      <c r="B2566" s="20" t="s">
        <v>1256</v>
      </c>
      <c r="C2566" s="20" t="s">
        <v>2368</v>
      </c>
      <c r="D2566" s="1">
        <f>ROUND((E2566*F2566),0)</f>
        <v>83</v>
      </c>
      <c r="E2566" s="10">
        <f>328/236.5</f>
        <v>1.3868921775898519</v>
      </c>
      <c r="F2566" s="1">
        <v>60</v>
      </c>
      <c r="H2566" s="1" t="s">
        <v>2482</v>
      </c>
      <c r="I2566" s="1" t="s">
        <v>2702</v>
      </c>
    </row>
    <row r="2567" spans="1:10" ht="15.75" customHeight="1" x14ac:dyDescent="0.25">
      <c r="A2567" s="16">
        <v>20080801</v>
      </c>
      <c r="B2567" s="20" t="s">
        <v>1256</v>
      </c>
      <c r="C2567" s="20" t="s">
        <v>2367</v>
      </c>
      <c r="D2567" s="1">
        <f>ROUND((E2567*F2567),0)</f>
        <v>21</v>
      </c>
      <c r="E2567" s="10">
        <f>328/236.5</f>
        <v>1.3868921775898519</v>
      </c>
      <c r="F2567" s="1">
        <v>15</v>
      </c>
      <c r="H2567" s="1" t="s">
        <v>2482</v>
      </c>
      <c r="I2567" s="1" t="s">
        <v>2846</v>
      </c>
    </row>
    <row r="2568" spans="1:10" ht="15.75" customHeight="1" x14ac:dyDescent="0.25">
      <c r="A2568" s="24">
        <v>20080802</v>
      </c>
      <c r="B2568" s="27" t="s">
        <v>1257</v>
      </c>
      <c r="C2568" s="27" t="s">
        <v>11</v>
      </c>
      <c r="D2568" s="4">
        <v>21</v>
      </c>
      <c r="H2568" s="1" t="s">
        <v>3193</v>
      </c>
    </row>
    <row r="2569" spans="1:10" ht="15.75" customHeight="1" x14ac:dyDescent="0.25">
      <c r="A2569" s="3">
        <v>20080802</v>
      </c>
      <c r="B2569" s="5" t="s">
        <v>1257</v>
      </c>
      <c r="C2569" s="20" t="s">
        <v>2371</v>
      </c>
      <c r="D2569" s="4">
        <f>ROUND(E2569*F2569*1.25,0)</f>
        <v>165</v>
      </c>
      <c r="E2569" s="15">
        <v>1.1000000000000001</v>
      </c>
      <c r="F2569" s="10">
        <v>120</v>
      </c>
      <c r="H2569" s="1" t="s">
        <v>3193</v>
      </c>
      <c r="I2569" s="1" t="s">
        <v>3025</v>
      </c>
    </row>
    <row r="2570" spans="1:10" ht="15.75" customHeight="1" x14ac:dyDescent="0.25">
      <c r="A2570" s="3">
        <v>20080802</v>
      </c>
      <c r="B2570" s="5" t="s">
        <v>1257</v>
      </c>
      <c r="C2570" s="20" t="s">
        <v>27</v>
      </c>
      <c r="D2570" s="4">
        <f>ROUND(E2570*F2570*1.25,0)</f>
        <v>179</v>
      </c>
      <c r="E2570" s="15">
        <v>1.1000000000000001</v>
      </c>
      <c r="F2570" s="1">
        <v>130</v>
      </c>
      <c r="H2570" s="1" t="s">
        <v>3193</v>
      </c>
      <c r="I2570" s="1" t="s">
        <v>2999</v>
      </c>
      <c r="J2570" s="1" t="s">
        <v>3132</v>
      </c>
    </row>
    <row r="2571" spans="1:10" ht="15.75" customHeight="1" x14ac:dyDescent="0.25">
      <c r="A2571" s="16">
        <v>20080802</v>
      </c>
      <c r="B2571" s="20" t="s">
        <v>1257</v>
      </c>
      <c r="C2571" s="20" t="s">
        <v>2370</v>
      </c>
      <c r="D2571" s="4">
        <f>ROUND(E2571*F2571*1.25,0)</f>
        <v>41</v>
      </c>
      <c r="E2571" s="15">
        <v>1.1000000000000001</v>
      </c>
      <c r="F2571" s="1">
        <v>30</v>
      </c>
      <c r="H2571" s="1" t="s">
        <v>3193</v>
      </c>
      <c r="I2571" s="1" t="s">
        <v>2701</v>
      </c>
    </row>
    <row r="2572" spans="1:10" ht="15.75" customHeight="1" x14ac:dyDescent="0.25">
      <c r="A2572" s="16">
        <v>20080802</v>
      </c>
      <c r="B2572" s="20" t="s">
        <v>1257</v>
      </c>
      <c r="C2572" s="20" t="s">
        <v>26</v>
      </c>
      <c r="D2572" s="4">
        <f>ROUND(E2572*F2572*1.25,0)</f>
        <v>21</v>
      </c>
      <c r="E2572" s="15">
        <v>1.1000000000000001</v>
      </c>
      <c r="F2572" s="1">
        <v>15</v>
      </c>
      <c r="G2572" s="4"/>
      <c r="H2572" s="1" t="s">
        <v>3193</v>
      </c>
      <c r="I2572" s="1" t="s">
        <v>2999</v>
      </c>
    </row>
    <row r="2573" spans="1:10" ht="15.75" customHeight="1" x14ac:dyDescent="0.25">
      <c r="A2573" s="3">
        <v>20080802</v>
      </c>
      <c r="B2573" s="5" t="s">
        <v>1257</v>
      </c>
      <c r="C2573" s="20" t="s">
        <v>24</v>
      </c>
      <c r="D2573" s="4">
        <f>ROUND(E2573*F2573*1.25,0)</f>
        <v>116</v>
      </c>
      <c r="E2573" s="15">
        <v>1.1000000000000001</v>
      </c>
      <c r="F2573" s="1">
        <v>84</v>
      </c>
      <c r="H2573" s="1" t="s">
        <v>3193</v>
      </c>
      <c r="I2573" s="1" t="s">
        <v>2999</v>
      </c>
    </row>
    <row r="2574" spans="1:10" ht="15.75" customHeight="1" x14ac:dyDescent="0.25">
      <c r="A2574" s="3">
        <v>20089901</v>
      </c>
      <c r="B2574" s="5" t="s">
        <v>1258</v>
      </c>
      <c r="C2574" s="20" t="s">
        <v>2377</v>
      </c>
      <c r="D2574" s="4">
        <v>7</v>
      </c>
      <c r="E2574" s="10"/>
      <c r="F2574" s="1"/>
      <c r="G2574" s="1">
        <v>7</v>
      </c>
      <c r="H2574" s="2" t="s">
        <v>2750</v>
      </c>
      <c r="I2574" s="1" t="s">
        <v>2881</v>
      </c>
    </row>
    <row r="2575" spans="1:10" ht="15.75" customHeight="1" x14ac:dyDescent="0.25">
      <c r="A2575" s="3">
        <v>20089901</v>
      </c>
      <c r="B2575" s="5" t="s">
        <v>1258</v>
      </c>
      <c r="C2575" s="20" t="s">
        <v>2376</v>
      </c>
      <c r="D2575" s="1">
        <f>G2575</f>
        <v>80</v>
      </c>
      <c r="F2575" s="1">
        <v>84</v>
      </c>
      <c r="G2575" s="1">
        <v>80</v>
      </c>
      <c r="H2575" s="2" t="s">
        <v>2844</v>
      </c>
      <c r="I2575" s="1" t="s">
        <v>2882</v>
      </c>
    </row>
    <row r="2576" spans="1:10" ht="15.75" customHeight="1" x14ac:dyDescent="0.25">
      <c r="A2576" s="16">
        <v>20089901</v>
      </c>
      <c r="B2576" s="20" t="s">
        <v>1258</v>
      </c>
      <c r="C2576" s="20" t="s">
        <v>2372</v>
      </c>
      <c r="D2576" s="4">
        <v>20</v>
      </c>
      <c r="E2576" s="10"/>
      <c r="F2576" s="1"/>
      <c r="G2576" s="1">
        <v>20</v>
      </c>
      <c r="H2576" s="2" t="s">
        <v>2750</v>
      </c>
      <c r="I2576" s="1" t="s">
        <v>2700</v>
      </c>
    </row>
    <row r="2577" spans="1:10" ht="15.75" customHeight="1" x14ac:dyDescent="0.25">
      <c r="A2577" s="3">
        <v>20089901</v>
      </c>
      <c r="B2577" s="5" t="s">
        <v>1258</v>
      </c>
      <c r="C2577" s="20" t="s">
        <v>2375</v>
      </c>
      <c r="D2577" s="4">
        <f>ROUND(E2577*F2577*1.25,0)</f>
        <v>70</v>
      </c>
      <c r="E2577" s="1">
        <v>0.67</v>
      </c>
      <c r="F2577" s="1">
        <v>84</v>
      </c>
      <c r="H2577" s="2" t="s">
        <v>2750</v>
      </c>
      <c r="I2577" s="1" t="s">
        <v>2999</v>
      </c>
    </row>
    <row r="2578" spans="1:10" ht="15.75" customHeight="1" x14ac:dyDescent="0.25">
      <c r="A2578" s="16">
        <v>20089901</v>
      </c>
      <c r="B2578" s="20" t="s">
        <v>1258</v>
      </c>
      <c r="C2578" s="20" t="s">
        <v>2374</v>
      </c>
      <c r="D2578" s="1">
        <v>40</v>
      </c>
      <c r="F2578" s="1"/>
      <c r="G2578" s="1">
        <v>40</v>
      </c>
      <c r="H2578" s="2" t="s">
        <v>2844</v>
      </c>
      <c r="I2578" s="1" t="s">
        <v>2701</v>
      </c>
    </row>
    <row r="2579" spans="1:10" ht="15.75" customHeight="1" x14ac:dyDescent="0.25">
      <c r="A2579" s="16">
        <v>20089901</v>
      </c>
      <c r="B2579" s="20" t="s">
        <v>1258</v>
      </c>
      <c r="C2579" s="20" t="s">
        <v>2373</v>
      </c>
      <c r="D2579" s="1">
        <v>80</v>
      </c>
      <c r="F2579" s="1"/>
      <c r="G2579" s="1">
        <v>80</v>
      </c>
      <c r="H2579" s="2" t="s">
        <v>2844</v>
      </c>
      <c r="I2579" s="1" t="s">
        <v>2702</v>
      </c>
    </row>
    <row r="2580" spans="1:10" ht="15.75" customHeight="1" x14ac:dyDescent="0.25">
      <c r="A2580" s="16">
        <v>20089902</v>
      </c>
      <c r="B2580" s="20" t="s">
        <v>3116</v>
      </c>
      <c r="C2580" s="20" t="s">
        <v>13</v>
      </c>
      <c r="D2580" s="1">
        <v>48</v>
      </c>
      <c r="E2580" s="4"/>
      <c r="F2580" s="1" t="s">
        <v>3132</v>
      </c>
      <c r="G2580" s="4">
        <v>48</v>
      </c>
      <c r="H2580" s="1" t="s">
        <v>3200</v>
      </c>
      <c r="I2580" s="1" t="s">
        <v>2702</v>
      </c>
      <c r="J2580" s="1" t="s">
        <v>3132</v>
      </c>
    </row>
    <row r="2581" spans="1:10" ht="15.75" customHeight="1" x14ac:dyDescent="0.25">
      <c r="A2581" s="3">
        <v>20089902</v>
      </c>
      <c r="B2581" s="5" t="s">
        <v>3116</v>
      </c>
      <c r="C2581" s="20" t="s">
        <v>27</v>
      </c>
      <c r="D2581" s="4">
        <f>ROUND(E2581*F2581*1.25,0)</f>
        <v>102</v>
      </c>
      <c r="E2581" s="1">
        <v>0.625</v>
      </c>
      <c r="F2581" s="1">
        <v>130</v>
      </c>
      <c r="G2581" s="4"/>
      <c r="H2581" s="1" t="s">
        <v>3200</v>
      </c>
      <c r="I2581" s="1" t="s">
        <v>2999</v>
      </c>
    </row>
    <row r="2582" spans="1:10" ht="15.75" customHeight="1" x14ac:dyDescent="0.25">
      <c r="A2582" s="3">
        <v>20089902</v>
      </c>
      <c r="B2582" s="5" t="s">
        <v>3116</v>
      </c>
      <c r="C2582" s="20" t="s">
        <v>11</v>
      </c>
      <c r="D2582" s="1">
        <v>12</v>
      </c>
      <c r="E2582" s="4"/>
      <c r="F2582" s="1" t="s">
        <v>3132</v>
      </c>
      <c r="G2582" s="4">
        <v>12</v>
      </c>
      <c r="H2582" s="1" t="s">
        <v>2861</v>
      </c>
      <c r="I2582" s="1" t="s">
        <v>2700</v>
      </c>
      <c r="J2582" s="1" t="s">
        <v>3132</v>
      </c>
    </row>
    <row r="2583" spans="1:10" ht="15.75" customHeight="1" x14ac:dyDescent="0.25">
      <c r="A2583" s="3">
        <v>20089902</v>
      </c>
      <c r="B2583" s="5" t="s">
        <v>3116</v>
      </c>
      <c r="C2583" s="20" t="s">
        <v>24</v>
      </c>
      <c r="D2583" s="4">
        <f>ROUND(E2583*F2583*1.25,0)</f>
        <v>66</v>
      </c>
      <c r="E2583" s="1">
        <v>0.625</v>
      </c>
      <c r="F2583" s="1">
        <v>84</v>
      </c>
      <c r="G2583" s="4"/>
      <c r="H2583" s="1" t="s">
        <v>3200</v>
      </c>
      <c r="I2583" s="1" t="s">
        <v>2999</v>
      </c>
    </row>
    <row r="2584" spans="1:10" ht="15.75" customHeight="1" x14ac:dyDescent="0.25">
      <c r="A2584" s="16">
        <v>20089902</v>
      </c>
      <c r="B2584" s="20" t="s">
        <v>3116</v>
      </c>
      <c r="C2584" s="20" t="s">
        <v>26</v>
      </c>
      <c r="D2584" s="1">
        <v>12</v>
      </c>
      <c r="E2584" s="4"/>
      <c r="F2584" s="1" t="s">
        <v>3132</v>
      </c>
      <c r="G2584" s="4"/>
      <c r="H2584" s="1" t="s">
        <v>2861</v>
      </c>
      <c r="J2584" s="1" t="s">
        <v>3132</v>
      </c>
    </row>
    <row r="2585" spans="1:10" ht="15.75" customHeight="1" x14ac:dyDescent="0.25">
      <c r="A2585" s="3">
        <v>20089903</v>
      </c>
      <c r="B2585" s="5" t="s">
        <v>3117</v>
      </c>
      <c r="C2585" s="20" t="s">
        <v>11</v>
      </c>
      <c r="D2585" s="4">
        <f t="shared" ref="D2585:D2592" si="58">ROUND(E2585*F2585*1.25,0)</f>
        <v>21</v>
      </c>
      <c r="E2585" s="15">
        <v>1.1000000000000001</v>
      </c>
      <c r="F2585" s="1">
        <v>15</v>
      </c>
      <c r="G2585" s="4"/>
      <c r="H2585" s="1" t="s">
        <v>3193</v>
      </c>
      <c r="I2585" s="1" t="s">
        <v>2700</v>
      </c>
    </row>
    <row r="2586" spans="1:10" ht="15.75" customHeight="1" x14ac:dyDescent="0.25">
      <c r="A2586" s="16">
        <v>20089903</v>
      </c>
      <c r="B2586" s="20" t="s">
        <v>3117</v>
      </c>
      <c r="C2586" s="20" t="s">
        <v>26</v>
      </c>
      <c r="D2586" s="4">
        <f t="shared" si="58"/>
        <v>21</v>
      </c>
      <c r="E2586" s="15">
        <v>1.1000000000000001</v>
      </c>
      <c r="F2586" s="1">
        <v>15</v>
      </c>
      <c r="G2586" s="4"/>
      <c r="H2586" s="1" t="s">
        <v>3193</v>
      </c>
      <c r="I2586" s="1" t="s">
        <v>2999</v>
      </c>
    </row>
    <row r="2587" spans="1:10" ht="15.75" customHeight="1" x14ac:dyDescent="0.25">
      <c r="A2587" s="3">
        <v>20089903</v>
      </c>
      <c r="B2587" s="5" t="s">
        <v>3117</v>
      </c>
      <c r="C2587" s="20" t="s">
        <v>24</v>
      </c>
      <c r="D2587" s="4">
        <f t="shared" si="58"/>
        <v>116</v>
      </c>
      <c r="E2587" s="15">
        <v>1.1000000000000001</v>
      </c>
      <c r="F2587" s="1">
        <v>84</v>
      </c>
      <c r="H2587" s="1" t="s">
        <v>3193</v>
      </c>
      <c r="I2587" s="1" t="s">
        <v>2999</v>
      </c>
    </row>
    <row r="2588" spans="1:10" ht="15.75" customHeight="1" x14ac:dyDescent="0.25">
      <c r="A2588" s="3">
        <v>20089904</v>
      </c>
      <c r="B2588" s="5" t="s">
        <v>3118</v>
      </c>
      <c r="C2588" s="20" t="s">
        <v>27</v>
      </c>
      <c r="D2588" s="4">
        <f t="shared" si="58"/>
        <v>179</v>
      </c>
      <c r="E2588" s="15">
        <v>1.1000000000000001</v>
      </c>
      <c r="F2588" s="1">
        <v>130</v>
      </c>
      <c r="H2588" s="1" t="s">
        <v>3193</v>
      </c>
      <c r="I2588" s="1" t="s">
        <v>2999</v>
      </c>
    </row>
    <row r="2589" spans="1:10" ht="15.75" customHeight="1" x14ac:dyDescent="0.25">
      <c r="A2589" s="16">
        <v>20089904</v>
      </c>
      <c r="B2589" s="20" t="s">
        <v>3118</v>
      </c>
      <c r="C2589" s="20" t="s">
        <v>13</v>
      </c>
      <c r="D2589" s="4">
        <f t="shared" si="58"/>
        <v>83</v>
      </c>
      <c r="E2589" s="15">
        <v>1.1000000000000001</v>
      </c>
      <c r="F2589" s="1">
        <v>60</v>
      </c>
      <c r="G2589" s="4"/>
      <c r="H2589" s="1" t="s">
        <v>3193</v>
      </c>
      <c r="I2589" s="1" t="s">
        <v>2702</v>
      </c>
    </row>
    <row r="2590" spans="1:10" ht="15.75" customHeight="1" x14ac:dyDescent="0.25">
      <c r="A2590" s="3">
        <v>20089904</v>
      </c>
      <c r="B2590" s="5" t="s">
        <v>3118</v>
      </c>
      <c r="C2590" s="20" t="s">
        <v>11</v>
      </c>
      <c r="D2590" s="4">
        <f t="shared" si="58"/>
        <v>21</v>
      </c>
      <c r="E2590" s="15">
        <v>1.1000000000000001</v>
      </c>
      <c r="F2590" s="1">
        <v>15</v>
      </c>
      <c r="G2590" s="4"/>
      <c r="H2590" s="1" t="s">
        <v>3193</v>
      </c>
      <c r="I2590" s="1" t="s">
        <v>2700</v>
      </c>
    </row>
    <row r="2591" spans="1:10" ht="15.75" customHeight="1" x14ac:dyDescent="0.25">
      <c r="A2591" s="3">
        <v>20089904</v>
      </c>
      <c r="B2591" s="5" t="s">
        <v>3118</v>
      </c>
      <c r="C2591" s="20" t="s">
        <v>24</v>
      </c>
      <c r="D2591" s="4">
        <f t="shared" si="58"/>
        <v>116</v>
      </c>
      <c r="E2591" s="15">
        <v>1.1000000000000001</v>
      </c>
      <c r="F2591" s="1">
        <v>84</v>
      </c>
      <c r="H2591" s="1" t="s">
        <v>3193</v>
      </c>
      <c r="I2591" s="1" t="s">
        <v>2999</v>
      </c>
    </row>
    <row r="2592" spans="1:10" ht="15.75" customHeight="1" x14ac:dyDescent="0.25">
      <c r="A2592" s="16">
        <v>20089904</v>
      </c>
      <c r="B2592" s="20" t="s">
        <v>3118</v>
      </c>
      <c r="C2592" s="20" t="s">
        <v>26</v>
      </c>
      <c r="D2592" s="4">
        <f t="shared" si="58"/>
        <v>21</v>
      </c>
      <c r="E2592" s="15">
        <v>1.1000000000000001</v>
      </c>
      <c r="F2592" s="1">
        <v>15</v>
      </c>
      <c r="G2592" s="4"/>
      <c r="H2592" s="1" t="s">
        <v>3193</v>
      </c>
      <c r="I2592" s="1" t="s">
        <v>2999</v>
      </c>
    </row>
    <row r="2593" spans="1:10" ht="15.75" customHeight="1" x14ac:dyDescent="0.25">
      <c r="A2593" s="24">
        <v>20090101</v>
      </c>
      <c r="B2593" s="27" t="s">
        <v>1263</v>
      </c>
      <c r="C2593" s="27" t="s">
        <v>25</v>
      </c>
      <c r="D2593" s="4">
        <v>4</v>
      </c>
      <c r="H2593" s="2" t="s">
        <v>2883</v>
      </c>
    </row>
    <row r="2594" spans="1:10" ht="15.75" customHeight="1" x14ac:dyDescent="0.25">
      <c r="A2594" s="16">
        <v>20090101</v>
      </c>
      <c r="B2594" s="20" t="s">
        <v>1263</v>
      </c>
      <c r="C2594" s="20" t="s">
        <v>2382</v>
      </c>
      <c r="D2594" s="1">
        <v>13</v>
      </c>
      <c r="F2594" s="1">
        <v>15</v>
      </c>
      <c r="G2594" s="1">
        <v>13</v>
      </c>
      <c r="H2594" s="2" t="s">
        <v>2883</v>
      </c>
      <c r="I2594" s="1" t="s">
        <v>2884</v>
      </c>
    </row>
    <row r="2595" spans="1:10" ht="15.75" customHeight="1" x14ac:dyDescent="0.25">
      <c r="A2595" s="24">
        <v>20090101</v>
      </c>
      <c r="B2595" s="27" t="s">
        <v>1263</v>
      </c>
      <c r="C2595" s="27" t="s">
        <v>12</v>
      </c>
      <c r="D2595" s="4">
        <v>26</v>
      </c>
      <c r="H2595" s="2" t="s">
        <v>2883</v>
      </c>
    </row>
    <row r="2596" spans="1:10" ht="15.75" customHeight="1" x14ac:dyDescent="0.25">
      <c r="A2596" s="16">
        <v>20090102</v>
      </c>
      <c r="B2596" s="20" t="s">
        <v>1264</v>
      </c>
      <c r="C2596" s="20" t="s">
        <v>2382</v>
      </c>
      <c r="D2596" s="1">
        <v>9</v>
      </c>
      <c r="F2596" s="1"/>
      <c r="G2596" s="1">
        <v>9</v>
      </c>
      <c r="H2596" s="2" t="s">
        <v>2885</v>
      </c>
      <c r="I2596" s="1" t="s">
        <v>2744</v>
      </c>
    </row>
    <row r="2597" spans="1:10" ht="15.75" customHeight="1" x14ac:dyDescent="0.25">
      <c r="A2597" s="3">
        <v>20090102</v>
      </c>
      <c r="B2597" s="5" t="s">
        <v>1260</v>
      </c>
      <c r="C2597" s="20" t="s">
        <v>24</v>
      </c>
      <c r="D2597" s="1">
        <v>72</v>
      </c>
      <c r="F2597" s="1"/>
      <c r="G2597" s="1">
        <v>72</v>
      </c>
      <c r="H2597" s="2" t="s">
        <v>2885</v>
      </c>
      <c r="I2597" s="1" t="s">
        <v>2886</v>
      </c>
    </row>
    <row r="2598" spans="1:10" ht="15.75" customHeight="1" x14ac:dyDescent="0.25">
      <c r="A2598" s="16">
        <v>20090102</v>
      </c>
      <c r="B2598" s="20" t="s">
        <v>1260</v>
      </c>
      <c r="C2598" s="20" t="s">
        <v>2379</v>
      </c>
      <c r="D2598" s="1">
        <v>36</v>
      </c>
      <c r="F2598" s="1"/>
      <c r="G2598" s="1">
        <v>36</v>
      </c>
      <c r="H2598" s="2" t="s">
        <v>2885</v>
      </c>
      <c r="I2598" s="1" t="s">
        <v>2702</v>
      </c>
    </row>
    <row r="2599" spans="1:10" ht="15.75" customHeight="1" x14ac:dyDescent="0.25">
      <c r="A2599" s="3">
        <v>20090102</v>
      </c>
      <c r="B2599" s="5" t="s">
        <v>1260</v>
      </c>
      <c r="C2599" s="20" t="s">
        <v>2378</v>
      </c>
      <c r="D2599" s="1">
        <v>9</v>
      </c>
      <c r="F2599" s="1"/>
      <c r="G2599" s="1">
        <v>9</v>
      </c>
      <c r="H2599" s="2" t="s">
        <v>2885</v>
      </c>
      <c r="I2599" s="1" t="s">
        <v>2700</v>
      </c>
    </row>
    <row r="2600" spans="1:10" ht="15.75" customHeight="1" x14ac:dyDescent="0.25">
      <c r="A2600" s="3">
        <v>20090103</v>
      </c>
      <c r="B2600" s="5" t="s">
        <v>1259</v>
      </c>
      <c r="C2600" s="20" t="s">
        <v>2378</v>
      </c>
      <c r="D2600" s="4">
        <v>12</v>
      </c>
      <c r="F2600" s="1"/>
      <c r="G2600" s="1">
        <v>12</v>
      </c>
      <c r="H2600" s="1" t="s">
        <v>2736</v>
      </c>
      <c r="I2600" s="1" t="s">
        <v>2738</v>
      </c>
    </row>
    <row r="2601" spans="1:10" ht="15.75" customHeight="1" x14ac:dyDescent="0.25">
      <c r="A2601" s="16">
        <v>20090103</v>
      </c>
      <c r="B2601" s="20" t="s">
        <v>1261</v>
      </c>
      <c r="C2601" s="20" t="s">
        <v>2380</v>
      </c>
      <c r="D2601" s="4">
        <v>24</v>
      </c>
      <c r="F2601" s="1"/>
      <c r="G2601" s="1">
        <v>24</v>
      </c>
      <c r="H2601" s="1" t="s">
        <v>2736</v>
      </c>
      <c r="I2601" s="1" t="s">
        <v>2737</v>
      </c>
    </row>
    <row r="2602" spans="1:10" ht="15.75" customHeight="1" x14ac:dyDescent="0.25">
      <c r="A2602" s="16">
        <v>20090105</v>
      </c>
      <c r="B2602" s="20" t="s">
        <v>1265</v>
      </c>
      <c r="C2602" s="20" t="s">
        <v>2382</v>
      </c>
      <c r="D2602" s="1">
        <v>20</v>
      </c>
      <c r="F2602" s="1"/>
      <c r="G2602" s="1">
        <v>20</v>
      </c>
      <c r="H2602" s="1" t="s">
        <v>2939</v>
      </c>
      <c r="I2602" s="1" t="s">
        <v>2739</v>
      </c>
    </row>
    <row r="2603" spans="1:10" ht="15.75" customHeight="1" x14ac:dyDescent="0.25">
      <c r="A2603" s="3">
        <v>20090105</v>
      </c>
      <c r="B2603" s="5" t="s">
        <v>1262</v>
      </c>
      <c r="C2603" s="20" t="s">
        <v>24</v>
      </c>
      <c r="D2603" s="4">
        <f>G2603</f>
        <v>80</v>
      </c>
      <c r="E2603" s="4"/>
      <c r="F2603" s="1" t="s">
        <v>3132</v>
      </c>
      <c r="G2603" s="4">
        <v>80</v>
      </c>
      <c r="H2603" s="1" t="s">
        <v>2939</v>
      </c>
      <c r="I2603" s="1" t="s">
        <v>2702</v>
      </c>
      <c r="J2603" s="1" t="s">
        <v>3132</v>
      </c>
    </row>
    <row r="2604" spans="1:10" ht="15.75" customHeight="1" x14ac:dyDescent="0.25">
      <c r="A2604" s="3">
        <v>20090105</v>
      </c>
      <c r="B2604" s="5" t="s">
        <v>1262</v>
      </c>
      <c r="C2604" s="20" t="s">
        <v>2381</v>
      </c>
      <c r="D2604" s="1">
        <v>20</v>
      </c>
      <c r="F2604" s="1"/>
      <c r="G2604" s="1">
        <v>20</v>
      </c>
      <c r="H2604" s="1" t="s">
        <v>2939</v>
      </c>
      <c r="I2604" s="1" t="s">
        <v>2700</v>
      </c>
    </row>
    <row r="2605" spans="1:10" ht="15.75" customHeight="1" x14ac:dyDescent="0.25">
      <c r="A2605" s="16">
        <v>20090105</v>
      </c>
      <c r="B2605" s="20" t="s">
        <v>1262</v>
      </c>
      <c r="C2605" s="20" t="s">
        <v>25</v>
      </c>
      <c r="D2605" s="4">
        <v>7</v>
      </c>
    </row>
    <row r="2606" spans="1:10" ht="15.75" customHeight="1" x14ac:dyDescent="0.25">
      <c r="A2606" s="3">
        <v>20090106</v>
      </c>
      <c r="B2606" s="5" t="s">
        <v>2648</v>
      </c>
      <c r="C2606" s="20" t="s">
        <v>32</v>
      </c>
      <c r="D2606" s="1">
        <v>1</v>
      </c>
      <c r="E2606" s="4"/>
      <c r="F2606" s="1" t="s">
        <v>3132</v>
      </c>
      <c r="G2606" s="4"/>
      <c r="H2606" s="1" t="s">
        <v>2940</v>
      </c>
      <c r="I2606" s="1" t="s">
        <v>3132</v>
      </c>
      <c r="J2606" s="1" t="s">
        <v>3132</v>
      </c>
    </row>
    <row r="2607" spans="1:10" ht="15.75" customHeight="1" x14ac:dyDescent="0.25">
      <c r="A2607" s="3">
        <v>20090106</v>
      </c>
      <c r="B2607" s="5" t="s">
        <v>2648</v>
      </c>
      <c r="C2607" s="20" t="s">
        <v>25</v>
      </c>
      <c r="D2607" s="1">
        <v>3</v>
      </c>
      <c r="F2607" s="1"/>
      <c r="G2607" s="1">
        <v>3</v>
      </c>
      <c r="H2607" s="1" t="s">
        <v>2940</v>
      </c>
      <c r="I2607" s="1" t="s">
        <v>2848</v>
      </c>
    </row>
    <row r="2608" spans="1:10" ht="15.75" customHeight="1" x14ac:dyDescent="0.25">
      <c r="A2608" s="3">
        <v>20090106</v>
      </c>
      <c r="B2608" s="5" t="s">
        <v>2648</v>
      </c>
      <c r="C2608" s="20" t="s">
        <v>11</v>
      </c>
      <c r="D2608" s="1">
        <v>14</v>
      </c>
      <c r="F2608" s="1"/>
      <c r="G2608" s="1">
        <v>14</v>
      </c>
      <c r="H2608" s="1" t="s">
        <v>2940</v>
      </c>
      <c r="I2608" s="1" t="s">
        <v>2700</v>
      </c>
    </row>
    <row r="2609" spans="1:10" ht="15.75" customHeight="1" x14ac:dyDescent="0.25">
      <c r="A2609" s="3">
        <v>20090106</v>
      </c>
      <c r="B2609" s="5" t="s">
        <v>2648</v>
      </c>
      <c r="C2609" s="20" t="s">
        <v>24</v>
      </c>
      <c r="D2609" s="4">
        <f>ROUND(E2609*F2609*1.25,0)</f>
        <v>71</v>
      </c>
      <c r="E2609" s="1">
        <f>ROUND(160/237,2)</f>
        <v>0.68</v>
      </c>
      <c r="F2609" s="1">
        <v>84</v>
      </c>
      <c r="H2609" s="1" t="s">
        <v>2940</v>
      </c>
      <c r="I2609" s="1" t="s">
        <v>2999</v>
      </c>
    </row>
    <row r="2610" spans="1:10" ht="15.75" customHeight="1" x14ac:dyDescent="0.25">
      <c r="A2610" s="16">
        <v>20090106</v>
      </c>
      <c r="B2610" s="20" t="s">
        <v>2648</v>
      </c>
      <c r="C2610" s="20" t="s">
        <v>26</v>
      </c>
      <c r="D2610" s="1">
        <v>10</v>
      </c>
      <c r="F2610" s="1"/>
      <c r="G2610" s="1">
        <v>10</v>
      </c>
      <c r="H2610" s="1" t="s">
        <v>2940</v>
      </c>
    </row>
    <row r="2611" spans="1:10" ht="15.75" customHeight="1" x14ac:dyDescent="0.25">
      <c r="A2611" s="3">
        <v>20090106</v>
      </c>
      <c r="B2611" s="5" t="s">
        <v>2648</v>
      </c>
      <c r="C2611" s="20" t="s">
        <v>29</v>
      </c>
      <c r="D2611" s="1">
        <v>14</v>
      </c>
      <c r="F2611" s="1"/>
      <c r="G2611" s="1">
        <v>14</v>
      </c>
      <c r="H2611" s="1" t="s">
        <v>2940</v>
      </c>
      <c r="I2611" s="1" t="s">
        <v>2739</v>
      </c>
    </row>
    <row r="2612" spans="1:10" ht="15.75" customHeight="1" x14ac:dyDescent="0.25">
      <c r="A2612" s="16">
        <v>20090201</v>
      </c>
      <c r="B2612" s="20" t="s">
        <v>1270</v>
      </c>
      <c r="C2612" s="20" t="s">
        <v>2386</v>
      </c>
      <c r="D2612" s="1">
        <v>20</v>
      </c>
      <c r="F2612" s="1"/>
      <c r="H2612" s="1" t="s">
        <v>3016</v>
      </c>
    </row>
    <row r="2613" spans="1:10" ht="15.75" customHeight="1" x14ac:dyDescent="0.25">
      <c r="A2613" s="3">
        <v>20090201</v>
      </c>
      <c r="B2613" s="5" t="s">
        <v>1266</v>
      </c>
      <c r="C2613" s="20" t="s">
        <v>2383</v>
      </c>
      <c r="D2613" s="1">
        <v>80</v>
      </c>
      <c r="F2613" s="1">
        <v>84</v>
      </c>
      <c r="H2613" s="1" t="s">
        <v>3016</v>
      </c>
      <c r="I2613" s="1" t="s">
        <v>2702</v>
      </c>
    </row>
    <row r="2614" spans="1:10" ht="15.75" customHeight="1" x14ac:dyDescent="0.25">
      <c r="A2614" s="3">
        <v>20090202</v>
      </c>
      <c r="B2614" s="5" t="s">
        <v>1269</v>
      </c>
      <c r="C2614" s="20" t="s">
        <v>2385</v>
      </c>
      <c r="D2614" s="1">
        <v>80</v>
      </c>
      <c r="F2614" s="1">
        <v>84</v>
      </c>
      <c r="H2614" s="1" t="s">
        <v>3016</v>
      </c>
      <c r="I2614" s="1" t="s">
        <v>2702</v>
      </c>
    </row>
    <row r="2615" spans="1:10" ht="15.75" customHeight="1" x14ac:dyDescent="0.25">
      <c r="A2615" s="16">
        <v>20090202</v>
      </c>
      <c r="B2615" s="20" t="s">
        <v>1267</v>
      </c>
      <c r="C2615" s="20" t="s">
        <v>2384</v>
      </c>
      <c r="D2615" s="1">
        <v>20</v>
      </c>
      <c r="F2615" s="1">
        <v>15</v>
      </c>
      <c r="H2615" s="1" t="s">
        <v>3016</v>
      </c>
    </row>
    <row r="2616" spans="1:10" ht="15.75" customHeight="1" x14ac:dyDescent="0.25">
      <c r="A2616" s="3">
        <v>20090203</v>
      </c>
      <c r="B2616" s="5" t="s">
        <v>1268</v>
      </c>
      <c r="C2616" s="20" t="s">
        <v>2385</v>
      </c>
      <c r="D2616" s="1">
        <v>52</v>
      </c>
      <c r="F2616" s="1">
        <v>84</v>
      </c>
      <c r="G2616" s="1">
        <f>13*4</f>
        <v>52</v>
      </c>
      <c r="H2616" s="1" t="s">
        <v>2883</v>
      </c>
      <c r="I2616" s="1" t="s">
        <v>2702</v>
      </c>
    </row>
    <row r="2617" spans="1:10" ht="15.75" customHeight="1" x14ac:dyDescent="0.25">
      <c r="A2617" s="16">
        <v>20090203</v>
      </c>
      <c r="B2617" s="20" t="s">
        <v>2540</v>
      </c>
      <c r="C2617" s="20" t="s">
        <v>2386</v>
      </c>
      <c r="D2617" s="1">
        <v>13</v>
      </c>
      <c r="F2617" s="1">
        <v>15</v>
      </c>
      <c r="G2617" s="1">
        <v>13</v>
      </c>
      <c r="H2617" s="1" t="s">
        <v>2883</v>
      </c>
    </row>
    <row r="2618" spans="1:10" ht="15.75" customHeight="1" x14ac:dyDescent="0.25">
      <c r="A2618" s="16">
        <v>20090204</v>
      </c>
      <c r="B2618" s="20" t="s">
        <v>1273</v>
      </c>
      <c r="C2618" s="20" t="s">
        <v>2388</v>
      </c>
      <c r="D2618" s="1">
        <v>19</v>
      </c>
      <c r="F2618" s="1">
        <v>15</v>
      </c>
      <c r="G2618" s="1">
        <v>19</v>
      </c>
      <c r="H2618" s="1" t="s">
        <v>3015</v>
      </c>
    </row>
    <row r="2619" spans="1:10" ht="15.75" customHeight="1" x14ac:dyDescent="0.25">
      <c r="A2619" s="16">
        <v>20090205</v>
      </c>
      <c r="B2619" s="20" t="s">
        <v>1275</v>
      </c>
      <c r="C2619" s="20" t="s">
        <v>2390</v>
      </c>
      <c r="D2619" s="1">
        <v>19</v>
      </c>
      <c r="F2619" s="1"/>
      <c r="G2619" s="1">
        <v>19</v>
      </c>
      <c r="H2619" s="1" t="s">
        <v>3015</v>
      </c>
    </row>
    <row r="2620" spans="1:10" ht="15.75" customHeight="1" x14ac:dyDescent="0.25">
      <c r="A2620" s="3">
        <v>20090206</v>
      </c>
      <c r="B2620" s="5" t="s">
        <v>1274</v>
      </c>
      <c r="C2620" s="20" t="s">
        <v>2389</v>
      </c>
      <c r="D2620" s="1">
        <v>80</v>
      </c>
      <c r="F2620" s="1">
        <v>84</v>
      </c>
      <c r="G2620" s="1">
        <v>80</v>
      </c>
      <c r="H2620" s="1" t="s">
        <v>3014</v>
      </c>
      <c r="I2620" s="1" t="s">
        <v>2702</v>
      </c>
    </row>
    <row r="2621" spans="1:10" ht="15.75" customHeight="1" x14ac:dyDescent="0.25">
      <c r="A2621" s="16">
        <v>20090206</v>
      </c>
      <c r="B2621" s="20" t="s">
        <v>1271</v>
      </c>
      <c r="C2621" s="20" t="s">
        <v>2386</v>
      </c>
      <c r="D2621" s="1">
        <v>20</v>
      </c>
      <c r="F2621" s="1"/>
      <c r="G2621" s="1">
        <v>20</v>
      </c>
      <c r="H2621" s="1" t="s">
        <v>3014</v>
      </c>
    </row>
    <row r="2622" spans="1:10" ht="15.75" customHeight="1" x14ac:dyDescent="0.25">
      <c r="A2622" s="3">
        <v>20090207</v>
      </c>
      <c r="B2622" s="5" t="s">
        <v>1272</v>
      </c>
      <c r="C2622" s="20" t="s">
        <v>2387</v>
      </c>
      <c r="D2622" s="1">
        <v>60</v>
      </c>
      <c r="F2622" s="1">
        <v>84</v>
      </c>
      <c r="G2622" s="1">
        <v>60</v>
      </c>
      <c r="H2622" s="1" t="s">
        <v>3013</v>
      </c>
      <c r="I2622" s="1" t="s">
        <v>2702</v>
      </c>
    </row>
    <row r="2623" spans="1:10" ht="15.75" customHeight="1" x14ac:dyDescent="0.25">
      <c r="A2623" s="16">
        <v>20090207</v>
      </c>
      <c r="B2623" s="20" t="s">
        <v>1276</v>
      </c>
      <c r="C2623" s="20" t="s">
        <v>2390</v>
      </c>
      <c r="D2623" s="1">
        <v>15</v>
      </c>
      <c r="F2623" s="1"/>
      <c r="G2623" s="1">
        <v>15</v>
      </c>
      <c r="H2623" s="1" t="s">
        <v>3013</v>
      </c>
    </row>
    <row r="2624" spans="1:10" ht="15.75" customHeight="1" x14ac:dyDescent="0.25">
      <c r="A2624" s="3">
        <v>20990001</v>
      </c>
      <c r="B2624" s="5" t="s">
        <v>3119</v>
      </c>
      <c r="C2624" s="20" t="s">
        <v>25</v>
      </c>
      <c r="D2624" s="1">
        <v>7</v>
      </c>
      <c r="E2624" s="4"/>
      <c r="F2624" s="1" t="s">
        <v>3132</v>
      </c>
      <c r="G2624" s="4">
        <v>7</v>
      </c>
      <c r="H2624" s="1" t="s">
        <v>3152</v>
      </c>
      <c r="I2624" s="1" t="s">
        <v>3199</v>
      </c>
      <c r="J2624" s="1" t="s">
        <v>3132</v>
      </c>
    </row>
    <row r="2625" spans="1:10" ht="15.75" customHeight="1" x14ac:dyDescent="0.25">
      <c r="A2625" s="3">
        <v>20990001</v>
      </c>
      <c r="B2625" s="5" t="s">
        <v>3119</v>
      </c>
      <c r="C2625" s="20" t="s">
        <v>24</v>
      </c>
      <c r="D2625" s="4">
        <f>ROUND(E2625*F2625*1.25,0)</f>
        <v>68</v>
      </c>
      <c r="E2625" s="10">
        <v>0.65</v>
      </c>
      <c r="F2625" s="1">
        <v>84</v>
      </c>
      <c r="H2625" s="1" t="s">
        <v>3176</v>
      </c>
      <c r="I2625" s="1" t="s">
        <v>2999</v>
      </c>
      <c r="J2625" s="1" t="s">
        <v>3132</v>
      </c>
    </row>
    <row r="2626" spans="1:10" ht="15.75" customHeight="1" x14ac:dyDescent="0.25">
      <c r="A2626" s="3">
        <v>20990001</v>
      </c>
      <c r="B2626" s="5" t="s">
        <v>3119</v>
      </c>
      <c r="C2626" s="20" t="s">
        <v>27</v>
      </c>
      <c r="D2626" s="4">
        <f>ROUND(E2626*F2626*1.25,0)</f>
        <v>106</v>
      </c>
      <c r="E2626" s="10">
        <v>0.65</v>
      </c>
      <c r="F2626" s="1">
        <v>130</v>
      </c>
      <c r="H2626" s="1" t="s">
        <v>3176</v>
      </c>
      <c r="I2626" s="1" t="s">
        <v>2999</v>
      </c>
      <c r="J2626" s="1" t="s">
        <v>3132</v>
      </c>
    </row>
    <row r="2627" spans="1:10" ht="15.75" customHeight="1" x14ac:dyDescent="0.25">
      <c r="A2627" s="16">
        <v>20990001</v>
      </c>
      <c r="B2627" s="20" t="s">
        <v>3119</v>
      </c>
      <c r="C2627" s="20" t="s">
        <v>26</v>
      </c>
      <c r="D2627" s="1">
        <v>17</v>
      </c>
      <c r="E2627" s="4"/>
      <c r="F2627" s="1" t="s">
        <v>3132</v>
      </c>
      <c r="G2627" s="4">
        <v>17</v>
      </c>
      <c r="H2627" s="1" t="s">
        <v>3152</v>
      </c>
      <c r="I2627" s="1" t="s">
        <v>3199</v>
      </c>
      <c r="J2627" s="1" t="s">
        <v>3132</v>
      </c>
    </row>
    <row r="2628" spans="1:10" ht="15.75" customHeight="1" x14ac:dyDescent="0.25">
      <c r="A2628" s="3">
        <v>20990002</v>
      </c>
      <c r="B2628" s="5" t="s">
        <v>3120</v>
      </c>
      <c r="C2628" s="20" t="s">
        <v>11</v>
      </c>
      <c r="D2628" s="4">
        <f>ROUND(E2628*F2628*1.25,0)</f>
        <v>20</v>
      </c>
      <c r="E2628" s="10">
        <v>1.04</v>
      </c>
      <c r="F2628" s="1">
        <v>15</v>
      </c>
      <c r="H2628" s="1" t="s">
        <v>3196</v>
      </c>
      <c r="I2628" s="1" t="s">
        <v>2700</v>
      </c>
    </row>
    <row r="2629" spans="1:10" ht="15.75" customHeight="1" x14ac:dyDescent="0.25">
      <c r="A2629" s="3">
        <v>20990002</v>
      </c>
      <c r="B2629" s="5" t="s">
        <v>3120</v>
      </c>
      <c r="C2629" s="20" t="s">
        <v>24</v>
      </c>
      <c r="D2629" s="4">
        <f>ROUND(E2629*F2629*1.25,0)</f>
        <v>109</v>
      </c>
      <c r="E2629" s="10">
        <v>1.04</v>
      </c>
      <c r="F2629" s="1">
        <v>84</v>
      </c>
      <c r="H2629" s="1" t="s">
        <v>3196</v>
      </c>
      <c r="I2629" s="1" t="s">
        <v>2999</v>
      </c>
    </row>
    <row r="2630" spans="1:10" ht="15.75" customHeight="1" x14ac:dyDescent="0.25">
      <c r="A2630" s="3">
        <v>20990002</v>
      </c>
      <c r="B2630" s="5" t="s">
        <v>3120</v>
      </c>
      <c r="C2630" s="20" t="s">
        <v>27</v>
      </c>
      <c r="D2630" s="4">
        <f>ROUND(E2630*F2630*1.25,0)</f>
        <v>169</v>
      </c>
      <c r="E2630" s="10">
        <v>1.04</v>
      </c>
      <c r="F2630" s="1">
        <v>130</v>
      </c>
      <c r="H2630" s="1" t="s">
        <v>3196</v>
      </c>
      <c r="I2630" s="1" t="s">
        <v>2999</v>
      </c>
    </row>
    <row r="2631" spans="1:10" ht="15.75" customHeight="1" x14ac:dyDescent="0.25">
      <c r="A2631" s="16">
        <v>20990002</v>
      </c>
      <c r="B2631" s="20" t="s">
        <v>3120</v>
      </c>
      <c r="C2631" s="20" t="s">
        <v>26</v>
      </c>
      <c r="D2631" s="4">
        <f>ROUND(E2631*F2631*1.25,0)</f>
        <v>20</v>
      </c>
      <c r="E2631" s="10">
        <v>1.04</v>
      </c>
      <c r="F2631" s="1">
        <v>15</v>
      </c>
      <c r="H2631" s="1" t="s">
        <v>3196</v>
      </c>
      <c r="I2631" s="1" t="s">
        <v>2999</v>
      </c>
    </row>
    <row r="2632" spans="1:10" ht="15.75" customHeight="1" x14ac:dyDescent="0.25">
      <c r="A2632" s="3">
        <v>20990003</v>
      </c>
      <c r="B2632" s="5" t="s">
        <v>3121</v>
      </c>
      <c r="C2632" s="20" t="s">
        <v>24</v>
      </c>
      <c r="D2632" s="4">
        <f>ROUND(E2632*F2632*1.25,0)</f>
        <v>68</v>
      </c>
      <c r="E2632" s="10">
        <v>0.65</v>
      </c>
      <c r="F2632" s="1">
        <v>84</v>
      </c>
      <c r="H2632" s="1" t="s">
        <v>3176</v>
      </c>
      <c r="I2632" s="1" t="s">
        <v>2999</v>
      </c>
      <c r="J2632" s="1" t="s">
        <v>3132</v>
      </c>
    </row>
    <row r="2633" spans="1:10" ht="15.75" customHeight="1" x14ac:dyDescent="0.25">
      <c r="A2633" s="16">
        <v>20990003</v>
      </c>
      <c r="B2633" s="20" t="s">
        <v>3121</v>
      </c>
      <c r="C2633" s="20" t="s">
        <v>26</v>
      </c>
      <c r="D2633" s="1">
        <v>17</v>
      </c>
      <c r="E2633" s="4"/>
      <c r="F2633" s="1" t="s">
        <v>3132</v>
      </c>
      <c r="G2633" s="4">
        <v>17</v>
      </c>
      <c r="H2633" s="1" t="s">
        <v>3152</v>
      </c>
      <c r="I2633" s="1" t="s">
        <v>3199</v>
      </c>
      <c r="J2633" s="1" t="s">
        <v>3132</v>
      </c>
    </row>
    <row r="2634" spans="1:10" ht="15.75" customHeight="1" x14ac:dyDescent="0.25">
      <c r="A2634" s="3">
        <v>20990004</v>
      </c>
      <c r="B2634" s="20" t="s">
        <v>3122</v>
      </c>
      <c r="C2634" s="20" t="s">
        <v>27</v>
      </c>
      <c r="D2634" s="4">
        <f>ROUND(F2634*E2634,0)</f>
        <v>129</v>
      </c>
      <c r="E2634" s="10">
        <v>0.99</v>
      </c>
      <c r="F2634" s="1">
        <v>130</v>
      </c>
      <c r="G2634" s="4"/>
      <c r="H2634" s="1" t="s">
        <v>3132</v>
      </c>
      <c r="I2634" s="1" t="s">
        <v>3132</v>
      </c>
      <c r="J2634" s="1" t="s">
        <v>3132</v>
      </c>
    </row>
    <row r="2635" spans="1:10" ht="15.75" customHeight="1" x14ac:dyDescent="0.25">
      <c r="A2635" s="3">
        <v>20990004</v>
      </c>
      <c r="B2635" s="20" t="s">
        <v>3122</v>
      </c>
      <c r="C2635" s="20" t="s">
        <v>30</v>
      </c>
      <c r="D2635" s="1">
        <f>ROUND(F2635*E2635,0)</f>
        <v>176</v>
      </c>
      <c r="E2635" s="10">
        <v>0.99</v>
      </c>
      <c r="F2635" s="1">
        <v>177.5</v>
      </c>
      <c r="G2635" s="4"/>
      <c r="H2635" s="1" t="s">
        <v>3132</v>
      </c>
      <c r="I2635" s="1" t="s">
        <v>3132</v>
      </c>
      <c r="J2635" s="1" t="s">
        <v>3132</v>
      </c>
    </row>
    <row r="2636" spans="1:10" ht="15.75" customHeight="1" x14ac:dyDescent="0.25">
      <c r="A2636" s="3">
        <v>20990004</v>
      </c>
      <c r="B2636" s="20" t="s">
        <v>3122</v>
      </c>
      <c r="C2636" s="20" t="s">
        <v>28</v>
      </c>
      <c r="D2636" s="1">
        <f>ROUND(F2636*E2636,0)</f>
        <v>327</v>
      </c>
      <c r="E2636" s="10">
        <v>0.99</v>
      </c>
      <c r="F2636" s="1">
        <v>330</v>
      </c>
      <c r="G2636" s="4"/>
      <c r="H2636" s="1" t="s">
        <v>3132</v>
      </c>
      <c r="I2636" s="1" t="s">
        <v>3132</v>
      </c>
      <c r="J2636" s="1" t="s">
        <v>3132</v>
      </c>
    </row>
    <row r="2637" spans="1:10" ht="15.75" customHeight="1" x14ac:dyDescent="0.25">
      <c r="A2637" s="3">
        <v>20990005</v>
      </c>
      <c r="B2637" s="5" t="s">
        <v>3123</v>
      </c>
      <c r="C2637" s="20" t="s">
        <v>24</v>
      </c>
      <c r="D2637" s="1">
        <f>ROUND(E2637*F2637*1.25,0)</f>
        <v>88</v>
      </c>
      <c r="E2637" s="10">
        <v>0.84</v>
      </c>
      <c r="F2637" s="1">
        <v>84</v>
      </c>
      <c r="G2637" s="4"/>
      <c r="H2637" s="1" t="s">
        <v>3151</v>
      </c>
      <c r="I2637" s="1" t="s">
        <v>3155</v>
      </c>
      <c r="J2637" s="1" t="s">
        <v>3132</v>
      </c>
    </row>
    <row r="2638" spans="1:10" ht="15.75" customHeight="1" x14ac:dyDescent="0.25">
      <c r="A2638" s="16">
        <v>20990005</v>
      </c>
      <c r="B2638" s="20" t="s">
        <v>3123</v>
      </c>
      <c r="C2638" s="20" t="s">
        <v>26</v>
      </c>
      <c r="D2638" s="1">
        <v>16</v>
      </c>
      <c r="E2638" s="4"/>
      <c r="F2638" s="1" t="s">
        <v>3132</v>
      </c>
      <c r="G2638" s="4">
        <v>16</v>
      </c>
      <c r="H2638" s="1" t="s">
        <v>3152</v>
      </c>
      <c r="I2638" s="1" t="s">
        <v>3154</v>
      </c>
      <c r="J2638" s="1" t="s">
        <v>3132</v>
      </c>
    </row>
    <row r="2639" spans="1:10" ht="15.75" customHeight="1" x14ac:dyDescent="0.25">
      <c r="A2639" s="16">
        <v>20990006</v>
      </c>
      <c r="B2639" s="20" t="s">
        <v>3124</v>
      </c>
      <c r="C2639" s="20" t="s">
        <v>19</v>
      </c>
      <c r="D2639" s="1">
        <v>68</v>
      </c>
      <c r="E2639" s="4"/>
      <c r="F2639" s="1" t="s">
        <v>3132</v>
      </c>
      <c r="G2639" s="4">
        <v>68</v>
      </c>
      <c r="H2639" s="1" t="s">
        <v>3152</v>
      </c>
      <c r="I2639" s="1" t="s">
        <v>2702</v>
      </c>
      <c r="J2639" s="1" t="s">
        <v>3132</v>
      </c>
    </row>
    <row r="2640" spans="1:10" ht="15.75" customHeight="1" x14ac:dyDescent="0.25">
      <c r="A2640" s="16">
        <v>20990006</v>
      </c>
      <c r="B2640" s="20" t="s">
        <v>3124</v>
      </c>
      <c r="C2640" s="20" t="s">
        <v>12</v>
      </c>
      <c r="D2640" s="4">
        <v>34</v>
      </c>
    </row>
    <row r="2641" spans="1:10" ht="15.75" customHeight="1" x14ac:dyDescent="0.25">
      <c r="A2641" s="3">
        <v>20990006</v>
      </c>
      <c r="B2641" s="5" t="s">
        <v>3124</v>
      </c>
      <c r="C2641" s="20" t="s">
        <v>24</v>
      </c>
      <c r="D2641" s="4">
        <f>ROUND(E2641*F2641*1.25,0)</f>
        <v>68</v>
      </c>
      <c r="E2641" s="10">
        <v>0.65</v>
      </c>
      <c r="F2641" s="1">
        <v>84</v>
      </c>
      <c r="H2641" s="1" t="s">
        <v>3176</v>
      </c>
      <c r="I2641" s="1" t="s">
        <v>2999</v>
      </c>
      <c r="J2641" s="1" t="s">
        <v>3132</v>
      </c>
    </row>
    <row r="2642" spans="1:10" ht="15.75" customHeight="1" x14ac:dyDescent="0.25">
      <c r="A2642" s="16">
        <v>20990006</v>
      </c>
      <c r="B2642" s="20" t="s">
        <v>3124</v>
      </c>
      <c r="C2642" s="20" t="s">
        <v>26</v>
      </c>
      <c r="D2642" s="1">
        <v>17</v>
      </c>
      <c r="E2642" s="4"/>
      <c r="F2642" s="1" t="s">
        <v>3132</v>
      </c>
      <c r="G2642" s="4">
        <v>17</v>
      </c>
      <c r="H2642" s="1" t="s">
        <v>3152</v>
      </c>
      <c r="I2642" s="1" t="s">
        <v>3199</v>
      </c>
      <c r="J2642" s="1" t="s">
        <v>3132</v>
      </c>
    </row>
    <row r="2643" spans="1:10" ht="15.75" customHeight="1" x14ac:dyDescent="0.25">
      <c r="A2643" s="3">
        <v>20990007</v>
      </c>
      <c r="B2643" s="5" t="s">
        <v>3125</v>
      </c>
      <c r="C2643" s="20" t="s">
        <v>24</v>
      </c>
      <c r="D2643" s="4">
        <f>ROUND(E2643*F2643*1.25,0)</f>
        <v>109</v>
      </c>
      <c r="E2643" s="10">
        <v>1.04</v>
      </c>
      <c r="F2643" s="1">
        <v>84</v>
      </c>
      <c r="H2643" s="1" t="s">
        <v>3196</v>
      </c>
      <c r="I2643" s="1" t="s">
        <v>2999</v>
      </c>
    </row>
    <row r="2644" spans="1:10" ht="15.75" customHeight="1" x14ac:dyDescent="0.25">
      <c r="A2644" s="16">
        <v>20990007</v>
      </c>
      <c r="B2644" s="20" t="s">
        <v>3125</v>
      </c>
      <c r="C2644" s="20" t="s">
        <v>26</v>
      </c>
      <c r="D2644" s="4">
        <f>ROUND(E2644*F2644*1.25,0)</f>
        <v>20</v>
      </c>
      <c r="E2644" s="10">
        <v>1.04</v>
      </c>
      <c r="F2644" s="1">
        <v>15</v>
      </c>
      <c r="H2644" s="1" t="s">
        <v>3196</v>
      </c>
      <c r="I2644" s="1" t="s">
        <v>2999</v>
      </c>
    </row>
    <row r="2645" spans="1:10" ht="15.75" customHeight="1" x14ac:dyDescent="0.25">
      <c r="A2645" s="3">
        <v>20990008</v>
      </c>
      <c r="B2645" s="5" t="s">
        <v>3126</v>
      </c>
      <c r="C2645" s="20" t="s">
        <v>27</v>
      </c>
      <c r="D2645" s="4">
        <f>ROUND(E2645*F2645*1.25,0)</f>
        <v>106</v>
      </c>
      <c r="E2645" s="10">
        <v>0.65</v>
      </c>
      <c r="F2645" s="1">
        <v>130</v>
      </c>
      <c r="H2645" s="1" t="s">
        <v>3176</v>
      </c>
      <c r="I2645" s="1" t="s">
        <v>2999</v>
      </c>
      <c r="J2645" s="1" t="s">
        <v>3132</v>
      </c>
    </row>
    <row r="2646" spans="1:10" ht="15.75" customHeight="1" x14ac:dyDescent="0.25">
      <c r="A2646" s="3">
        <v>20990008</v>
      </c>
      <c r="B2646" s="5" t="s">
        <v>3126</v>
      </c>
      <c r="C2646" s="20" t="s">
        <v>25</v>
      </c>
      <c r="D2646" s="1">
        <v>7</v>
      </c>
      <c r="E2646" s="4"/>
      <c r="F2646" s="1" t="s">
        <v>3132</v>
      </c>
      <c r="G2646" s="4">
        <v>7</v>
      </c>
      <c r="H2646" s="1" t="s">
        <v>3152</v>
      </c>
      <c r="I2646" s="1" t="s">
        <v>3199</v>
      </c>
      <c r="J2646" s="1" t="s">
        <v>3132</v>
      </c>
    </row>
    <row r="2647" spans="1:10" ht="15.75" customHeight="1" x14ac:dyDescent="0.25">
      <c r="A2647" s="3">
        <v>20990008</v>
      </c>
      <c r="B2647" s="5" t="s">
        <v>3126</v>
      </c>
      <c r="C2647" s="20" t="s">
        <v>24</v>
      </c>
      <c r="D2647" s="4">
        <f>ROUND(E2647*F2647*1.25,0)</f>
        <v>68</v>
      </c>
      <c r="E2647" s="10">
        <v>0.65</v>
      </c>
      <c r="F2647" s="1">
        <v>84</v>
      </c>
      <c r="H2647" s="1" t="s">
        <v>3176</v>
      </c>
      <c r="I2647" s="1" t="s">
        <v>2999</v>
      </c>
      <c r="J2647" s="1" t="s">
        <v>3132</v>
      </c>
    </row>
    <row r="2648" spans="1:10" ht="15.75" customHeight="1" x14ac:dyDescent="0.25">
      <c r="A2648" s="16">
        <v>20990008</v>
      </c>
      <c r="B2648" s="20" t="s">
        <v>3126</v>
      </c>
      <c r="C2648" s="20" t="s">
        <v>26</v>
      </c>
      <c r="D2648" s="1">
        <v>17</v>
      </c>
      <c r="E2648" s="4"/>
      <c r="F2648" s="1" t="s">
        <v>3132</v>
      </c>
      <c r="G2648" s="4">
        <v>17</v>
      </c>
      <c r="H2648" s="1" t="s">
        <v>3152</v>
      </c>
      <c r="I2648" s="1" t="s">
        <v>3199</v>
      </c>
      <c r="J2648" s="1" t="s">
        <v>3132</v>
      </c>
    </row>
    <row r="2649" spans="1:10" ht="15.75" customHeight="1" x14ac:dyDescent="0.25">
      <c r="A2649" s="3">
        <v>20990009</v>
      </c>
      <c r="B2649" s="5" t="s">
        <v>3127</v>
      </c>
      <c r="C2649" s="20" t="s">
        <v>25</v>
      </c>
      <c r="D2649" s="4">
        <f t="shared" ref="D2649:D2656" si="59">ROUND(E2649*F2649*1.25,0)</f>
        <v>7</v>
      </c>
      <c r="E2649" s="10">
        <v>1.04</v>
      </c>
      <c r="F2649" s="1">
        <v>5</v>
      </c>
      <c r="H2649" s="1" t="s">
        <v>3196</v>
      </c>
      <c r="I2649" s="1" t="s">
        <v>2999</v>
      </c>
    </row>
    <row r="2650" spans="1:10" ht="15.75" customHeight="1" x14ac:dyDescent="0.25">
      <c r="A2650" s="3">
        <v>20990009</v>
      </c>
      <c r="B2650" s="5" t="s">
        <v>3127</v>
      </c>
      <c r="C2650" s="20" t="s">
        <v>11</v>
      </c>
      <c r="D2650" s="4">
        <f t="shared" si="59"/>
        <v>20</v>
      </c>
      <c r="E2650" s="10">
        <v>1.04</v>
      </c>
      <c r="F2650" s="1">
        <v>15</v>
      </c>
      <c r="H2650" s="1" t="s">
        <v>3196</v>
      </c>
      <c r="I2650" s="1" t="s">
        <v>2700</v>
      </c>
    </row>
    <row r="2651" spans="1:10" ht="15.75" customHeight="1" x14ac:dyDescent="0.25">
      <c r="A2651" s="3">
        <v>20990009</v>
      </c>
      <c r="B2651" s="5" t="s">
        <v>3127</v>
      </c>
      <c r="C2651" s="20" t="s">
        <v>24</v>
      </c>
      <c r="D2651" s="4">
        <f t="shared" si="59"/>
        <v>109</v>
      </c>
      <c r="E2651" s="10">
        <v>1.04</v>
      </c>
      <c r="F2651" s="1">
        <v>84</v>
      </c>
      <c r="H2651" s="1" t="s">
        <v>3196</v>
      </c>
      <c r="I2651" s="1" t="s">
        <v>2999</v>
      </c>
    </row>
    <row r="2652" spans="1:10" ht="15.75" customHeight="1" x14ac:dyDescent="0.25">
      <c r="A2652" s="16">
        <v>20990009</v>
      </c>
      <c r="B2652" s="20" t="s">
        <v>3127</v>
      </c>
      <c r="C2652" s="20" t="s">
        <v>26</v>
      </c>
      <c r="D2652" s="4">
        <f t="shared" si="59"/>
        <v>20</v>
      </c>
      <c r="E2652" s="10">
        <v>1.04</v>
      </c>
      <c r="F2652" s="1">
        <v>15</v>
      </c>
      <c r="H2652" s="1" t="s">
        <v>3196</v>
      </c>
      <c r="I2652" s="1" t="s">
        <v>2999</v>
      </c>
    </row>
    <row r="2653" spans="1:10" ht="15.75" customHeight="1" x14ac:dyDescent="0.25">
      <c r="A2653" s="16">
        <v>20990010</v>
      </c>
      <c r="B2653" s="20" t="s">
        <v>3128</v>
      </c>
      <c r="C2653" s="20" t="s">
        <v>12</v>
      </c>
      <c r="D2653" s="4">
        <f t="shared" si="59"/>
        <v>39</v>
      </c>
      <c r="E2653" s="10">
        <v>1.04</v>
      </c>
      <c r="F2653" s="1">
        <v>30</v>
      </c>
      <c r="H2653" s="1" t="s">
        <v>3196</v>
      </c>
      <c r="I2653" s="1" t="s">
        <v>2701</v>
      </c>
    </row>
    <row r="2654" spans="1:10" ht="15.75" customHeight="1" x14ac:dyDescent="0.25">
      <c r="A2654" s="16">
        <v>20990010</v>
      </c>
      <c r="B2654" s="20" t="s">
        <v>3128</v>
      </c>
      <c r="C2654" s="20" t="s">
        <v>26</v>
      </c>
      <c r="D2654" s="4">
        <f t="shared" si="59"/>
        <v>20</v>
      </c>
      <c r="E2654" s="10">
        <v>1.04</v>
      </c>
      <c r="F2654" s="1">
        <v>15</v>
      </c>
      <c r="H2654" s="1" t="s">
        <v>3196</v>
      </c>
      <c r="I2654" s="1" t="s">
        <v>2999</v>
      </c>
    </row>
    <row r="2655" spans="1:10" ht="15.75" customHeight="1" x14ac:dyDescent="0.25">
      <c r="A2655" s="3">
        <v>20990010</v>
      </c>
      <c r="B2655" s="5" t="s">
        <v>3128</v>
      </c>
      <c r="C2655" s="20" t="s">
        <v>24</v>
      </c>
      <c r="D2655" s="4">
        <f t="shared" si="59"/>
        <v>109</v>
      </c>
      <c r="E2655" s="10">
        <v>1.04</v>
      </c>
      <c r="F2655" s="1">
        <v>84</v>
      </c>
      <c r="H2655" s="1" t="s">
        <v>3196</v>
      </c>
      <c r="I2655" s="1" t="s">
        <v>2999</v>
      </c>
    </row>
    <row r="2656" spans="1:10" ht="15.75" customHeight="1" x14ac:dyDescent="0.25">
      <c r="A2656" s="3">
        <v>20990011</v>
      </c>
      <c r="B2656" s="5" t="s">
        <v>3129</v>
      </c>
      <c r="C2656" s="20" t="s">
        <v>24</v>
      </c>
      <c r="D2656" s="4">
        <f t="shared" si="59"/>
        <v>71</v>
      </c>
      <c r="E2656" s="1">
        <v>0.68</v>
      </c>
      <c r="F2656" s="1">
        <v>84</v>
      </c>
      <c r="H2656" s="1" t="s">
        <v>3188</v>
      </c>
      <c r="I2656" s="1" t="s">
        <v>2999</v>
      </c>
      <c r="J2656" s="1" t="s">
        <v>3132</v>
      </c>
    </row>
    <row r="2657" spans="1:10" ht="15.75" customHeight="1" x14ac:dyDescent="0.25">
      <c r="A2657" s="16">
        <v>20990011</v>
      </c>
      <c r="B2657" s="20" t="s">
        <v>3129</v>
      </c>
      <c r="C2657" s="20" t="s">
        <v>26</v>
      </c>
      <c r="D2657" s="4">
        <v>14</v>
      </c>
      <c r="F2657" s="1"/>
      <c r="G2657" s="1">
        <v>14</v>
      </c>
      <c r="H2657" s="1" t="s">
        <v>3152</v>
      </c>
      <c r="I2657" s="1" t="s">
        <v>3186</v>
      </c>
      <c r="J2657" s="1" t="s">
        <v>3132</v>
      </c>
    </row>
    <row r="2658" spans="1:10" ht="15.75" customHeight="1" x14ac:dyDescent="0.25">
      <c r="A2658" s="3">
        <v>20990012</v>
      </c>
      <c r="B2658" s="5" t="s">
        <v>3130</v>
      </c>
      <c r="C2658" s="20" t="s">
        <v>27</v>
      </c>
      <c r="D2658" s="4">
        <f>ROUND(E2658*F2658*1.25,0)</f>
        <v>102</v>
      </c>
      <c r="E2658" s="1">
        <v>0.625</v>
      </c>
      <c r="F2658" s="1">
        <v>130</v>
      </c>
      <c r="G2658" s="4"/>
      <c r="H2658" s="1" t="s">
        <v>3200</v>
      </c>
      <c r="I2658" s="1" t="s">
        <v>2999</v>
      </c>
    </row>
    <row r="2659" spans="1:10" ht="15.75" customHeight="1" x14ac:dyDescent="0.25">
      <c r="A2659" s="3">
        <v>20990012</v>
      </c>
      <c r="B2659" s="5" t="s">
        <v>3130</v>
      </c>
      <c r="C2659" s="20" t="s">
        <v>24</v>
      </c>
      <c r="D2659" s="4">
        <f>ROUND(E2659*F2659*1.25,0)</f>
        <v>66</v>
      </c>
      <c r="E2659" s="1">
        <v>0.625</v>
      </c>
      <c r="F2659" s="1">
        <v>84</v>
      </c>
      <c r="G2659" s="4"/>
      <c r="H2659" s="1" t="s">
        <v>3200</v>
      </c>
      <c r="I2659" s="1" t="s">
        <v>2999</v>
      </c>
    </row>
    <row r="2660" spans="1:10" ht="15.75" customHeight="1" x14ac:dyDescent="0.25">
      <c r="A2660" s="16">
        <v>20990012</v>
      </c>
      <c r="B2660" s="20" t="s">
        <v>3130</v>
      </c>
      <c r="C2660" s="20" t="s">
        <v>13</v>
      </c>
      <c r="D2660" s="4">
        <f>G2660</f>
        <v>68</v>
      </c>
      <c r="E2660" s="4"/>
      <c r="F2660" s="1" t="s">
        <v>3132</v>
      </c>
      <c r="G2660" s="4">
        <f>17*4</f>
        <v>68</v>
      </c>
      <c r="H2660" s="1" t="s">
        <v>3152</v>
      </c>
      <c r="I2660" s="1" t="s">
        <v>3199</v>
      </c>
      <c r="J2660" s="1" t="s">
        <v>3132</v>
      </c>
    </row>
    <row r="2661" spans="1:10" ht="15.75" customHeight="1" x14ac:dyDescent="0.25">
      <c r="A2661" s="16">
        <v>20990012</v>
      </c>
      <c r="B2661" s="20" t="s">
        <v>3130</v>
      </c>
      <c r="C2661" s="20" t="s">
        <v>26</v>
      </c>
      <c r="D2661" s="1">
        <v>17</v>
      </c>
      <c r="E2661" s="4"/>
      <c r="F2661" s="1" t="s">
        <v>3132</v>
      </c>
      <c r="G2661" s="4"/>
      <c r="H2661" s="1" t="s">
        <v>3152</v>
      </c>
      <c r="I2661" s="1" t="s">
        <v>3199</v>
      </c>
      <c r="J2661" s="1" t="s">
        <v>3132</v>
      </c>
    </row>
    <row r="2662" spans="1:10" ht="15.75" customHeight="1" x14ac:dyDescent="0.25">
      <c r="A2662" s="3">
        <v>20990012</v>
      </c>
      <c r="B2662" s="5" t="s">
        <v>3130</v>
      </c>
      <c r="C2662" s="20" t="s">
        <v>11</v>
      </c>
      <c r="D2662" s="1">
        <v>17</v>
      </c>
      <c r="E2662" s="4"/>
      <c r="F2662" s="1" t="s">
        <v>3132</v>
      </c>
      <c r="G2662" s="4">
        <v>17</v>
      </c>
      <c r="H2662" s="1" t="s">
        <v>3152</v>
      </c>
      <c r="I2662" s="1" t="s">
        <v>3199</v>
      </c>
      <c r="J2662" s="1" t="s">
        <v>3132</v>
      </c>
    </row>
    <row r="2663" spans="1:10" ht="15.75" customHeight="1" x14ac:dyDescent="0.25">
      <c r="A2663" s="16">
        <v>20990013</v>
      </c>
      <c r="B2663" s="20" t="s">
        <v>3131</v>
      </c>
      <c r="C2663" s="20" t="s">
        <v>13</v>
      </c>
      <c r="D2663" s="4">
        <f t="shared" ref="D2663:D2668" si="60">ROUND(E2663*F2663*1.25,0)</f>
        <v>78</v>
      </c>
      <c r="E2663" s="10">
        <v>1.04</v>
      </c>
      <c r="F2663" s="1">
        <v>60</v>
      </c>
      <c r="G2663" s="4"/>
      <c r="H2663" s="1" t="s">
        <v>3196</v>
      </c>
      <c r="I2663" s="1" t="s">
        <v>2702</v>
      </c>
    </row>
    <row r="2664" spans="1:10" ht="15.75" customHeight="1" x14ac:dyDescent="0.25">
      <c r="A2664" s="3">
        <v>20990013</v>
      </c>
      <c r="B2664" s="5" t="s">
        <v>3131</v>
      </c>
      <c r="C2664" s="20" t="s">
        <v>11</v>
      </c>
      <c r="D2664" s="4">
        <f t="shared" si="60"/>
        <v>20</v>
      </c>
      <c r="E2664" s="10">
        <v>1.04</v>
      </c>
      <c r="F2664" s="1">
        <v>15</v>
      </c>
      <c r="H2664" s="1" t="s">
        <v>3196</v>
      </c>
      <c r="I2664" s="1" t="s">
        <v>2700</v>
      </c>
    </row>
    <row r="2665" spans="1:10" ht="15.75" customHeight="1" x14ac:dyDescent="0.25">
      <c r="A2665" s="16">
        <v>20990013</v>
      </c>
      <c r="B2665" s="20" t="s">
        <v>3131</v>
      </c>
      <c r="C2665" s="20" t="s">
        <v>12</v>
      </c>
      <c r="D2665" s="4">
        <f t="shared" si="60"/>
        <v>39</v>
      </c>
      <c r="E2665" s="10">
        <v>1.04</v>
      </c>
      <c r="F2665" s="1">
        <v>30</v>
      </c>
      <c r="H2665" s="1" t="s">
        <v>3196</v>
      </c>
      <c r="I2665" s="1" t="s">
        <v>2701</v>
      </c>
    </row>
    <row r="2666" spans="1:10" ht="15.75" customHeight="1" x14ac:dyDescent="0.25">
      <c r="A2666" s="3">
        <v>20990013</v>
      </c>
      <c r="B2666" s="5" t="s">
        <v>3131</v>
      </c>
      <c r="C2666" s="20" t="s">
        <v>27</v>
      </c>
      <c r="D2666" s="4">
        <f t="shared" si="60"/>
        <v>169</v>
      </c>
      <c r="E2666" s="10">
        <v>1.04</v>
      </c>
      <c r="F2666" s="1">
        <v>130</v>
      </c>
      <c r="H2666" s="1" t="s">
        <v>3196</v>
      </c>
      <c r="I2666" s="1" t="s">
        <v>2999</v>
      </c>
    </row>
    <row r="2667" spans="1:10" ht="15.75" customHeight="1" x14ac:dyDescent="0.25">
      <c r="A2667" s="16">
        <v>20990013</v>
      </c>
      <c r="B2667" s="20" t="s">
        <v>3131</v>
      </c>
      <c r="C2667" s="20" t="s">
        <v>26</v>
      </c>
      <c r="D2667" s="4">
        <f t="shared" si="60"/>
        <v>20</v>
      </c>
      <c r="E2667" s="10">
        <v>1.04</v>
      </c>
      <c r="F2667" s="1">
        <v>15</v>
      </c>
      <c r="H2667" s="1" t="s">
        <v>3196</v>
      </c>
      <c r="I2667" s="1" t="s">
        <v>2999</v>
      </c>
    </row>
    <row r="2668" spans="1:10" ht="15.75" customHeight="1" x14ac:dyDescent="0.25">
      <c r="A2668" s="3">
        <v>20990013</v>
      </c>
      <c r="B2668" s="5" t="s">
        <v>3131</v>
      </c>
      <c r="C2668" s="20" t="s">
        <v>24</v>
      </c>
      <c r="D2668" s="4">
        <f t="shared" si="60"/>
        <v>109</v>
      </c>
      <c r="E2668" s="10">
        <v>1.04</v>
      </c>
      <c r="F2668" s="1">
        <v>84</v>
      </c>
      <c r="H2668" s="1" t="s">
        <v>3196</v>
      </c>
      <c r="I2668" s="1" t="s">
        <v>2999</v>
      </c>
    </row>
    <row r="2669" spans="1:10" ht="15.75" customHeight="1" x14ac:dyDescent="0.25">
      <c r="A2669" s="24">
        <v>96000001</v>
      </c>
      <c r="B2669" s="27" t="s">
        <v>2402</v>
      </c>
      <c r="C2669" s="27" t="s">
        <v>11</v>
      </c>
      <c r="D2669" s="21" t="s">
        <v>2672</v>
      </c>
    </row>
    <row r="2670" spans="1:10" ht="15.75" customHeight="1" x14ac:dyDescent="0.25">
      <c r="A2670" s="24">
        <v>96000001</v>
      </c>
      <c r="B2670" s="27" t="s">
        <v>2402</v>
      </c>
      <c r="C2670" s="27" t="s">
        <v>11</v>
      </c>
      <c r="D2670" s="4" t="s">
        <v>2672</v>
      </c>
    </row>
    <row r="2671" spans="1:10" ht="15.75" customHeight="1" x14ac:dyDescent="0.25">
      <c r="A2671" s="24">
        <v>96000001</v>
      </c>
      <c r="B2671" s="25" t="s">
        <v>2402</v>
      </c>
      <c r="C2671" s="25" t="s">
        <v>28</v>
      </c>
      <c r="D2671" s="4" t="s">
        <v>2672</v>
      </c>
    </row>
    <row r="2672" spans="1:10" ht="15.75" customHeight="1" x14ac:dyDescent="0.25">
      <c r="A2672" s="20">
        <v>96000001</v>
      </c>
      <c r="B2672" s="11" t="s">
        <v>2402</v>
      </c>
      <c r="C2672" s="11" t="s">
        <v>13</v>
      </c>
      <c r="D2672" s="1" t="s">
        <v>2672</v>
      </c>
      <c r="F2672" s="1"/>
      <c r="I2672" s="2" t="s">
        <v>2929</v>
      </c>
    </row>
    <row r="2673" spans="1:11" ht="15.75" customHeight="1" x14ac:dyDescent="0.25">
      <c r="A2673" s="24">
        <v>96000001</v>
      </c>
      <c r="B2673" s="25" t="s">
        <v>2402</v>
      </c>
      <c r="C2673" s="25" t="s">
        <v>27</v>
      </c>
      <c r="D2673" s="21" t="s">
        <v>2672</v>
      </c>
    </row>
    <row r="2674" spans="1:11" ht="15.75" customHeight="1" x14ac:dyDescent="0.25">
      <c r="A2674" s="24">
        <v>96000001</v>
      </c>
      <c r="B2674" s="25" t="s">
        <v>2402</v>
      </c>
      <c r="C2674" s="25" t="s">
        <v>27</v>
      </c>
      <c r="D2674" s="4" t="s">
        <v>2672</v>
      </c>
    </row>
    <row r="2675" spans="1:11" ht="15.75" customHeight="1" x14ac:dyDescent="0.25">
      <c r="A2675" s="24">
        <v>96000001</v>
      </c>
      <c r="B2675" s="25" t="s">
        <v>2402</v>
      </c>
      <c r="C2675" s="25" t="s">
        <v>29</v>
      </c>
      <c r="D2675" s="4" t="s">
        <v>2672</v>
      </c>
    </row>
    <row r="2676" spans="1:11" ht="15.75" customHeight="1" x14ac:dyDescent="0.25">
      <c r="A2676" s="16">
        <v>96000001</v>
      </c>
      <c r="B2676" s="11" t="s">
        <v>2402</v>
      </c>
      <c r="C2676" s="11" t="s">
        <v>26</v>
      </c>
      <c r="D2676" s="1" t="s">
        <v>2672</v>
      </c>
      <c r="F2676" s="1"/>
      <c r="I2676" s="2" t="s">
        <v>2929</v>
      </c>
    </row>
    <row r="2677" spans="1:11" ht="15.75" customHeight="1" x14ac:dyDescent="0.25">
      <c r="A2677" s="24">
        <v>96000001</v>
      </c>
      <c r="B2677" s="25" t="s">
        <v>2402</v>
      </c>
      <c r="C2677" s="25" t="s">
        <v>26</v>
      </c>
      <c r="D2677" s="21" t="s">
        <v>2672</v>
      </c>
    </row>
    <row r="2678" spans="1:11" ht="15.75" customHeight="1" x14ac:dyDescent="0.25">
      <c r="A2678" s="16">
        <v>96000001</v>
      </c>
      <c r="B2678" s="11" t="s">
        <v>2402</v>
      </c>
      <c r="C2678" s="11" t="s">
        <v>30</v>
      </c>
      <c r="D2678" s="1" t="s">
        <v>2672</v>
      </c>
      <c r="F2678" s="1"/>
      <c r="I2678" s="2" t="s">
        <v>2929</v>
      </c>
    </row>
    <row r="2679" spans="1:11" ht="15.75" customHeight="1" x14ac:dyDescent="0.25">
      <c r="A2679" s="24">
        <v>96000001</v>
      </c>
      <c r="B2679" s="25" t="s">
        <v>2402</v>
      </c>
      <c r="C2679" s="25" t="s">
        <v>30</v>
      </c>
      <c r="D2679" s="4" t="s">
        <v>2672</v>
      </c>
    </row>
    <row r="2680" spans="1:11" ht="15.75" customHeight="1" x14ac:dyDescent="0.25">
      <c r="A2680" s="24">
        <v>96000001</v>
      </c>
      <c r="B2680" s="25" t="s">
        <v>2402</v>
      </c>
      <c r="C2680" s="25" t="s">
        <v>25</v>
      </c>
      <c r="D2680" s="21" t="s">
        <v>2672</v>
      </c>
    </row>
    <row r="2681" spans="1:11" ht="15.75" customHeight="1" x14ac:dyDescent="0.25">
      <c r="A2681" s="24">
        <v>96000001</v>
      </c>
      <c r="B2681" s="25" t="s">
        <v>2402</v>
      </c>
      <c r="C2681" s="25" t="s">
        <v>25</v>
      </c>
      <c r="D2681" s="4" t="s">
        <v>2672</v>
      </c>
    </row>
    <row r="2682" spans="1:11" ht="15.75" customHeight="1" x14ac:dyDescent="0.25">
      <c r="A2682" s="24">
        <v>96000001</v>
      </c>
      <c r="B2682" s="25" t="s">
        <v>2402</v>
      </c>
      <c r="C2682" s="25" t="s">
        <v>26</v>
      </c>
      <c r="D2682" s="4" t="s">
        <v>2672</v>
      </c>
    </row>
    <row r="2683" spans="1:11" ht="15.75" customHeight="1" x14ac:dyDescent="0.25">
      <c r="A2683" s="16">
        <v>96000002</v>
      </c>
      <c r="B2683" s="11" t="s">
        <v>1277</v>
      </c>
      <c r="C2683" s="11" t="s">
        <v>2391</v>
      </c>
      <c r="D2683" s="1" t="s">
        <v>2672</v>
      </c>
      <c r="F2683" s="1"/>
      <c r="I2683" s="2" t="s">
        <v>2929</v>
      </c>
    </row>
    <row r="2684" spans="1:11" ht="15.75" customHeight="1" x14ac:dyDescent="0.25">
      <c r="A2684" s="16">
        <v>96000002</v>
      </c>
      <c r="B2684" s="11" t="s">
        <v>1277</v>
      </c>
      <c r="C2684" s="11" t="s">
        <v>32</v>
      </c>
      <c r="D2684" s="4" t="s">
        <v>2672</v>
      </c>
      <c r="F2684" s="1"/>
      <c r="G2684" s="4"/>
      <c r="I2684" s="2" t="s">
        <v>2929</v>
      </c>
    </row>
    <row r="2685" spans="1:11" ht="15.75" customHeight="1" x14ac:dyDescent="0.25">
      <c r="A2685" s="16">
        <v>96000002</v>
      </c>
      <c r="B2685" s="11" t="s">
        <v>1277</v>
      </c>
      <c r="C2685" s="11" t="s">
        <v>12</v>
      </c>
      <c r="D2685" s="1" t="s">
        <v>2672</v>
      </c>
      <c r="F2685" s="1"/>
      <c r="I2685" s="2" t="s">
        <v>2929</v>
      </c>
    </row>
    <row r="2686" spans="1:11" ht="15.75" customHeight="1" x14ac:dyDescent="0.25">
      <c r="A2686" s="24">
        <v>96000002</v>
      </c>
      <c r="B2686" s="25" t="s">
        <v>1277</v>
      </c>
      <c r="C2686" s="25" t="s">
        <v>29</v>
      </c>
      <c r="D2686" s="2" t="s">
        <v>2672</v>
      </c>
    </row>
    <row r="2687" spans="1:11" ht="15.75" customHeight="1" x14ac:dyDescent="0.25">
      <c r="A2687" s="24">
        <v>96000002</v>
      </c>
      <c r="B2687" s="25" t="s">
        <v>1277</v>
      </c>
      <c r="C2687" s="25" t="s">
        <v>29</v>
      </c>
      <c r="D2687" s="2" t="s">
        <v>2672</v>
      </c>
    </row>
    <row r="2688" spans="1:11" ht="15.75" customHeight="1" x14ac:dyDescent="0.25">
      <c r="A2688" s="16">
        <v>96000002</v>
      </c>
      <c r="B2688" s="11" t="s">
        <v>1277</v>
      </c>
      <c r="C2688" s="11" t="s">
        <v>2392</v>
      </c>
      <c r="D2688" s="2" t="s">
        <v>2672</v>
      </c>
      <c r="E2688" s="2"/>
      <c r="F2688" s="2"/>
      <c r="G2688" s="2"/>
      <c r="H2688" s="2"/>
      <c r="I2688" s="2" t="s">
        <v>2929</v>
      </c>
      <c r="J2688" s="2"/>
      <c r="K2688" s="2"/>
    </row>
    <row r="2689" spans="1:11" ht="15.75" customHeight="1" x14ac:dyDescent="0.25">
      <c r="A2689" s="3">
        <v>96000003</v>
      </c>
      <c r="B2689" s="11" t="s">
        <v>1278</v>
      </c>
      <c r="C2689" s="11" t="s">
        <v>0</v>
      </c>
      <c r="D2689" s="1">
        <f>ROUND(E2689*F2689,0)</f>
        <v>4</v>
      </c>
      <c r="E2689" s="1">
        <v>0.79</v>
      </c>
      <c r="F2689" s="1">
        <v>5</v>
      </c>
      <c r="G2689" s="4"/>
      <c r="H2689" s="1" t="s">
        <v>2663</v>
      </c>
      <c r="I2689" s="1" t="s">
        <v>2960</v>
      </c>
      <c r="J2689" s="1" t="s">
        <v>3132</v>
      </c>
    </row>
    <row r="2690" spans="1:11" ht="15.75" customHeight="1" x14ac:dyDescent="0.25">
      <c r="A2690" s="3">
        <v>96000003</v>
      </c>
      <c r="B2690" s="11" t="s">
        <v>1278</v>
      </c>
      <c r="C2690" s="11" t="s">
        <v>3</v>
      </c>
      <c r="D2690" s="2">
        <v>15</v>
      </c>
      <c r="E2690" s="4"/>
      <c r="F2690" s="1" t="s">
        <v>3132</v>
      </c>
      <c r="G2690" s="4"/>
      <c r="H2690" s="1" t="s">
        <v>2663</v>
      </c>
      <c r="I2690" s="1" t="s">
        <v>2960</v>
      </c>
      <c r="J2690" s="1" t="s">
        <v>3132</v>
      </c>
    </row>
    <row r="2691" spans="1:11" ht="15.75" customHeight="1" x14ac:dyDescent="0.25">
      <c r="A2691" s="3">
        <v>96000003</v>
      </c>
      <c r="B2691" s="11" t="s">
        <v>1278</v>
      </c>
      <c r="C2691" s="11" t="s">
        <v>15</v>
      </c>
      <c r="D2691" s="1">
        <v>15</v>
      </c>
      <c r="F2691" s="1"/>
      <c r="H2691" s="1" t="s">
        <v>2663</v>
      </c>
      <c r="I2691" s="1" t="s">
        <v>2700</v>
      </c>
    </row>
    <row r="2692" spans="1:11" ht="15.75" customHeight="1" x14ac:dyDescent="0.25">
      <c r="A2692" s="3">
        <v>96000003</v>
      </c>
      <c r="B2692" s="11" t="s">
        <v>1278</v>
      </c>
      <c r="C2692" s="11" t="s">
        <v>27</v>
      </c>
      <c r="D2692" s="4">
        <f>ROUND(E2692*F2692,0)</f>
        <v>103</v>
      </c>
      <c r="E2692" s="1">
        <v>0.79</v>
      </c>
      <c r="F2692" s="1">
        <v>130</v>
      </c>
      <c r="H2692" s="1" t="s">
        <v>2663</v>
      </c>
    </row>
    <row r="2693" spans="1:11" ht="15.75" customHeight="1" x14ac:dyDescent="0.25">
      <c r="A2693" s="3">
        <v>96000003</v>
      </c>
      <c r="B2693" s="11" t="s">
        <v>1278</v>
      </c>
      <c r="C2693" s="11" t="s">
        <v>28</v>
      </c>
      <c r="D2693" s="1">
        <f>ROUND(E2693*F2693,0)</f>
        <v>261</v>
      </c>
      <c r="E2693" s="1">
        <v>0.79</v>
      </c>
      <c r="F2693" s="1">
        <v>330</v>
      </c>
      <c r="H2693" s="1" t="s">
        <v>2663</v>
      </c>
    </row>
    <row r="2694" spans="1:11" ht="15.75" customHeight="1" x14ac:dyDescent="0.25">
      <c r="A2694" s="4">
        <v>96000003</v>
      </c>
      <c r="B2694" s="11" t="s">
        <v>1278</v>
      </c>
      <c r="C2694" s="11" t="s">
        <v>2636</v>
      </c>
      <c r="D2694" s="1">
        <f>ROUND(E2694*F2694,0)</f>
        <v>1</v>
      </c>
      <c r="E2694" s="1">
        <v>0.79</v>
      </c>
      <c r="F2694" s="1">
        <v>1</v>
      </c>
      <c r="H2694" s="1" t="s">
        <v>2663</v>
      </c>
    </row>
    <row r="2695" spans="1:11" ht="15.75" customHeight="1" x14ac:dyDescent="0.25">
      <c r="A2695" s="4">
        <v>96000003</v>
      </c>
      <c r="B2695" s="11" t="s">
        <v>1278</v>
      </c>
      <c r="C2695" s="11" t="s">
        <v>2393</v>
      </c>
      <c r="D2695" s="1">
        <f>ROUND(E2695*F2695,0)</f>
        <v>4</v>
      </c>
      <c r="E2695" s="1">
        <v>0.79</v>
      </c>
      <c r="F2695" s="1">
        <v>5</v>
      </c>
      <c r="H2695" s="1" t="s">
        <v>2663</v>
      </c>
    </row>
    <row r="2696" spans="1:11" ht="15.75" customHeight="1" x14ac:dyDescent="0.25">
      <c r="A2696" s="4">
        <v>96000003</v>
      </c>
      <c r="B2696" s="11" t="s">
        <v>1278</v>
      </c>
      <c r="C2696" s="11" t="s">
        <v>29</v>
      </c>
      <c r="D2696" s="1">
        <v>4</v>
      </c>
      <c r="F2696" s="1"/>
      <c r="G2696" s="1">
        <v>4</v>
      </c>
      <c r="H2696" s="1" t="s">
        <v>2663</v>
      </c>
      <c r="I2696" s="1" t="s">
        <v>2960</v>
      </c>
    </row>
    <row r="2697" spans="1:11" ht="15.75" customHeight="1" x14ac:dyDescent="0.25">
      <c r="A2697" s="4">
        <v>96000003</v>
      </c>
      <c r="B2697" s="11" t="s">
        <v>1278</v>
      </c>
      <c r="C2697" s="11" t="s">
        <v>30</v>
      </c>
      <c r="D2697" s="1">
        <f>ROUND(E2697*F2697,0)</f>
        <v>158</v>
      </c>
      <c r="E2697" s="1">
        <f>ROUND(188/237,2)</f>
        <v>0.79</v>
      </c>
      <c r="F2697" s="1">
        <v>200</v>
      </c>
      <c r="H2697" s="1" t="s">
        <v>2663</v>
      </c>
    </row>
    <row r="2698" spans="1:11" ht="15.75" customHeight="1" x14ac:dyDescent="0.25">
      <c r="A2698" s="4">
        <v>96000003</v>
      </c>
      <c r="B2698" s="11" t="s">
        <v>1278</v>
      </c>
      <c r="C2698" s="11" t="s">
        <v>24</v>
      </c>
      <c r="D2698" s="4">
        <f>ROUND(E2698*F2698,0)</f>
        <v>67</v>
      </c>
      <c r="E2698" s="10">
        <f>188/237</f>
        <v>0.7932489451476793</v>
      </c>
      <c r="F2698" s="1">
        <v>84</v>
      </c>
      <c r="H2698" s="1" t="s">
        <v>2663</v>
      </c>
    </row>
    <row r="2699" spans="1:11" ht="15.75" customHeight="1" x14ac:dyDescent="0.25">
      <c r="A2699" s="21">
        <v>96000003</v>
      </c>
      <c r="B2699" s="11" t="s">
        <v>1278</v>
      </c>
      <c r="C2699" s="11" t="s">
        <v>26</v>
      </c>
      <c r="D2699" s="2">
        <v>15</v>
      </c>
      <c r="E2699" s="2"/>
      <c r="F2699" s="2"/>
      <c r="G2699" s="2">
        <v>15</v>
      </c>
      <c r="H2699" s="1" t="s">
        <v>2663</v>
      </c>
      <c r="I2699" s="2"/>
      <c r="J2699" s="2"/>
      <c r="K2699" s="2"/>
    </row>
    <row r="2700" spans="1:11" ht="15.75" customHeight="1" x14ac:dyDescent="0.25">
      <c r="A2700" s="21">
        <v>96000003</v>
      </c>
      <c r="B2700" s="11" t="s">
        <v>1278</v>
      </c>
      <c r="C2700" s="11" t="s">
        <v>31</v>
      </c>
      <c r="D2700" s="4">
        <v>253</v>
      </c>
    </row>
    <row r="2701" spans="1:11" ht="15.75" customHeight="1" x14ac:dyDescent="0.25">
      <c r="A2701" s="4">
        <v>96000004</v>
      </c>
      <c r="B2701" s="11" t="s">
        <v>2642</v>
      </c>
      <c r="C2701" s="11" t="s">
        <v>25</v>
      </c>
      <c r="D2701" s="1">
        <f>ROUND(E2701*F2701,0)</f>
        <v>5</v>
      </c>
      <c r="E2701" s="1">
        <f>ROUND(30/29.6,2)</f>
        <v>1.01</v>
      </c>
      <c r="F2701" s="1">
        <v>5</v>
      </c>
      <c r="G2701" s="4"/>
      <c r="H2701" s="1" t="s">
        <v>2962</v>
      </c>
      <c r="I2701" s="1" t="s">
        <v>3132</v>
      </c>
      <c r="J2701" s="1" t="s">
        <v>3132</v>
      </c>
    </row>
    <row r="2702" spans="1:11" ht="15.75" customHeight="1" x14ac:dyDescent="0.25">
      <c r="A2702" s="4">
        <v>96000004</v>
      </c>
      <c r="B2702" s="11" t="s">
        <v>2642</v>
      </c>
      <c r="C2702" s="11" t="s">
        <v>27</v>
      </c>
      <c r="D2702" s="4">
        <f>ROUND(E2702*F2702,0)</f>
        <v>131</v>
      </c>
      <c r="E2702" s="1">
        <f>ROUND(30/29.6,2)</f>
        <v>1.01</v>
      </c>
      <c r="F2702" s="1">
        <v>130</v>
      </c>
      <c r="H2702" s="1" t="s">
        <v>2962</v>
      </c>
    </row>
    <row r="2703" spans="1:11" ht="15.75" customHeight="1" x14ac:dyDescent="0.25">
      <c r="A2703" s="4">
        <v>96000004</v>
      </c>
      <c r="B2703" s="11" t="s">
        <v>2642</v>
      </c>
      <c r="C2703" s="11" t="s">
        <v>29</v>
      </c>
      <c r="D2703" s="1">
        <v>9</v>
      </c>
      <c r="F2703" s="1"/>
      <c r="G2703" s="1">
        <v>9</v>
      </c>
      <c r="H2703" s="1" t="s">
        <v>2962</v>
      </c>
      <c r="I2703" s="1" t="s">
        <v>2700</v>
      </c>
    </row>
    <row r="2704" spans="1:11" ht="15.75" customHeight="1" x14ac:dyDescent="0.25">
      <c r="A2704" s="21">
        <v>96000004</v>
      </c>
      <c r="B2704" s="11" t="s">
        <v>2642</v>
      </c>
      <c r="C2704" s="11" t="s">
        <v>26</v>
      </c>
      <c r="D2704" s="1">
        <f t="shared" ref="D2704:D2710" si="61">ROUND(E2704*F2704,0)</f>
        <v>9</v>
      </c>
      <c r="E2704" s="1">
        <f>ROUND(30/29.6,2)</f>
        <v>1.01</v>
      </c>
      <c r="F2704" s="1">
        <v>9</v>
      </c>
      <c r="H2704" s="1" t="s">
        <v>2962</v>
      </c>
    </row>
    <row r="2705" spans="1:10" ht="15.75" customHeight="1" x14ac:dyDescent="0.25">
      <c r="A2705" s="4">
        <v>96000004</v>
      </c>
      <c r="B2705" s="11" t="s">
        <v>2642</v>
      </c>
      <c r="C2705" s="11" t="s">
        <v>24</v>
      </c>
      <c r="D2705" s="4">
        <f t="shared" si="61"/>
        <v>85</v>
      </c>
      <c r="E2705" s="1">
        <f>ROUND(30/29.6,2)</f>
        <v>1.01</v>
      </c>
      <c r="F2705" s="1">
        <v>84</v>
      </c>
      <c r="H2705" s="1" t="s">
        <v>2962</v>
      </c>
    </row>
    <row r="2706" spans="1:10" ht="15.75" customHeight="1" x14ac:dyDescent="0.25">
      <c r="A2706" s="4">
        <v>96000004</v>
      </c>
      <c r="B2706" s="11" t="s">
        <v>2642</v>
      </c>
      <c r="C2706" s="11" t="s">
        <v>31</v>
      </c>
      <c r="D2706" s="1">
        <f t="shared" si="61"/>
        <v>253</v>
      </c>
      <c r="E2706" s="1">
        <f>ROUND(30/29.6,2)</f>
        <v>1.01</v>
      </c>
      <c r="F2706" s="1">
        <v>250</v>
      </c>
      <c r="G2706" s="4"/>
      <c r="H2706" s="1" t="s">
        <v>2962</v>
      </c>
      <c r="I2706" s="1" t="s">
        <v>3132</v>
      </c>
      <c r="J2706" s="1" t="s">
        <v>3132</v>
      </c>
    </row>
    <row r="2707" spans="1:10" ht="15.75" customHeight="1" x14ac:dyDescent="0.25">
      <c r="A2707" s="4">
        <v>96000004</v>
      </c>
      <c r="B2707" s="11" t="s">
        <v>2642</v>
      </c>
      <c r="C2707" s="11" t="s">
        <v>28</v>
      </c>
      <c r="D2707" s="1">
        <f t="shared" si="61"/>
        <v>333</v>
      </c>
      <c r="E2707" s="1">
        <f>ROUND(30/29.6,2)</f>
        <v>1.01</v>
      </c>
      <c r="F2707" s="1">
        <v>330</v>
      </c>
      <c r="H2707" s="1" t="s">
        <v>2962</v>
      </c>
    </row>
    <row r="2708" spans="1:10" ht="15.75" customHeight="1" x14ac:dyDescent="0.25">
      <c r="A2708" s="4">
        <v>96000004</v>
      </c>
      <c r="B2708" s="11" t="s">
        <v>2642</v>
      </c>
      <c r="C2708" s="11" t="s">
        <v>30</v>
      </c>
      <c r="D2708" s="1">
        <f t="shared" si="61"/>
        <v>179</v>
      </c>
      <c r="E2708" s="1">
        <f>ROUND(30/29.6,2)</f>
        <v>1.01</v>
      </c>
      <c r="F2708" s="1">
        <v>177.5</v>
      </c>
      <c r="G2708" s="4"/>
      <c r="H2708" s="1" t="s">
        <v>2962</v>
      </c>
      <c r="I2708" s="1" t="s">
        <v>3132</v>
      </c>
      <c r="J2708" s="1" t="s">
        <v>3132</v>
      </c>
    </row>
    <row r="2709" spans="1:10" ht="15.75" customHeight="1" x14ac:dyDescent="0.25">
      <c r="A2709" s="4">
        <v>96000005</v>
      </c>
      <c r="B2709" s="11" t="s">
        <v>2653</v>
      </c>
      <c r="C2709" s="11" t="s">
        <v>25</v>
      </c>
      <c r="D2709" s="1">
        <f t="shared" si="61"/>
        <v>5</v>
      </c>
      <c r="E2709" s="1">
        <f>ROUND(14/15,2)</f>
        <v>0.93</v>
      </c>
      <c r="F2709" s="1">
        <v>5</v>
      </c>
      <c r="H2709" s="1" t="s">
        <v>2963</v>
      </c>
    </row>
    <row r="2710" spans="1:10" ht="15.75" customHeight="1" x14ac:dyDescent="0.25">
      <c r="A2710" s="21">
        <v>96000005</v>
      </c>
      <c r="B2710" s="11" t="s">
        <v>2653</v>
      </c>
      <c r="C2710" s="11" t="s">
        <v>26</v>
      </c>
      <c r="D2710" s="1">
        <f t="shared" si="61"/>
        <v>8</v>
      </c>
      <c r="E2710" s="1">
        <f>ROUND(14/15,2)</f>
        <v>0.93</v>
      </c>
      <c r="F2710" s="1">
        <v>9</v>
      </c>
      <c r="H2710" s="1" t="s">
        <v>2963</v>
      </c>
    </row>
    <row r="2711" spans="1:10" ht="15.75" customHeight="1" x14ac:dyDescent="0.25">
      <c r="A2711" s="21">
        <v>96000006</v>
      </c>
      <c r="B2711" s="11" t="s">
        <v>2614</v>
      </c>
      <c r="C2711" s="11" t="s">
        <v>29</v>
      </c>
      <c r="D2711" s="1">
        <v>2</v>
      </c>
      <c r="F2711" s="1"/>
      <c r="G2711" s="1">
        <v>1.5</v>
      </c>
      <c r="H2711" s="1" t="s">
        <v>2667</v>
      </c>
      <c r="I2711" s="1" t="s">
        <v>2960</v>
      </c>
    </row>
    <row r="2712" spans="1:10" ht="15.75" customHeight="1" x14ac:dyDescent="0.25">
      <c r="A2712" s="26">
        <v>96000006</v>
      </c>
      <c r="B2712" s="25" t="s">
        <v>2614</v>
      </c>
      <c r="C2712" s="25" t="s">
        <v>28</v>
      </c>
      <c r="D2712" s="4">
        <v>113</v>
      </c>
      <c r="H2712" s="1" t="s">
        <v>2667</v>
      </c>
    </row>
    <row r="2713" spans="1:10" ht="15.75" customHeight="1" x14ac:dyDescent="0.25">
      <c r="A2713" s="26">
        <v>96000006</v>
      </c>
      <c r="B2713" s="25" t="s">
        <v>2614</v>
      </c>
      <c r="C2713" s="25" t="s">
        <v>30</v>
      </c>
      <c r="D2713" s="4">
        <v>62</v>
      </c>
      <c r="H2713" s="1" t="s">
        <v>2667</v>
      </c>
    </row>
    <row r="2714" spans="1:10" ht="15.75" customHeight="1" x14ac:dyDescent="0.25">
      <c r="A2714" s="21">
        <v>96000006</v>
      </c>
      <c r="B2714" s="11" t="s">
        <v>2614</v>
      </c>
      <c r="C2714" s="11" t="s">
        <v>24</v>
      </c>
      <c r="D2714" s="1">
        <v>18</v>
      </c>
      <c r="F2714" s="1"/>
      <c r="G2714" s="1">
        <v>4.4000000000000004</v>
      </c>
      <c r="H2714" s="1" t="s">
        <v>2667</v>
      </c>
      <c r="I2714" s="1" t="s">
        <v>2702</v>
      </c>
    </row>
    <row r="2715" spans="1:10" ht="15.75" customHeight="1" x14ac:dyDescent="0.25">
      <c r="A2715" s="4">
        <v>96000006</v>
      </c>
      <c r="B2715" s="11" t="s">
        <v>2614</v>
      </c>
      <c r="C2715" s="11" t="s">
        <v>25</v>
      </c>
      <c r="D2715" s="4">
        <v>2</v>
      </c>
      <c r="F2715" s="1"/>
      <c r="G2715" s="1">
        <v>1.5</v>
      </c>
      <c r="H2715" s="1" t="s">
        <v>2680</v>
      </c>
    </row>
    <row r="2716" spans="1:10" ht="15.75" customHeight="1" x14ac:dyDescent="0.25">
      <c r="A2716" s="21">
        <v>96000006</v>
      </c>
      <c r="B2716" s="11" t="s">
        <v>2666</v>
      </c>
      <c r="C2716" s="11" t="s">
        <v>26</v>
      </c>
      <c r="D2716" s="1">
        <v>4</v>
      </c>
      <c r="F2716" s="1"/>
      <c r="G2716" s="1">
        <v>4.4000000000000004</v>
      </c>
      <c r="H2716" s="1" t="s">
        <v>2667</v>
      </c>
    </row>
    <row r="2717" spans="1:10" ht="15.75" customHeight="1" x14ac:dyDescent="0.25">
      <c r="A2717" s="21">
        <v>96000007</v>
      </c>
      <c r="B2717" s="11" t="s">
        <v>2646</v>
      </c>
      <c r="C2717" s="11" t="s">
        <v>11</v>
      </c>
      <c r="D2717" s="11" t="s">
        <v>2672</v>
      </c>
      <c r="F2717" s="1"/>
    </row>
    <row r="2718" spans="1:10" ht="15.75" customHeight="1" x14ac:dyDescent="0.25">
      <c r="A2718" s="26">
        <v>96000007</v>
      </c>
      <c r="B2718" s="25" t="s">
        <v>2646</v>
      </c>
      <c r="C2718" s="25" t="s">
        <v>29</v>
      </c>
      <c r="D2718" s="11" t="s">
        <v>2672</v>
      </c>
    </row>
  </sheetData>
  <sortState xmlns:xlrd2="http://schemas.microsoft.com/office/spreadsheetml/2017/richdata2" ref="A2:AT2722">
    <sortCondition ref="A2:A2722"/>
  </sortState>
  <phoneticPr fontId="4" type="noConversion"/>
  <conditionalFormatting sqref="A2018:A2434">
    <cfRule type="containsText" dxfId="0" priority="6" operator="containsText" text="missing">
      <formula>NOT(ISERROR(SEARCH("missing",A2018)))</formula>
    </cfRule>
  </conditionalFormatting>
  <hyperlinks>
    <hyperlink ref="H41" r:id="rId1" location="/food-details/168156/nutrients" xr:uid="{74636465-D514-4EA7-AC08-7F3BC7DC3D42}"/>
    <hyperlink ref="H52" r:id="rId2" location="/food-details/173199/nutrients" xr:uid="{E7BF146F-8C7E-452B-895D-5EFF2FEF2628}"/>
    <hyperlink ref="H1723" r:id="rId3" xr:uid="{6B664AFE-AA62-4352-A211-51CC1856BA4C}"/>
    <hyperlink ref="H21:H24" r:id="rId4" location="/food-details/168156/nutrients" display="https://fdc.nal.usda.gov/fdc-app.html#/food-details/168156/nutrients" xr:uid="{F8FD0E1B-125A-4ACB-822C-83A93B0B532F}"/>
    <hyperlink ref="H2143" r:id="rId5" xr:uid="{BF3FF8C6-977E-42AD-B2C1-4D2BBEB314C3}"/>
  </hyperlinks>
  <pageMargins left="0.7" right="0.7" top="0.75" bottom="0.75" header="0.3" footer="0.3"/>
  <pageSetup paperSize="9" orientation="portrait" r:id="rId6"/>
  <legacy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Portion size conversions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xp1002</dc:creator>
  <cp:lastModifiedBy>Bess Caswell</cp:lastModifiedBy>
  <dcterms:created xsi:type="dcterms:W3CDTF">2022-04-13T18:21:28Z</dcterms:created>
  <dcterms:modified xsi:type="dcterms:W3CDTF">2024-05-18T02:03:41Z</dcterms:modified>
</cp:coreProperties>
</file>