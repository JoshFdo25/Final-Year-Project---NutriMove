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s.caswell\Box\IFPRI Sri Lanka Shared Folder\OSF Posted Diet Ref Tables\"/>
    </mc:Choice>
  </mc:AlternateContent>
  <xr:revisionPtr revIDLastSave="0" documentId="13_ncr:1_{7E05DCBE-255F-4D00-A990-8436E00338C5}" xr6:coauthVersionLast="47" xr6:coauthVersionMax="47" xr10:uidLastSave="{00000000-0000-0000-0000-000000000000}"/>
  <bookViews>
    <workbookView xWindow="-120" yWindow="-120" windowWidth="29040" windowHeight="15840" xr2:uid="{A1D50A2E-47CD-46AC-9996-8E16C48193D5}"/>
  </bookViews>
  <sheets>
    <sheet name="Details" sheetId="7" r:id="rId1"/>
    <sheet name="Ingredients FCT" sheetId="1" r:id="rId2"/>
    <sheet name="averages" sheetId="5" r:id="rId3"/>
  </sheets>
  <definedNames>
    <definedName name="_xlnm._FilterDatabase" localSheetId="2" hidden="1">averages!$A$1:$AL$60</definedName>
    <definedName name="_xlnm._FilterDatabase" localSheetId="1" hidden="1">'Ingredients FCT'!$A$1:$BF$400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2" i="5" l="1"/>
  <c r="Y12" i="5"/>
  <c r="Y11" i="5"/>
  <c r="Y3" i="5"/>
  <c r="Y2" i="5"/>
  <c r="Y9" i="5"/>
  <c r="X3" i="5"/>
  <c r="Y55" i="5"/>
  <c r="J55" i="5"/>
  <c r="K55" i="5"/>
  <c r="L55" i="5"/>
  <c r="P55" i="5"/>
  <c r="Q55" i="5"/>
  <c r="R55" i="5"/>
  <c r="S55" i="5"/>
  <c r="T55" i="5"/>
  <c r="U55" i="5"/>
  <c r="V55" i="5"/>
  <c r="W55" i="5"/>
  <c r="X55" i="5"/>
  <c r="Z55" i="5"/>
  <c r="AA55" i="5"/>
  <c r="AC55" i="5"/>
  <c r="AD55" i="5"/>
  <c r="AE55" i="5"/>
  <c r="AF55" i="5"/>
  <c r="AG55" i="5"/>
  <c r="AH55" i="5"/>
  <c r="AI55" i="5"/>
  <c r="AJ55" i="5"/>
  <c r="AK55" i="5"/>
  <c r="I55" i="5"/>
  <c r="U53" i="5"/>
  <c r="E53" i="5"/>
  <c r="E52" i="5"/>
  <c r="E51" i="5"/>
  <c r="AK50" i="5"/>
  <c r="E50" i="5"/>
  <c r="AB49" i="5"/>
  <c r="U49" i="5"/>
  <c r="E49" i="5"/>
  <c r="AK48" i="5"/>
  <c r="E48" i="5"/>
  <c r="E45" i="5"/>
  <c r="U44" i="5"/>
  <c r="E44" i="5"/>
  <c r="E43" i="5"/>
  <c r="AC42" i="5"/>
  <c r="U42" i="5"/>
  <c r="E42" i="5"/>
  <c r="U41" i="5"/>
  <c r="E41" i="5"/>
  <c r="E40" i="5"/>
  <c r="E37" i="5"/>
  <c r="E36" i="5"/>
  <c r="AK35" i="5"/>
  <c r="AH35" i="5"/>
  <c r="AH33" i="5"/>
  <c r="AG35" i="5"/>
  <c r="AC35" i="5"/>
  <c r="Z35" i="5"/>
  <c r="X35" i="5"/>
  <c r="W35" i="5"/>
  <c r="W33" i="5"/>
  <c r="V35" i="5"/>
  <c r="U35" i="5"/>
  <c r="T35" i="5"/>
  <c r="R35" i="5"/>
  <c r="E35" i="5"/>
  <c r="E34" i="5"/>
  <c r="AK31" i="5"/>
  <c r="E31" i="5"/>
  <c r="E30" i="5"/>
  <c r="AK29" i="5"/>
  <c r="E29" i="5"/>
  <c r="AL28" i="5"/>
  <c r="AK26" i="5"/>
  <c r="E26" i="5"/>
  <c r="E25" i="5"/>
  <c r="AL24" i="5"/>
  <c r="F21" i="5"/>
  <c r="E21" i="5"/>
  <c r="F20" i="5"/>
  <c r="E20" i="5"/>
  <c r="F19" i="5"/>
  <c r="AG22" i="5"/>
  <c r="E19" i="5"/>
  <c r="F18" i="5"/>
  <c r="K12" i="5"/>
  <c r="E18" i="5"/>
  <c r="L11" i="5"/>
  <c r="F17" i="5"/>
  <c r="E17" i="5"/>
  <c r="F16" i="5"/>
  <c r="W12" i="5"/>
  <c r="E16" i="5"/>
  <c r="L15" i="5"/>
  <c r="F15" i="5"/>
  <c r="E15" i="5"/>
  <c r="F14" i="5"/>
  <c r="E14" i="5"/>
  <c r="F13" i="5"/>
  <c r="E13" i="5"/>
  <c r="F8" i="5"/>
  <c r="E8" i="5"/>
  <c r="F7" i="5"/>
  <c r="E7" i="5"/>
  <c r="F6" i="5"/>
  <c r="E6" i="5"/>
  <c r="F5" i="5"/>
  <c r="E5" i="5"/>
  <c r="F4" i="5"/>
  <c r="E4" i="5"/>
  <c r="W2" i="5"/>
  <c r="AB33" i="5"/>
  <c r="I3" i="5"/>
  <c r="J24" i="5"/>
  <c r="Z24" i="5"/>
  <c r="AF3" i="5"/>
  <c r="J47" i="5"/>
  <c r="X9" i="5"/>
  <c r="S47" i="5"/>
  <c r="AL47" i="5"/>
  <c r="AK47" i="5"/>
  <c r="Q2" i="5"/>
  <c r="Z3" i="5"/>
  <c r="R2" i="5"/>
  <c r="AK2" i="5"/>
  <c r="I24" i="5"/>
  <c r="U24" i="5"/>
  <c r="AK24" i="5"/>
  <c r="Z22" i="5"/>
  <c r="V3" i="5"/>
  <c r="S12" i="5"/>
  <c r="AD22" i="5"/>
  <c r="S2" i="5"/>
  <c r="W3" i="5"/>
  <c r="T22" i="5"/>
  <c r="AE33" i="5"/>
  <c r="J2" i="5"/>
  <c r="AF11" i="5"/>
  <c r="U22" i="5"/>
  <c r="V47" i="5"/>
  <c r="AE47" i="5"/>
  <c r="K2" i="5"/>
  <c r="AG11" i="5"/>
  <c r="L12" i="5"/>
  <c r="AF24" i="5"/>
  <c r="N33" i="5"/>
  <c r="AG33" i="5"/>
  <c r="W47" i="5"/>
  <c r="AF47" i="5"/>
  <c r="Q22" i="5"/>
  <c r="T33" i="5"/>
  <c r="K47" i="5"/>
  <c r="AC47" i="5"/>
  <c r="AG2" i="5"/>
  <c r="I22" i="5"/>
  <c r="AF22" i="5"/>
  <c r="V2" i="5"/>
  <c r="P3" i="5"/>
  <c r="X2" i="5"/>
  <c r="R3" i="5"/>
  <c r="AE3" i="5"/>
  <c r="V11" i="5"/>
  <c r="AH11" i="5"/>
  <c r="AG24" i="5"/>
  <c r="O33" i="5"/>
  <c r="X33" i="5"/>
  <c r="X47" i="5"/>
  <c r="AG47" i="5"/>
  <c r="T3" i="5"/>
  <c r="AK22" i="5"/>
  <c r="AL33" i="5"/>
  <c r="T47" i="5"/>
  <c r="I2" i="5"/>
  <c r="L3" i="5"/>
  <c r="AD47" i="5"/>
  <c r="AH2" i="5"/>
  <c r="V33" i="5"/>
  <c r="P2" i="5"/>
  <c r="Z2" i="5"/>
  <c r="S3" i="5"/>
  <c r="Q33" i="5"/>
  <c r="Z33" i="5"/>
  <c r="AG9" i="5"/>
  <c r="AJ9" i="5"/>
  <c r="P9" i="5"/>
  <c r="AK9" i="5"/>
  <c r="V9" i="5"/>
  <c r="AE9" i="5"/>
  <c r="I9" i="5"/>
  <c r="AF9" i="5"/>
  <c r="T9" i="5"/>
  <c r="J9" i="5"/>
  <c r="Z39" i="5"/>
  <c r="AF39" i="5"/>
  <c r="AK39" i="5"/>
  <c r="Q39" i="5"/>
  <c r="R39" i="5"/>
  <c r="X39" i="5"/>
  <c r="AI39" i="5"/>
  <c r="N39" i="5"/>
  <c r="AC39" i="5"/>
  <c r="I39" i="5"/>
  <c r="S39" i="5"/>
  <c r="AJ39" i="5"/>
  <c r="AG39" i="5"/>
  <c r="W11" i="5"/>
  <c r="AH9" i="5"/>
  <c r="AI11" i="5"/>
  <c r="R11" i="5"/>
  <c r="AE11" i="5"/>
  <c r="T11" i="5"/>
  <c r="X11" i="5"/>
  <c r="K11" i="5"/>
  <c r="M28" i="5"/>
  <c r="AI28" i="5"/>
  <c r="N28" i="5"/>
  <c r="V28" i="5"/>
  <c r="L28" i="5"/>
  <c r="W28" i="5"/>
  <c r="T28" i="5"/>
  <c r="S28" i="5"/>
  <c r="AJ28" i="5"/>
  <c r="AF28" i="5"/>
  <c r="U11" i="5"/>
  <c r="X12" i="5"/>
  <c r="J11" i="5"/>
  <c r="AD28" i="5"/>
  <c r="P11" i="5"/>
  <c r="K28" i="5"/>
  <c r="AK28" i="5"/>
  <c r="AH28" i="5"/>
  <c r="AF12" i="5"/>
  <c r="AG28" i="5"/>
  <c r="S11" i="5"/>
  <c r="AB28" i="5"/>
  <c r="R12" i="5"/>
  <c r="Z28" i="5"/>
  <c r="AD11" i="5"/>
  <c r="X28" i="5"/>
  <c r="AJ11" i="5"/>
  <c r="S33" i="5"/>
  <c r="AJ33" i="5"/>
  <c r="L33" i="5"/>
  <c r="I33" i="5"/>
  <c r="M33" i="5"/>
  <c r="AF33" i="5"/>
  <c r="K33" i="5"/>
  <c r="AI47" i="5"/>
  <c r="R47" i="5"/>
  <c r="AB47" i="5"/>
  <c r="Q47" i="5"/>
  <c r="AJ47" i="5"/>
  <c r="Z47" i="5"/>
  <c r="N47" i="5"/>
  <c r="O47" i="5"/>
  <c r="L47" i="5"/>
  <c r="I47" i="5"/>
  <c r="AA28" i="5"/>
  <c r="AH12" i="5"/>
  <c r="AD33" i="5"/>
  <c r="Q28" i="5"/>
  <c r="U47" i="5"/>
  <c r="AK11" i="5"/>
  <c r="O28" i="5"/>
  <c r="M47" i="5"/>
  <c r="AH47" i="5"/>
  <c r="AA47" i="5"/>
  <c r="AI33" i="5"/>
  <c r="AJ3" i="5"/>
  <c r="Q3" i="5"/>
  <c r="AI3" i="5"/>
  <c r="AG3" i="5"/>
  <c r="AD3" i="5"/>
  <c r="K3" i="5"/>
  <c r="R33" i="5"/>
  <c r="R28" i="5"/>
  <c r="AC33" i="5"/>
  <c r="U33" i="5"/>
  <c r="Q11" i="5"/>
  <c r="AK33" i="5"/>
  <c r="U28" i="5"/>
  <c r="T2" i="5"/>
  <c r="AD2" i="5"/>
  <c r="AA24" i="5"/>
  <c r="T24" i="5"/>
  <c r="AJ24" i="5"/>
  <c r="AH24" i="5"/>
  <c r="AD24" i="5"/>
  <c r="AE24" i="5"/>
  <c r="AI24" i="5"/>
  <c r="V24" i="5"/>
  <c r="N24" i="5"/>
  <c r="Q24" i="5"/>
  <c r="R24" i="5"/>
  <c r="S24" i="5"/>
  <c r="M24" i="5"/>
  <c r="O24" i="5"/>
  <c r="L39" i="5"/>
  <c r="AH39" i="5"/>
  <c r="W39" i="5"/>
  <c r="U39" i="5"/>
  <c r="M39" i="5"/>
  <c r="AD39" i="5"/>
  <c r="V39" i="5"/>
  <c r="J39" i="5"/>
  <c r="O39" i="5"/>
  <c r="AA39" i="5"/>
  <c r="AL39" i="5"/>
  <c r="AE39" i="5"/>
  <c r="AB39" i="5"/>
  <c r="I28" i="5"/>
  <c r="I11" i="5"/>
  <c r="AE12" i="5"/>
  <c r="W24" i="5"/>
  <c r="AE28" i="5"/>
  <c r="AH3" i="5"/>
  <c r="AI12" i="5"/>
  <c r="T39" i="5"/>
  <c r="J33" i="5"/>
  <c r="AC28" i="5"/>
  <c r="AC24" i="5"/>
  <c r="K9" i="5"/>
  <c r="AI9" i="5"/>
  <c r="AD9" i="5"/>
  <c r="Z9" i="5"/>
  <c r="S9" i="5"/>
  <c r="W9" i="5"/>
  <c r="R9" i="5"/>
  <c r="X24" i="5"/>
  <c r="Q9" i="5"/>
  <c r="Z11" i="5"/>
  <c r="P12" i="5"/>
  <c r="J3" i="5"/>
  <c r="K39" i="5"/>
  <c r="L9" i="5"/>
  <c r="J28" i="5"/>
  <c r="L24" i="5"/>
  <c r="K24" i="5"/>
  <c r="X22" i="5"/>
  <c r="S22" i="5"/>
  <c r="AI22" i="5"/>
  <c r="V12" i="5"/>
  <c r="U12" i="5"/>
  <c r="AJ22" i="5"/>
  <c r="AJ12" i="5"/>
  <c r="AG12" i="5"/>
  <c r="P22" i="5"/>
  <c r="I12" i="5"/>
  <c r="W22" i="5"/>
  <c r="AH22" i="5"/>
  <c r="AE22" i="5"/>
  <c r="AK12" i="5"/>
  <c r="J22" i="5"/>
  <c r="Z12" i="5"/>
  <c r="AJ2" i="5"/>
  <c r="AF2" i="5"/>
  <c r="L22" i="5"/>
  <c r="V22" i="5"/>
  <c r="AI2" i="5"/>
  <c r="T12" i="5"/>
  <c r="AD12" i="5"/>
  <c r="AE2" i="5"/>
  <c r="Q12" i="5"/>
  <c r="L2" i="5"/>
  <c r="J12" i="5"/>
  <c r="AK3" i="5"/>
  <c r="R22" i="5"/>
  <c r="K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tc={0A1D91B8-A868-4918-8654-020FBCE6A6A6}</author>
    <author>tc={302242A8-649E-4BBF-8DE9-265EA1816A4D}</author>
    <author>tc={327AF489-2D84-4933-B1FC-D7FE6968ABBD}</author>
    <author>tc={A11F7DF6-289B-4714-9E53-25A76D361BAC}</author>
  </authors>
  <commentList>
    <comment ref="W46" authorId="0" shapeId="0" xr:uid="{0A1D91B8-A868-4918-8654-020FBCE6A6A6}">
      <text>
        <t>[Threaded comment]
Your version of Excel allows you to read this threaded comment; however, any edits to it will get removed if the file is opened in a newer version of Excel. Learn more: https://go.microsoft.com/fwlink/?linkid=870924
Comment:
    SL FCT said 1178.0 - moved decimal to align with USDA values/ other dried fish values from SL FCT</t>
      </text>
    </comment>
    <comment ref="W54" authorId="1" shapeId="0" xr:uid="{302242A8-649E-4BBF-8DE9-265EA1816A4D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used USDA values</t>
      </text>
    </comment>
    <comment ref="W162" authorId="2" shapeId="0" xr:uid="{327AF489-2D84-4933-B1FC-D7FE6968AB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with USDA value</t>
      </text>
    </comment>
    <comment ref="W303" authorId="3" shapeId="0" xr:uid="{A11F7DF6-289B-4714-9E53-25A76D361BAC}">
      <text>
        <t>[Threaded comment]
Your version of Excel allows you to read this threaded comment; however, any edits to it will get removed if the file is opened in a newer version of Excel. Learn more: https://go.microsoft.com/fwlink/?linkid=870924
Comment:
    SL FCT said 1978.0 - moved decimal to align with USDA values/ other dried fish values from SL FCT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tc={4313F026-DD7A-4190-8BDF-20E9B24E87D3}</author>
    <author>tc={B8F9EE95-006A-4F81-9A8E-B7B5DF472CDF}</author>
    <author>tc={46FE926C-53F2-42F9-A8C0-597D7119D58C}</author>
    <author>tc={C8D25C2B-F7D7-4F0E-A5F5-B14137A84985}</author>
    <author>tc={558FBF09-3C51-4A2E-B64C-1EFAF7F0EACE}</author>
    <author>tc={0F3B34F0-C820-4B9F-A906-47992D640617}</author>
    <author>tc={D310BCEE-EE97-44E9-8C59-A842B1B464D4}</author>
  </authors>
  <commentList>
    <comment ref="Y4" authorId="0" shapeId="0" xr:uid="{4313F026-DD7A-4190-8BDF-20E9B24E87D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 multiplier from energy and protein in dried and fresh tuna &amp; applied it to the fresh B12 value</t>
      </text>
    </comment>
    <comment ref="Y5" authorId="1" shapeId="0" xr:uid="{B8F9EE95-006A-4F81-9A8E-B7B5DF472C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 multiplier from energy and protein in dried and fresh shark &amp; applied it to the fresh B12 value</t>
      </text>
    </comment>
    <comment ref="Y6" authorId="2" shapeId="0" xr:uid="{46FE926C-53F2-42F9-A8C0-597D7119D58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 multiplier from energy and protein in dried queenfish and fresh trevally (the most closely related fish I could find) &amp; applied it to the fresh B12 value</t>
      </text>
    </comment>
    <comment ref="Y7" authorId="3" shapeId="0" xr:uid="{C8D25C2B-F7D7-4F0E-A5F5-B14137A8498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 multiplier from energy and protein in dried and fresh anchovy &amp; applied it to the fresh B12 value</t>
      </text>
    </comment>
    <comment ref="Y8" authorId="4" shapeId="0" xr:uid="{558FBF09-3C51-4A2E-B64C-1EFAF7F0EAC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 multiplier from energy and protein in dried and fresh sardines &amp; applied it to the fresh B12 value</t>
      </text>
    </comment>
    <comment ref="Y14" authorId="5" shapeId="0" xr:uid="{0F3B34F0-C820-4B9F-A906-47992D6406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Couldn't find value. Applied average of other fresh fishes</t>
      </text>
    </comment>
    <comment ref="Y18" authorId="6" shapeId="0" xr:uid="{D310BCEE-EE97-44E9-8C59-A842B1B464D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Couldn't find value. Applied average of other fresh fishes</t>
      </text>
    </comment>
  </commentList>
</comments>
</file>

<file path=xl/sharedStrings.xml><?xml version="1.0" encoding="utf-8"?>
<sst xmlns="http://schemas.openxmlformats.org/spreadsheetml/2006/main" count="1834" uniqueCount="955">
  <si>
    <t>SLA002</t>
  </si>
  <si>
    <t>SLA003</t>
  </si>
  <si>
    <t>SLA004</t>
  </si>
  <si>
    <t>SLA006</t>
  </si>
  <si>
    <t>SLA007</t>
  </si>
  <si>
    <t>SLA009</t>
  </si>
  <si>
    <t>SLA012</t>
  </si>
  <si>
    <t>SLA013</t>
  </si>
  <si>
    <t>SLA014</t>
  </si>
  <si>
    <t>SLA016</t>
  </si>
  <si>
    <t>SLA017</t>
  </si>
  <si>
    <t>SLA018</t>
  </si>
  <si>
    <t>SLA019</t>
  </si>
  <si>
    <t>SLB002</t>
  </si>
  <si>
    <t>SLB003</t>
  </si>
  <si>
    <t>SLB004</t>
  </si>
  <si>
    <t>SLB006</t>
  </si>
  <si>
    <t>SLB007</t>
  </si>
  <si>
    <t>SLB009</t>
  </si>
  <si>
    <t>SLB012</t>
  </si>
  <si>
    <t>SLB013</t>
  </si>
  <si>
    <t>SLC002</t>
  </si>
  <si>
    <t>SLC003</t>
  </si>
  <si>
    <t>SLC004</t>
  </si>
  <si>
    <t>SLC006</t>
  </si>
  <si>
    <t>SLC007</t>
  </si>
  <si>
    <t>SLC008</t>
  </si>
  <si>
    <t>SLC009</t>
  </si>
  <si>
    <t>SLD030</t>
  </si>
  <si>
    <t>SLD031</t>
  </si>
  <si>
    <t>SLD032</t>
  </si>
  <si>
    <t>SLD033</t>
  </si>
  <si>
    <t>SLD034</t>
  </si>
  <si>
    <t>SLD035</t>
  </si>
  <si>
    <t>SLD036</t>
  </si>
  <si>
    <t>SLD037</t>
  </si>
  <si>
    <t>SLD038</t>
  </si>
  <si>
    <t>SLD039</t>
  </si>
  <si>
    <t>SLD040</t>
  </si>
  <si>
    <t>SLD041</t>
  </si>
  <si>
    <t>SLD042</t>
  </si>
  <si>
    <t>SLD043</t>
  </si>
  <si>
    <t>SLD044</t>
  </si>
  <si>
    <t>SLD045</t>
  </si>
  <si>
    <t>SLD046</t>
  </si>
  <si>
    <t>SLD047</t>
  </si>
  <si>
    <t>SLD048</t>
  </si>
  <si>
    <t>SLD049</t>
  </si>
  <si>
    <t>SLD057</t>
  </si>
  <si>
    <t>SLD060</t>
  </si>
  <si>
    <t>SLD061</t>
  </si>
  <si>
    <t>SLD062</t>
  </si>
  <si>
    <t>SLD063</t>
  </si>
  <si>
    <t>SLD064</t>
  </si>
  <si>
    <t>SLD065</t>
  </si>
  <si>
    <t>SLD066</t>
  </si>
  <si>
    <t>SLD067</t>
  </si>
  <si>
    <t>SLD068</t>
  </si>
  <si>
    <t>SLD069</t>
  </si>
  <si>
    <t>SLD070</t>
  </si>
  <si>
    <t>SLD071</t>
  </si>
  <si>
    <t>SLD072</t>
  </si>
  <si>
    <t>SLD073</t>
  </si>
  <si>
    <t>SLD074</t>
  </si>
  <si>
    <t>SLD075</t>
  </si>
  <si>
    <t>SLD076</t>
  </si>
  <si>
    <t>SLD077</t>
  </si>
  <si>
    <t>SLD078</t>
  </si>
  <si>
    <t>SLD079</t>
  </si>
  <si>
    <t>SLD081</t>
  </si>
  <si>
    <t>SLD082</t>
  </si>
  <si>
    <t>SLD083</t>
  </si>
  <si>
    <t>SLD084</t>
  </si>
  <si>
    <t>SLD086</t>
  </si>
  <si>
    <t>SLD087</t>
  </si>
  <si>
    <t>SLD088</t>
  </si>
  <si>
    <t>SLD089</t>
  </si>
  <si>
    <t>SLD002</t>
  </si>
  <si>
    <t>SLD003</t>
  </si>
  <si>
    <t>SLD004</t>
  </si>
  <si>
    <t>SLD006</t>
  </si>
  <si>
    <t>SLD007</t>
  </si>
  <si>
    <t>SLD009</t>
  </si>
  <si>
    <t>SLD012</t>
  </si>
  <si>
    <t>SLD013</t>
  </si>
  <si>
    <t>SLD014</t>
  </si>
  <si>
    <t>SLD016</t>
  </si>
  <si>
    <t>SLD017</t>
  </si>
  <si>
    <t>SLD018</t>
  </si>
  <si>
    <t>SLD019</t>
  </si>
  <si>
    <t>SLD020</t>
  </si>
  <si>
    <t>SLD021</t>
  </si>
  <si>
    <t>SLD022</t>
  </si>
  <si>
    <t>SLD023</t>
  </si>
  <si>
    <t>SLD024</t>
  </si>
  <si>
    <t>SLD025</t>
  </si>
  <si>
    <t>SLD026</t>
  </si>
  <si>
    <t>SLD027</t>
  </si>
  <si>
    <t>SLD028</t>
  </si>
  <si>
    <t>SLD029</t>
  </si>
  <si>
    <t>SLE002</t>
  </si>
  <si>
    <t>SLE003</t>
  </si>
  <si>
    <t>SLE004</t>
  </si>
  <si>
    <t>SLE007</t>
  </si>
  <si>
    <t>SLE009</t>
  </si>
  <si>
    <t>SLE012</t>
  </si>
  <si>
    <t>SLE013</t>
  </si>
  <si>
    <t>SLE014</t>
  </si>
  <si>
    <t>SLE016</t>
  </si>
  <si>
    <t>SLE017</t>
  </si>
  <si>
    <t>SLE018</t>
  </si>
  <si>
    <t>SLE019</t>
  </si>
  <si>
    <t>SLE020</t>
  </si>
  <si>
    <t>SLE021</t>
  </si>
  <si>
    <t>SLE022</t>
  </si>
  <si>
    <t>SLE023</t>
  </si>
  <si>
    <t>SLE024</t>
  </si>
  <si>
    <t>SLE025</t>
  </si>
  <si>
    <t>SLE026</t>
  </si>
  <si>
    <t>SLE027</t>
  </si>
  <si>
    <t>SLE028</t>
  </si>
  <si>
    <t>SLE029</t>
  </si>
  <si>
    <t>SLE030</t>
  </si>
  <si>
    <t>SLE031</t>
  </si>
  <si>
    <t>SLE032</t>
  </si>
  <si>
    <t>SLE033</t>
  </si>
  <si>
    <t>SLE034</t>
  </si>
  <si>
    <t>SLE035</t>
  </si>
  <si>
    <t>SLE036</t>
  </si>
  <si>
    <t>SLE037</t>
  </si>
  <si>
    <t>SLE038</t>
  </si>
  <si>
    <t>SLE039</t>
  </si>
  <si>
    <t>SLE040</t>
  </si>
  <si>
    <t>SLE041</t>
  </si>
  <si>
    <t>SLE042</t>
  </si>
  <si>
    <t>SLE043</t>
  </si>
  <si>
    <t>SLE044</t>
  </si>
  <si>
    <t>SLE045</t>
  </si>
  <si>
    <t>SLE046</t>
  </si>
  <si>
    <t>SLE047</t>
  </si>
  <si>
    <t>SLE048</t>
  </si>
  <si>
    <t>SLE049</t>
  </si>
  <si>
    <t>SLE052</t>
  </si>
  <si>
    <t>SLE053</t>
  </si>
  <si>
    <t>SLE054</t>
  </si>
  <si>
    <t>Mango, ripe, karthakolomban (Mangifera indica)</t>
  </si>
  <si>
    <t>SLF002</t>
  </si>
  <si>
    <t>SLF003</t>
  </si>
  <si>
    <t>SLF004</t>
  </si>
  <si>
    <t>SLF006</t>
  </si>
  <si>
    <t>SLF007</t>
  </si>
  <si>
    <t>SLF009</t>
  </si>
  <si>
    <t>SLF012</t>
  </si>
  <si>
    <t>SLF013</t>
  </si>
  <si>
    <t>SLF014</t>
  </si>
  <si>
    <t>SLF016</t>
  </si>
  <si>
    <t>SLF017</t>
  </si>
  <si>
    <t>SLF018</t>
  </si>
  <si>
    <t>SLF019</t>
  </si>
  <si>
    <t>SLF020</t>
  </si>
  <si>
    <t>SLF021</t>
  </si>
  <si>
    <t>SLF022</t>
  </si>
  <si>
    <t>SLF023</t>
  </si>
  <si>
    <t>SLF024</t>
  </si>
  <si>
    <t>SLF025</t>
  </si>
  <si>
    <t>SLF026</t>
  </si>
  <si>
    <t>SLF027</t>
  </si>
  <si>
    <t>SLF028</t>
  </si>
  <si>
    <t>SLF029</t>
  </si>
  <si>
    <t>SLF030</t>
  </si>
  <si>
    <t>SLF031</t>
  </si>
  <si>
    <t>SLF032</t>
  </si>
  <si>
    <t>SLF033</t>
  </si>
  <si>
    <t>SLF034</t>
  </si>
  <si>
    <t>SLF035</t>
  </si>
  <si>
    <t>SLF036</t>
  </si>
  <si>
    <t>SLF037</t>
  </si>
  <si>
    <t>SLF038</t>
  </si>
  <si>
    <t>SLF039</t>
  </si>
  <si>
    <t>SLF040</t>
  </si>
  <si>
    <t>SLF041</t>
  </si>
  <si>
    <t>SLF042</t>
  </si>
  <si>
    <t>SLF043</t>
  </si>
  <si>
    <t>SLF044</t>
  </si>
  <si>
    <t>SLF045</t>
  </si>
  <si>
    <t>SLF046</t>
  </si>
  <si>
    <t>SLF047</t>
  </si>
  <si>
    <t>SLF048</t>
  </si>
  <si>
    <t>SLF049</t>
  </si>
  <si>
    <t>SLF052</t>
  </si>
  <si>
    <t>SLF053</t>
  </si>
  <si>
    <t>SLF054</t>
  </si>
  <si>
    <t>SLF056</t>
  </si>
  <si>
    <t>SLF057</t>
  </si>
  <si>
    <t>SLF059</t>
  </si>
  <si>
    <t>Butter, Salted</t>
  </si>
  <si>
    <t>SLG002</t>
  </si>
  <si>
    <t>SLG003</t>
  </si>
  <si>
    <t>SLG004</t>
  </si>
  <si>
    <t>Ghee, Cow</t>
  </si>
  <si>
    <t>SLG006</t>
  </si>
  <si>
    <t>SLG007</t>
  </si>
  <si>
    <t>SLG009</t>
  </si>
  <si>
    <t>Milk, cow, liquid, non-fat</t>
  </si>
  <si>
    <t>SLG012</t>
  </si>
  <si>
    <t>SLG013</t>
  </si>
  <si>
    <t>SLG014</t>
  </si>
  <si>
    <t>SLH002</t>
  </si>
  <si>
    <t>Egg, table, white, raw</t>
  </si>
  <si>
    <t>SLH003</t>
  </si>
  <si>
    <t>SLH004</t>
  </si>
  <si>
    <t>Egg, quail, whole, raw</t>
  </si>
  <si>
    <t>SLH006</t>
  </si>
  <si>
    <t>Chicken, Broiler, breast, skinless</t>
  </si>
  <si>
    <t>SLH008</t>
  </si>
  <si>
    <t>SLH007</t>
  </si>
  <si>
    <t>Chicken, Broiler, gizzard</t>
  </si>
  <si>
    <t>SLH009</t>
  </si>
  <si>
    <t>Chicken, Broiler, thigh, skinless</t>
  </si>
  <si>
    <t>Chicken, country, breast, with skin</t>
  </si>
  <si>
    <t>SLH012</t>
  </si>
  <si>
    <t>Chicken, country, leg, with skin</t>
  </si>
  <si>
    <t>SLH013</t>
  </si>
  <si>
    <t>SLH014</t>
  </si>
  <si>
    <t>SLH016</t>
  </si>
  <si>
    <t>Beef, chops</t>
  </si>
  <si>
    <t>SLH017</t>
  </si>
  <si>
    <t>Beef, liver</t>
  </si>
  <si>
    <t>SLH018</t>
  </si>
  <si>
    <t>SLH019</t>
  </si>
  <si>
    <t>Turkey, breast, with skin</t>
  </si>
  <si>
    <t>SLI002</t>
  </si>
  <si>
    <t>SLI003</t>
  </si>
  <si>
    <t>SLI004</t>
  </si>
  <si>
    <t>SLI006</t>
  </si>
  <si>
    <t>SLI007</t>
  </si>
  <si>
    <t>SLI009</t>
  </si>
  <si>
    <t>SLI013</t>
  </si>
  <si>
    <t>SLI014</t>
  </si>
  <si>
    <t>Canola oil</t>
  </si>
  <si>
    <t>Coconut oil</t>
  </si>
  <si>
    <t>Corn oil</t>
  </si>
  <si>
    <t>Margarine</t>
  </si>
  <si>
    <t>Mustard seed oil</t>
  </si>
  <si>
    <t>Olive oil</t>
  </si>
  <si>
    <t>Palm Olein</t>
  </si>
  <si>
    <t>Peanut oil</t>
  </si>
  <si>
    <t>Rice bran oil</t>
  </si>
  <si>
    <t>Sesame oil</t>
  </si>
  <si>
    <t>Soy bean oil</t>
  </si>
  <si>
    <t>Sunflower oil</t>
  </si>
  <si>
    <t>SLK002</t>
  </si>
  <si>
    <t>SLK003</t>
  </si>
  <si>
    <t>SLK004</t>
  </si>
  <si>
    <t>SLK007</t>
  </si>
  <si>
    <t>SLK009</t>
  </si>
  <si>
    <t>SLK012</t>
  </si>
  <si>
    <t>SLK013</t>
  </si>
  <si>
    <t>SLK014</t>
  </si>
  <si>
    <t>SLK016</t>
  </si>
  <si>
    <t>SLK017</t>
  </si>
  <si>
    <t>SLK018</t>
  </si>
  <si>
    <t>SLK019</t>
  </si>
  <si>
    <t>Coconut water, green, immature</t>
  </si>
  <si>
    <t>SLL002</t>
  </si>
  <si>
    <t>Coconut water, orange (king coconut)</t>
  </si>
  <si>
    <t>SLL001</t>
  </si>
  <si>
    <t>SLA001</t>
  </si>
  <si>
    <t>SLA010</t>
  </si>
  <si>
    <t>SLA011</t>
  </si>
  <si>
    <t>SLB001</t>
  </si>
  <si>
    <t>SLB010</t>
  </si>
  <si>
    <t>SLB011</t>
  </si>
  <si>
    <t>SLE001</t>
  </si>
  <si>
    <t>SLE010</t>
  </si>
  <si>
    <t>SLE011</t>
  </si>
  <si>
    <t>SLF001</t>
  </si>
  <si>
    <t>SLF010</t>
  </si>
  <si>
    <t>SLF011</t>
  </si>
  <si>
    <t>SLG001</t>
  </si>
  <si>
    <t>SLG010</t>
  </si>
  <si>
    <t>SLG011</t>
  </si>
  <si>
    <t>SLH001</t>
  </si>
  <si>
    <t>SLH010</t>
  </si>
  <si>
    <t>SLH011</t>
  </si>
  <si>
    <t>SLI001</t>
  </si>
  <si>
    <t>SLI010</t>
  </si>
  <si>
    <t>SLI011</t>
  </si>
  <si>
    <t>SLK001</t>
  </si>
  <si>
    <t>SLK010</t>
  </si>
  <si>
    <t>SLK011</t>
  </si>
  <si>
    <t>SLI012</t>
  </si>
  <si>
    <t>SLA005</t>
  </si>
  <si>
    <t>SLA008</t>
  </si>
  <si>
    <t>SLA015</t>
  </si>
  <si>
    <t>SLB005</t>
  </si>
  <si>
    <t>SLB008</t>
  </si>
  <si>
    <t>SLC001</t>
  </si>
  <si>
    <t>SLC010</t>
  </si>
  <si>
    <t>SLC005</t>
  </si>
  <si>
    <t>SLD001</t>
  </si>
  <si>
    <t>SLD005</t>
  </si>
  <si>
    <t>SLD008</t>
  </si>
  <si>
    <t>SLD052</t>
  </si>
  <si>
    <t>SLD053</t>
  </si>
  <si>
    <t>SLD054</t>
  </si>
  <si>
    <t>SLD056</t>
  </si>
  <si>
    <t>SLD059</t>
  </si>
  <si>
    <t>SLD051</t>
  </si>
  <si>
    <t>SLD050</t>
  </si>
  <si>
    <t>SLD080</t>
  </si>
  <si>
    <t>SLD055</t>
  </si>
  <si>
    <t>SLD058</t>
  </si>
  <si>
    <t>SLD085</t>
  </si>
  <si>
    <t>SLD010</t>
  </si>
  <si>
    <t>SLD011</t>
  </si>
  <si>
    <t>SLD015</t>
  </si>
  <si>
    <t>SLE050</t>
  </si>
  <si>
    <t>SLE051</t>
  </si>
  <si>
    <t>SLE005</t>
  </si>
  <si>
    <t>SLE008</t>
  </si>
  <si>
    <t>SLE006</t>
  </si>
  <si>
    <t>SLE015</t>
  </si>
  <si>
    <t>SLF050</t>
  </si>
  <si>
    <t>SLF051</t>
  </si>
  <si>
    <t>SLF055</t>
  </si>
  <si>
    <t>SLF058</t>
  </si>
  <si>
    <t>SLF005</t>
  </si>
  <si>
    <t>SLF008</t>
  </si>
  <si>
    <t>SLF015</t>
  </si>
  <si>
    <t>SLG005</t>
  </si>
  <si>
    <t>SLG008</t>
  </si>
  <si>
    <t>SLI005</t>
  </si>
  <si>
    <t>SLI008</t>
  </si>
  <si>
    <t>SLH005</t>
  </si>
  <si>
    <t>SLH015</t>
  </si>
  <si>
    <t>SLK015</t>
  </si>
  <si>
    <t>SLK005</t>
  </si>
  <si>
    <t>SLK008</t>
  </si>
  <si>
    <t>SLK006</t>
  </si>
  <si>
    <t>SLJ001</t>
  </si>
  <si>
    <t>SLJ002</t>
  </si>
  <si>
    <t>SLJ003</t>
  </si>
  <si>
    <t>SLJ004</t>
  </si>
  <si>
    <t>SLJ005</t>
  </si>
  <si>
    <t>SLJ006</t>
  </si>
  <si>
    <t>SLJ007</t>
  </si>
  <si>
    <t>SLJ008</t>
  </si>
  <si>
    <t>SLJ009</t>
  </si>
  <si>
    <t>SLJ010</t>
  </si>
  <si>
    <t>SLJ011</t>
  </si>
  <si>
    <t>SLJ012</t>
  </si>
  <si>
    <t>Cereals and cereal products</t>
  </si>
  <si>
    <t>Roots &amp; tubers</t>
  </si>
  <si>
    <t>Pulses</t>
  </si>
  <si>
    <t>Vegetables</t>
  </si>
  <si>
    <t>Fruits</t>
  </si>
  <si>
    <t>Fish and aquatic foods</t>
  </si>
  <si>
    <t>Milk and dairy products</t>
  </si>
  <si>
    <t>Egg, poultry and meats</t>
  </si>
  <si>
    <t>Nuts and seeds</t>
  </si>
  <si>
    <t>Oils and fats</t>
  </si>
  <si>
    <t>Condiments, spices and herbs</t>
  </si>
  <si>
    <t>Beverages</t>
  </si>
  <si>
    <t>Sri Lanka</t>
  </si>
  <si>
    <t>COCONUT MILK</t>
  </si>
  <si>
    <t>Wayamba University FCT</t>
  </si>
  <si>
    <t>SALT, TABLE</t>
  </si>
  <si>
    <t>Sugars, granulated</t>
  </si>
  <si>
    <t>USDA</t>
  </si>
  <si>
    <t>WATER, PLAIN</t>
  </si>
  <si>
    <t>BLC</t>
  </si>
  <si>
    <t>Vinegar</t>
  </si>
  <si>
    <t>McCance Widdowson #17-339</t>
  </si>
  <si>
    <t>Yeast extract</t>
  </si>
  <si>
    <t>RICE FLOUR</t>
  </si>
  <si>
    <t>JAGGERY, CANE</t>
  </si>
  <si>
    <t>McCance Widdowson #17-517</t>
  </si>
  <si>
    <t>COCONUT ROTI</t>
  </si>
  <si>
    <t>India</t>
  </si>
  <si>
    <t>E054</t>
  </si>
  <si>
    <t>Plum (Prunus domestica)</t>
  </si>
  <si>
    <t>Rice, parboiled, milled (Oryza sativa)</t>
  </si>
  <si>
    <t>A014</t>
  </si>
  <si>
    <t>fctcode</t>
  </si>
  <si>
    <t>source</t>
  </si>
  <si>
    <t>foodgroup</t>
  </si>
  <si>
    <t>foodname</t>
  </si>
  <si>
    <t>nutWATER</t>
  </si>
  <si>
    <t>nutENERC</t>
  </si>
  <si>
    <t>nutPROTEIN</t>
  </si>
  <si>
    <t>nutFATTOTAL</t>
  </si>
  <si>
    <t>nutCHOAVLDF</t>
  </si>
  <si>
    <t>nutFIBERTOTAL</t>
  </si>
  <si>
    <t>nutVITARE</t>
  </si>
  <si>
    <t>nutVITE</t>
  </si>
  <si>
    <t>nutTHIA</t>
  </si>
  <si>
    <t>nutRIBF</t>
  </si>
  <si>
    <t>nutNIA</t>
  </si>
  <si>
    <t>nutVITB6</t>
  </si>
  <si>
    <t>nutFOLSUM</t>
  </si>
  <si>
    <t>nutVITC</t>
  </si>
  <si>
    <t>nutCA</t>
  </si>
  <si>
    <t>nutMG</t>
  </si>
  <si>
    <t>nutNA</t>
  </si>
  <si>
    <t>nutK</t>
  </si>
  <si>
    <t>nutFE</t>
  </si>
  <si>
    <t>nutMN</t>
  </si>
  <si>
    <t>nutCU</t>
  </si>
  <si>
    <t>nutZN</t>
  </si>
  <si>
    <t>nutSE</t>
  </si>
  <si>
    <t>nutFIBSOL</t>
  </si>
  <si>
    <t>nutFIBINS</t>
  </si>
  <si>
    <t>nutASH</t>
  </si>
  <si>
    <t>nutRETINOL</t>
  </si>
  <si>
    <t>nutP</t>
  </si>
  <si>
    <t>nutTRP</t>
  </si>
  <si>
    <t>nutASP</t>
  </si>
  <si>
    <t>nutTHR</t>
  </si>
  <si>
    <t>nutSER</t>
  </si>
  <si>
    <t>nutGLU</t>
  </si>
  <si>
    <t>nutPRO</t>
  </si>
  <si>
    <t>nutGLY</t>
  </si>
  <si>
    <t>nutALA</t>
  </si>
  <si>
    <t>nutCYS</t>
  </si>
  <si>
    <t>nutVAL</t>
  </si>
  <si>
    <t>nutMET</t>
  </si>
  <si>
    <t>nutILE</t>
  </si>
  <si>
    <t>nutLEU</t>
  </si>
  <si>
    <t>nutTYR</t>
  </si>
  <si>
    <t>nutPHE</t>
  </si>
  <si>
    <t>nutHIS</t>
  </si>
  <si>
    <t>nutLYS</t>
  </si>
  <si>
    <t>nutARG</t>
  </si>
  <si>
    <t>nutFATSAT</t>
  </si>
  <si>
    <t>nutFATMUS</t>
  </si>
  <si>
    <t>nutFATPUS</t>
  </si>
  <si>
    <t>nutCHOLESTEROL</t>
  </si>
  <si>
    <t>nutSUGFREE</t>
  </si>
  <si>
    <t>nutSTARCH</t>
  </si>
  <si>
    <t>nutCARTA</t>
  </si>
  <si>
    <t>nutCARTB</t>
  </si>
  <si>
    <t>Other</t>
  </si>
  <si>
    <t>No nutritive value</t>
  </si>
  <si>
    <t>Bangladesh</t>
  </si>
  <si>
    <t>15_0001</t>
  </si>
  <si>
    <t>Baking powder</t>
  </si>
  <si>
    <t>Miscellaneous</t>
  </si>
  <si>
    <t>Curry powder, Thais</t>
  </si>
  <si>
    <t>AAN87</t>
  </si>
  <si>
    <t>ASEAN</t>
  </si>
  <si>
    <t>Sauce, chilli, hot</t>
  </si>
  <si>
    <t>AAN12</t>
  </si>
  <si>
    <t>AAN77</t>
  </si>
  <si>
    <t>Sauce, tomato (ketchup)</t>
  </si>
  <si>
    <t>Sauce, soy, light</t>
  </si>
  <si>
    <t>THN61</t>
  </si>
  <si>
    <t>Curry powder</t>
  </si>
  <si>
    <t>US170924</t>
  </si>
  <si>
    <t>Vanilla extract, imitation, no alcohol</t>
  </si>
  <si>
    <t xml:space="preserve">US172236 </t>
  </si>
  <si>
    <t>Bread, crumbs, dry, grated, plain</t>
  </si>
  <si>
    <t xml:space="preserve">US174928 </t>
  </si>
  <si>
    <t>Baking soda</t>
  </si>
  <si>
    <t xml:space="preserve">US175040 </t>
  </si>
  <si>
    <t>Tomato products, canned, paste, without salt added</t>
  </si>
  <si>
    <t>US170459</t>
  </si>
  <si>
    <t>Roots, tubers &amp; banana</t>
  </si>
  <si>
    <t>Breadfruit, raw</t>
  </si>
  <si>
    <t>TZ365</t>
  </si>
  <si>
    <t>Tanzania</t>
  </si>
  <si>
    <t>N/A</t>
  </si>
  <si>
    <t>nutVITB5</t>
  </si>
  <si>
    <t>Red gram, dal (Cajanus cajan)</t>
  </si>
  <si>
    <t>Red gram, whole (Cajanus cajan)</t>
  </si>
  <si>
    <t>B021</t>
  </si>
  <si>
    <t>B022</t>
  </si>
  <si>
    <t>B004</t>
  </si>
  <si>
    <t>Black gram, whole (Phaseolus mungo)</t>
  </si>
  <si>
    <t>Carp, common, raw</t>
  </si>
  <si>
    <t>P078</t>
  </si>
  <si>
    <t>18-390</t>
  </si>
  <si>
    <t>Venison, meat only, raw</t>
  </si>
  <si>
    <t>74.4</t>
  </si>
  <si>
    <t>22.2</t>
  </si>
  <si>
    <t>1.6</t>
  </si>
  <si>
    <t>103</t>
  </si>
  <si>
    <t>50.0</t>
  </si>
  <si>
    <t>55</t>
  </si>
  <si>
    <t>340</t>
  </si>
  <si>
    <t>5</t>
  </si>
  <si>
    <t>25</t>
  </si>
  <si>
    <t>210</t>
  </si>
  <si>
    <t>3.30</t>
  </si>
  <si>
    <t>2.4</t>
  </si>
  <si>
    <t>9</t>
  </si>
  <si>
    <t>Soya meat</t>
  </si>
  <si>
    <r>
      <t xml:space="preserve">Indian pennywort </t>
    </r>
    <r>
      <rPr>
        <i/>
        <sz val="11"/>
        <rFont val="Calibri"/>
        <family val="2"/>
        <scheme val="minor"/>
      </rPr>
      <t>(Centella asiatica)</t>
    </r>
  </si>
  <si>
    <r>
      <t xml:space="preserve">Parsley </t>
    </r>
    <r>
      <rPr>
        <i/>
        <sz val="11"/>
        <rFont val="Calibri"/>
        <family val="2"/>
        <scheme val="minor"/>
      </rPr>
      <t>(Petrose/inum crispum)</t>
    </r>
  </si>
  <si>
    <r>
      <t xml:space="preserve">Horse purslane </t>
    </r>
    <r>
      <rPr>
        <i/>
        <sz val="11"/>
        <rFont val="Calibri"/>
        <family val="2"/>
        <scheme val="minor"/>
      </rPr>
      <t>(Boerhavia diffusa)</t>
    </r>
  </si>
  <si>
    <t>size</t>
  </si>
  <si>
    <t>small</t>
  </si>
  <si>
    <t>large</t>
  </si>
  <si>
    <t>Average dried fish, NFS</t>
  </si>
  <si>
    <t>Average dried fish, large</t>
  </si>
  <si>
    <t>Average dried fish, small</t>
  </si>
  <si>
    <t>Average fresh fish, NFS</t>
  </si>
  <si>
    <t>Average fresh fish, large</t>
  </si>
  <si>
    <t>Average fresh fish, small</t>
  </si>
  <si>
    <t>Average starchy white root/tuber</t>
  </si>
  <si>
    <t>Average gourd</t>
  </si>
  <si>
    <t>Average legume</t>
  </si>
  <si>
    <t>Average leafy green</t>
  </si>
  <si>
    <t>Average vegetable</t>
  </si>
  <si>
    <t>form</t>
  </si>
  <si>
    <t>fish/seafood</t>
  </si>
  <si>
    <t>freq</t>
  </si>
  <si>
    <t>prop of dried</t>
  </si>
  <si>
    <t>prop of large/small</t>
  </si>
  <si>
    <t>dried</t>
  </si>
  <si>
    <t>SKIPJACK TUNA (+TUNA)</t>
  </si>
  <si>
    <t>RAY</t>
  </si>
  <si>
    <t xml:space="preserve">SCAD (BOLLA) </t>
  </si>
  <si>
    <t>HALMASSA ANCHOVY (SPRAT)</t>
  </si>
  <si>
    <t>SARDINELLA</t>
  </si>
  <si>
    <t>prop of fresh</t>
  </si>
  <si>
    <t>fresh</t>
  </si>
  <si>
    <t>TILAPIA</t>
  </si>
  <si>
    <t>EMPEROR FISH (VILAI)</t>
  </si>
  <si>
    <t>TREVALLY JACK</t>
  </si>
  <si>
    <t>CARP (+SEER FISH)</t>
  </si>
  <si>
    <t>SCAD (BOLLA)</t>
  </si>
  <si>
    <t>JACK MACKEREL</t>
  </si>
  <si>
    <t>starchy white root/tuber</t>
  </si>
  <si>
    <t>proportion</t>
  </si>
  <si>
    <t>POTATO</t>
  </si>
  <si>
    <t>CASSAVA</t>
  </si>
  <si>
    <t>gourd</t>
  </si>
  <si>
    <t xml:space="preserve">BITTER GOURD </t>
  </si>
  <si>
    <t xml:space="preserve">RIDGE GOURD </t>
  </si>
  <si>
    <t xml:space="preserve">SNAKE GOURD </t>
  </si>
  <si>
    <t>legume</t>
  </si>
  <si>
    <t>LENTILS</t>
  </si>
  <si>
    <t>SOY MEAT</t>
  </si>
  <si>
    <t>CHICK PEAS</t>
  </si>
  <si>
    <t>COWPEAS</t>
  </si>
  <si>
    <t>leafy greens</t>
  </si>
  <si>
    <t>DRUMSTICK LEAVES</t>
  </si>
  <si>
    <t>MUKUNUWENNA</t>
  </si>
  <si>
    <t xml:space="preserve">CASSAVA LEAVES </t>
  </si>
  <si>
    <t xml:space="preserve">CABBAGE LEAVES </t>
  </si>
  <si>
    <t xml:space="preserve">GOTUKOLA </t>
  </si>
  <si>
    <t>AMARANTH LEAVES</t>
  </si>
  <si>
    <t>vegetable</t>
  </si>
  <si>
    <t>EGGPLANT</t>
  </si>
  <si>
    <t>LONG BEANS</t>
  </si>
  <si>
    <t>GREEN BEANS</t>
  </si>
  <si>
    <t>DRUMSTICKS</t>
  </si>
  <si>
    <t>PLANTAIN FLOWER</t>
  </si>
  <si>
    <t>WINGED BEANS</t>
  </si>
  <si>
    <t>game meat</t>
  </si>
  <si>
    <t>Average game meat</t>
  </si>
  <si>
    <t xml:space="preserve">VENISON (DEER MEAT) </t>
  </si>
  <si>
    <t xml:space="preserve">GOAT MEAT </t>
  </si>
  <si>
    <t>lizard</t>
  </si>
  <si>
    <t>rabbit</t>
  </si>
  <si>
    <t>elk</t>
  </si>
  <si>
    <r>
      <t xml:space="preserve">Barley </t>
    </r>
    <r>
      <rPr>
        <i/>
        <sz val="11"/>
        <rFont val="Calibri"/>
        <family val="2"/>
        <scheme val="minor"/>
      </rPr>
      <t>(Hordeum vu/gore)</t>
    </r>
  </si>
  <si>
    <r>
      <t xml:space="preserve">Maize, dry, local </t>
    </r>
    <r>
      <rPr>
        <i/>
        <sz val="11"/>
        <rFont val="Calibri"/>
        <family val="2"/>
        <scheme val="minor"/>
      </rPr>
      <t>(Zea mays)</t>
    </r>
  </si>
  <si>
    <r>
      <t xml:space="preserve">Maize, tender, local </t>
    </r>
    <r>
      <rPr>
        <i/>
        <sz val="11"/>
        <rFont val="Calibri"/>
        <family val="2"/>
        <scheme val="minor"/>
      </rPr>
      <t>(Zea mays)</t>
    </r>
  </si>
  <si>
    <r>
      <t xml:space="preserve">Maize, tender, sweet </t>
    </r>
    <r>
      <rPr>
        <i/>
        <sz val="11"/>
        <rFont val="Calibri"/>
        <family val="2"/>
        <scheme val="minor"/>
      </rPr>
      <t>(Zea mays)</t>
    </r>
  </si>
  <si>
    <r>
      <t xml:space="preserve">Millet, finger </t>
    </r>
    <r>
      <rPr>
        <i/>
        <sz val="11"/>
        <rFont val="Calibri"/>
        <family val="2"/>
        <scheme val="minor"/>
      </rPr>
      <t>{Eleusine coracana)</t>
    </r>
  </si>
  <si>
    <r>
      <t xml:space="preserve">Rice, flakes </t>
    </r>
    <r>
      <rPr>
        <i/>
        <sz val="11"/>
        <rFont val="Calibri"/>
        <family val="2"/>
        <scheme val="minor"/>
      </rPr>
      <t>{Oryza sativa)</t>
    </r>
  </si>
  <si>
    <r>
      <t xml:space="preserve">Rice, kaluhinati </t>
    </r>
    <r>
      <rPr>
        <i/>
        <sz val="11"/>
        <rFont val="Calibri"/>
        <family val="2"/>
        <scheme val="minor"/>
      </rPr>
      <t>{Oryza sativa)</t>
    </r>
  </si>
  <si>
    <r>
      <t xml:space="preserve">Rice, keeri samba </t>
    </r>
    <r>
      <rPr>
        <i/>
        <sz val="11"/>
        <rFont val="Calibri"/>
        <family val="2"/>
        <scheme val="minor"/>
      </rPr>
      <t>{Oryza sativa)</t>
    </r>
  </si>
  <si>
    <r>
      <t xml:space="preserve">Rice, kekulu, red </t>
    </r>
    <r>
      <rPr>
        <i/>
        <sz val="11"/>
        <rFont val="Calibri"/>
        <family val="2"/>
        <scheme val="minor"/>
      </rPr>
      <t>(Oryza sativa)</t>
    </r>
  </si>
  <si>
    <r>
      <t xml:space="preserve">Rice, kekulu, white </t>
    </r>
    <r>
      <rPr>
        <i/>
        <sz val="11"/>
        <rFont val="Calibri"/>
        <family val="2"/>
        <scheme val="minor"/>
      </rPr>
      <t>{Oryza sativa)</t>
    </r>
  </si>
  <si>
    <r>
      <t xml:space="preserve">Rice, nadu, white </t>
    </r>
    <r>
      <rPr>
        <i/>
        <sz val="11"/>
        <rFont val="Calibri"/>
        <family val="2"/>
        <scheme val="minor"/>
      </rPr>
      <t>{Oryza sativa)</t>
    </r>
  </si>
  <si>
    <r>
      <t xml:space="preserve">Rice, samba kekulu </t>
    </r>
    <r>
      <rPr>
        <i/>
        <sz val="11"/>
        <rFont val="Calibri"/>
        <family val="2"/>
        <scheme val="minor"/>
      </rPr>
      <t>{Oryza sativa)</t>
    </r>
  </si>
  <si>
    <r>
      <t xml:space="preserve">Vermicelli, rice </t>
    </r>
    <r>
      <rPr>
        <i/>
        <sz val="11"/>
        <rFont val="Calibri"/>
        <family val="2"/>
        <scheme val="minor"/>
      </rPr>
      <t>{Triticum aestivum)</t>
    </r>
  </si>
  <si>
    <r>
      <t xml:space="preserve">Vermicelli, wheat </t>
    </r>
    <r>
      <rPr>
        <i/>
        <sz val="11"/>
        <rFont val="Calibri"/>
        <family val="2"/>
        <scheme val="minor"/>
      </rPr>
      <t>(Triticum aestivum)</t>
    </r>
  </si>
  <si>
    <r>
      <t xml:space="preserve">Water lily seeds </t>
    </r>
    <r>
      <rPr>
        <i/>
        <sz val="11"/>
        <rFont val="Calibri"/>
        <family val="2"/>
        <scheme val="minor"/>
      </rPr>
      <t>(Nymphaea cereals)</t>
    </r>
  </si>
  <si>
    <r>
      <t xml:space="preserve">Wheat, flour, atta </t>
    </r>
    <r>
      <rPr>
        <i/>
        <sz val="11"/>
        <rFont val="Calibri"/>
        <family val="2"/>
        <scheme val="minor"/>
      </rPr>
      <t>(Triticum aestivum)</t>
    </r>
  </si>
  <si>
    <r>
      <t xml:space="preserve">Wheat, flour, refined </t>
    </r>
    <r>
      <rPr>
        <i/>
        <sz val="11"/>
        <rFont val="Calibri"/>
        <family val="2"/>
        <scheme val="minor"/>
      </rPr>
      <t>{Triticum aestivum)</t>
    </r>
  </si>
  <si>
    <r>
      <t xml:space="preserve">Wheat, semolina </t>
    </r>
    <r>
      <rPr>
        <i/>
        <sz val="11"/>
        <rFont val="Calibri"/>
        <family val="2"/>
        <scheme val="minor"/>
      </rPr>
      <t>(Triticum aestivum)</t>
    </r>
  </si>
  <si>
    <r>
      <t xml:space="preserve">Cardamom </t>
    </r>
    <r>
      <rPr>
        <i/>
        <sz val="11"/>
        <rFont val="Calibri"/>
        <family val="2"/>
        <scheme val="minor"/>
      </rPr>
      <t>(Elettaria cardamomum)</t>
    </r>
  </si>
  <si>
    <r>
      <t xml:space="preserve">Chillies, dark green, short </t>
    </r>
    <r>
      <rPr>
        <i/>
        <sz val="11"/>
        <rFont val="Calibri"/>
        <family val="2"/>
        <scheme val="minor"/>
      </rPr>
      <t>(Capsicum annum)</t>
    </r>
  </si>
  <si>
    <r>
      <t xml:space="preserve">Chillies, red, dry </t>
    </r>
    <r>
      <rPr>
        <i/>
        <sz val="11"/>
        <rFont val="Calibri"/>
        <family val="2"/>
        <scheme val="minor"/>
      </rPr>
      <t>(Capsicum annum)</t>
    </r>
  </si>
  <si>
    <r>
      <t xml:space="preserve">Chillies, yellowish green, long </t>
    </r>
    <r>
      <rPr>
        <i/>
        <sz val="11"/>
        <rFont val="Calibri"/>
        <family val="2"/>
        <scheme val="minor"/>
      </rPr>
      <t>(Capsicum annum)</t>
    </r>
  </si>
  <si>
    <r>
      <t xml:space="preserve">Cloves </t>
    </r>
    <r>
      <rPr>
        <i/>
        <sz val="11"/>
        <rFont val="Calibri"/>
        <family val="2"/>
        <scheme val="minor"/>
      </rPr>
      <t>(Syzygium aromaticum)</t>
    </r>
  </si>
  <si>
    <r>
      <t xml:space="preserve">Coriander seeds </t>
    </r>
    <r>
      <rPr>
        <i/>
        <sz val="11"/>
        <rFont val="Calibri"/>
        <family val="2"/>
        <scheme val="minor"/>
      </rPr>
      <t>(Coriandrum sativum)</t>
    </r>
  </si>
  <si>
    <r>
      <t xml:space="preserve">Coriander, leaves </t>
    </r>
    <r>
      <rPr>
        <i/>
        <sz val="11"/>
        <rFont val="Calibri"/>
        <family val="2"/>
        <scheme val="minor"/>
      </rPr>
      <t>(Coriandrum sativum)</t>
    </r>
  </si>
  <si>
    <r>
      <t xml:space="preserve">Cumin seeds </t>
    </r>
    <r>
      <rPr>
        <i/>
        <sz val="11"/>
        <rFont val="Calibri"/>
        <family val="2"/>
        <scheme val="minor"/>
      </rPr>
      <t>(Cuminum cyminum)</t>
    </r>
  </si>
  <si>
    <r>
      <t xml:space="preserve">Curry leaves </t>
    </r>
    <r>
      <rPr>
        <i/>
        <sz val="11"/>
        <rFont val="Calibri"/>
        <family val="2"/>
        <scheme val="minor"/>
      </rPr>
      <t>(Murraya koenigii)</t>
    </r>
  </si>
  <si>
    <r>
      <t xml:space="preserve">Fenugreek seeds </t>
    </r>
    <r>
      <rPr>
        <i/>
        <sz val="11"/>
        <rFont val="Calibri"/>
        <family val="2"/>
        <scheme val="minor"/>
      </rPr>
      <t>(Trigonel/a foenum graecum)</t>
    </r>
  </si>
  <si>
    <r>
      <t xml:space="preserve">Garlic </t>
    </r>
    <r>
      <rPr>
        <i/>
        <sz val="11"/>
        <rFont val="Calibri"/>
        <family val="2"/>
        <scheme val="minor"/>
      </rPr>
      <t>(Allium sativum)</t>
    </r>
  </si>
  <si>
    <r>
      <t xml:space="preserve">Ginger fresh, large </t>
    </r>
    <r>
      <rPr>
        <i/>
        <sz val="11"/>
        <rFont val="Calibri"/>
        <family val="2"/>
        <scheme val="minor"/>
      </rPr>
      <t>(Zingiber officinale)</t>
    </r>
  </si>
  <si>
    <r>
      <t xml:space="preserve">Ginger fresh, small </t>
    </r>
    <r>
      <rPr>
        <i/>
        <sz val="11"/>
        <rFont val="Calibri"/>
        <family val="2"/>
        <scheme val="minor"/>
      </rPr>
      <t>(Curcuma amada)</t>
    </r>
  </si>
  <si>
    <r>
      <t xml:space="preserve">Mint leaves </t>
    </r>
    <r>
      <rPr>
        <i/>
        <sz val="11"/>
        <rFont val="Calibri"/>
        <family val="2"/>
        <scheme val="minor"/>
      </rPr>
      <t>(Mentha spicata)</t>
    </r>
  </si>
  <si>
    <r>
      <t xml:space="preserve">Nutmeg </t>
    </r>
    <r>
      <rPr>
        <i/>
        <sz val="11"/>
        <rFont val="Calibri"/>
        <family val="2"/>
        <scheme val="minor"/>
      </rPr>
      <t>(Myristica fragrans)</t>
    </r>
  </si>
  <si>
    <r>
      <t xml:space="preserve">Onion, big </t>
    </r>
    <r>
      <rPr>
        <i/>
        <sz val="11"/>
        <rFont val="Calibri"/>
        <family val="2"/>
        <scheme val="minor"/>
      </rPr>
      <t>(Allium cepa)</t>
    </r>
  </si>
  <si>
    <r>
      <t xml:space="preserve">Onion, small, shallots </t>
    </r>
    <r>
      <rPr>
        <i/>
        <sz val="11"/>
        <rFont val="Calibri"/>
        <family val="2"/>
        <scheme val="minor"/>
      </rPr>
      <t>(Allium cepa)</t>
    </r>
  </si>
  <si>
    <r>
      <t xml:space="preserve">Pepper, black </t>
    </r>
    <r>
      <rPr>
        <i/>
        <sz val="11"/>
        <rFont val="Calibri"/>
        <family val="2"/>
        <scheme val="minor"/>
      </rPr>
      <t>(Piper nigrum)</t>
    </r>
  </si>
  <si>
    <r>
      <t xml:space="preserve">Turmeric powder </t>
    </r>
    <r>
      <rPr>
        <i/>
        <sz val="11"/>
        <rFont val="Calibri"/>
        <family val="2"/>
        <scheme val="minor"/>
      </rPr>
      <t>(Curcuma domestica)</t>
    </r>
  </si>
  <si>
    <t>Chicken, Broiler, drumstick, skinless</t>
  </si>
  <si>
    <t>Chicken, Broiler, liver</t>
  </si>
  <si>
    <t>Chicken, country, thigh, with skin</t>
  </si>
  <si>
    <t>Chicken, country, wing, with skin</t>
  </si>
  <si>
    <t>Egg, country, whole, raw</t>
  </si>
  <si>
    <t>Egg, table, whole, raw</t>
  </si>
  <si>
    <t>Egg, table, yolk, raw</t>
  </si>
  <si>
    <t>Goat, chops</t>
  </si>
  <si>
    <t>Pork, shoulder</t>
  </si>
  <si>
    <r>
      <t xml:space="preserve">Apple, green </t>
    </r>
    <r>
      <rPr>
        <i/>
        <sz val="11"/>
        <rFont val="Calibri"/>
        <family val="2"/>
        <scheme val="minor"/>
      </rPr>
      <t>(Ma/us domestica)</t>
    </r>
  </si>
  <si>
    <r>
      <t xml:space="preserve">Apple, red </t>
    </r>
    <r>
      <rPr>
        <i/>
        <sz val="11"/>
        <rFont val="Calibri"/>
        <family val="2"/>
        <scheme val="minor"/>
      </rPr>
      <t>(Ma/us domestica)</t>
    </r>
  </si>
  <si>
    <r>
      <t xml:space="preserve">Avocado fruit </t>
    </r>
    <r>
      <rPr>
        <i/>
        <sz val="11"/>
        <rFont val="Calibri"/>
        <family val="2"/>
        <scheme val="minor"/>
      </rPr>
      <t>(Persea americana)</t>
    </r>
  </si>
  <si>
    <r>
      <t xml:space="preserve">Bael fruit </t>
    </r>
    <r>
      <rPr>
        <i/>
        <sz val="11"/>
        <rFont val="Calibri"/>
        <family val="2"/>
        <scheme val="minor"/>
      </rPr>
      <t>(Aeg/e marme/os)</t>
    </r>
  </si>
  <si>
    <r>
      <t xml:space="preserve">Banana, ripe, ambul </t>
    </r>
    <r>
      <rPr>
        <i/>
        <sz val="11"/>
        <rFont val="Calibri"/>
        <family val="2"/>
        <scheme val="minor"/>
      </rPr>
      <t>(Musa x paradisiaca)</t>
    </r>
  </si>
  <si>
    <r>
      <t xml:space="preserve">Banana, ripe, anamalu </t>
    </r>
    <r>
      <rPr>
        <i/>
        <sz val="11"/>
        <rFont val="Calibri"/>
        <family val="2"/>
        <scheme val="minor"/>
      </rPr>
      <t>(Musa x acuminata)</t>
    </r>
  </si>
  <si>
    <r>
      <t xml:space="preserve">Banana, ripe, Cavendish </t>
    </r>
    <r>
      <rPr>
        <i/>
        <sz val="11"/>
        <rFont val="Calibri"/>
        <family val="2"/>
        <scheme val="minor"/>
      </rPr>
      <t>(Musa x paradisiaca)</t>
    </r>
  </si>
  <si>
    <r>
      <t xml:space="preserve">Banana, ripe, pome </t>
    </r>
    <r>
      <rPr>
        <i/>
        <sz val="11"/>
        <rFont val="Calibri"/>
        <family val="2"/>
        <scheme val="minor"/>
      </rPr>
      <t>(Musa x paradisiaca)</t>
    </r>
  </si>
  <si>
    <r>
      <t xml:space="preserve">Banana, ripe, red </t>
    </r>
    <r>
      <rPr>
        <i/>
        <sz val="11"/>
        <rFont val="Calibri"/>
        <family val="2"/>
        <scheme val="minor"/>
      </rPr>
      <t>{Musa x paradisiaca)</t>
    </r>
  </si>
  <si>
    <r>
      <t xml:space="preserve">Banana, ripe, silk </t>
    </r>
    <r>
      <rPr>
        <i/>
        <sz val="11"/>
        <rFont val="Calibri"/>
        <family val="2"/>
        <scheme val="minor"/>
      </rPr>
      <t>(Musa x paradisiaca)</t>
    </r>
  </si>
  <si>
    <r>
      <t xml:space="preserve">Black-purple berries, Java plum </t>
    </r>
    <r>
      <rPr>
        <i/>
        <sz val="11"/>
        <rFont val="Calibri"/>
        <family val="2"/>
        <scheme val="minor"/>
      </rPr>
      <t>(Syzygium cumini)</t>
    </r>
  </si>
  <si>
    <r>
      <t xml:space="preserve">Ceylon olive </t>
    </r>
    <r>
      <rPr>
        <i/>
        <sz val="11"/>
        <rFont val="Calibri"/>
        <family val="2"/>
        <scheme val="minor"/>
      </rPr>
      <t>(E/aeocarpus serratus)</t>
    </r>
  </si>
  <si>
    <r>
      <t xml:space="preserve">Custard apple, sweetsop </t>
    </r>
    <r>
      <rPr>
        <i/>
        <sz val="11"/>
        <rFont val="Calibri"/>
        <family val="2"/>
        <scheme val="minor"/>
      </rPr>
      <t>{Annona squamosa)</t>
    </r>
  </si>
  <si>
    <r>
      <t xml:space="preserve">Dates, processed </t>
    </r>
    <r>
      <rPr>
        <i/>
        <sz val="11"/>
        <rFont val="Calibri"/>
        <family val="2"/>
        <scheme val="minor"/>
      </rPr>
      <t>{Phoenix doctylifera)</t>
    </r>
  </si>
  <si>
    <r>
      <t xml:space="preserve">Gooseberry, Indian </t>
    </r>
    <r>
      <rPr>
        <i/>
        <sz val="11"/>
        <rFont val="Calibri"/>
        <family val="2"/>
        <scheme val="minor"/>
      </rPr>
      <t>(Emblica officinalis)</t>
    </r>
  </si>
  <si>
    <r>
      <t xml:space="preserve">Grapes, seeded, round, black </t>
    </r>
    <r>
      <rPr>
        <i/>
        <sz val="11"/>
        <rFont val="Calibri"/>
        <family val="2"/>
        <scheme val="minor"/>
      </rPr>
      <t>(Vitis vinifera)</t>
    </r>
  </si>
  <si>
    <r>
      <t xml:space="preserve">Grapes, seeded, round, green </t>
    </r>
    <r>
      <rPr>
        <i/>
        <sz val="11"/>
        <rFont val="Calibri"/>
        <family val="2"/>
        <scheme val="minor"/>
      </rPr>
      <t>(Vitis vinifera)</t>
    </r>
  </si>
  <si>
    <r>
      <t xml:space="preserve">Grapes, seeded, round, red </t>
    </r>
    <r>
      <rPr>
        <i/>
        <sz val="11"/>
        <rFont val="Calibri"/>
        <family val="2"/>
        <scheme val="minor"/>
      </rPr>
      <t>{Vitis vinifera)</t>
    </r>
  </si>
  <si>
    <r>
      <t xml:space="preserve">Grapes, seedless, oval, black </t>
    </r>
    <r>
      <rPr>
        <i/>
        <sz val="11"/>
        <rFont val="Calibri"/>
        <family val="2"/>
        <scheme val="minor"/>
      </rPr>
      <t>(Vitis vinifera)</t>
    </r>
  </si>
  <si>
    <r>
      <t xml:space="preserve">Grapes, seedless, round, green </t>
    </r>
    <r>
      <rPr>
        <i/>
        <sz val="11"/>
        <rFont val="Calibri"/>
        <family val="2"/>
        <scheme val="minor"/>
      </rPr>
      <t>(Vitis vinifera)</t>
    </r>
  </si>
  <si>
    <r>
      <t xml:space="preserve">Guava, kilo pera </t>
    </r>
    <r>
      <rPr>
        <i/>
        <sz val="11"/>
        <rFont val="Calibri"/>
        <family val="2"/>
        <scheme val="minor"/>
      </rPr>
      <t>(Psidium guajava)</t>
    </r>
  </si>
  <si>
    <r>
      <t xml:space="preserve">Guava, pink flesh </t>
    </r>
    <r>
      <rPr>
        <i/>
        <sz val="11"/>
        <rFont val="Calibri"/>
        <family val="2"/>
        <scheme val="minor"/>
      </rPr>
      <t>{Psidium cattleyanum)</t>
    </r>
  </si>
  <si>
    <r>
      <t xml:space="preserve">Guava, white flesh </t>
    </r>
    <r>
      <rPr>
        <i/>
        <sz val="11"/>
        <rFont val="Calibri"/>
        <family val="2"/>
        <scheme val="minor"/>
      </rPr>
      <t>{Psidium guajava)</t>
    </r>
  </si>
  <si>
    <r>
      <t xml:space="preserve">Jack fruit, ripe </t>
    </r>
    <r>
      <rPr>
        <i/>
        <sz val="11"/>
        <rFont val="Calibri"/>
        <family val="2"/>
        <scheme val="minor"/>
      </rPr>
      <t>(Artocarpus heterophyllus)</t>
    </r>
  </si>
  <si>
    <r>
      <t xml:space="preserve">Jamun fruit, rose apple, white </t>
    </r>
    <r>
      <rPr>
        <i/>
        <sz val="11"/>
        <rFont val="Calibri"/>
        <family val="2"/>
        <scheme val="minor"/>
      </rPr>
      <t>{Syzygium cumini)</t>
    </r>
  </si>
  <si>
    <r>
      <t xml:space="preserve">Karonda fruit </t>
    </r>
    <r>
      <rPr>
        <i/>
        <sz val="11"/>
        <rFont val="Calibri"/>
        <family val="2"/>
        <scheme val="minor"/>
      </rPr>
      <t>{Carissa carandas)</t>
    </r>
  </si>
  <si>
    <r>
      <t xml:space="preserve">Lemon, juice </t>
    </r>
    <r>
      <rPr>
        <i/>
        <sz val="11"/>
        <rFont val="Calibri"/>
        <family val="2"/>
        <scheme val="minor"/>
      </rPr>
      <t>(Citrus limon)</t>
    </r>
  </si>
  <si>
    <r>
      <t xml:space="preserve">Lime, sweet, pulp </t>
    </r>
    <r>
      <rPr>
        <i/>
        <sz val="11"/>
        <rFont val="Calibri"/>
        <family val="2"/>
        <scheme val="minor"/>
      </rPr>
      <t>(Citrus limetta)</t>
    </r>
  </si>
  <si>
    <r>
      <t xml:space="preserve">Mandarine, heen naran </t>
    </r>
    <r>
      <rPr>
        <i/>
        <sz val="11"/>
        <rFont val="Calibri"/>
        <family val="2"/>
        <scheme val="minor"/>
      </rPr>
      <t>(Citrus reticulate)</t>
    </r>
  </si>
  <si>
    <r>
      <t xml:space="preserve">Mango, ripe, bud </t>
    </r>
    <r>
      <rPr>
        <i/>
        <sz val="11"/>
        <rFont val="Calibri"/>
        <family val="2"/>
        <scheme val="minor"/>
      </rPr>
      <t>(Mangifera indica)</t>
    </r>
  </si>
  <si>
    <r>
      <t xml:space="preserve">Mango, ripe, Tom EJC </t>
    </r>
    <r>
      <rPr>
        <i/>
        <sz val="11"/>
        <rFont val="Calibri"/>
        <family val="2"/>
        <scheme val="minor"/>
      </rPr>
      <t>(Mangifera indica)</t>
    </r>
  </si>
  <si>
    <r>
      <t xml:space="preserve">Mango, ripe, vilad </t>
    </r>
    <r>
      <rPr>
        <i/>
        <sz val="11"/>
        <rFont val="Calibri"/>
        <family val="2"/>
        <scheme val="minor"/>
      </rPr>
      <t>(Mangifera indica)</t>
    </r>
  </si>
  <si>
    <r>
      <t xml:space="preserve">Mangosteen </t>
    </r>
    <r>
      <rPr>
        <i/>
        <sz val="11"/>
        <rFont val="Calibri"/>
        <family val="2"/>
        <scheme val="minor"/>
      </rPr>
      <t>(Garcinia mangostana)</t>
    </r>
  </si>
  <si>
    <r>
      <t xml:space="preserve">Manila tamarind </t>
    </r>
    <r>
      <rPr>
        <i/>
        <sz val="11"/>
        <rFont val="Calibri"/>
        <family val="2"/>
        <scheme val="minor"/>
      </rPr>
      <t>(Pithecel/obium du/ce)</t>
    </r>
  </si>
  <si>
    <r>
      <t xml:space="preserve">Musk melon, cantaloupe, orange </t>
    </r>
    <r>
      <rPr>
        <i/>
        <sz val="11"/>
        <rFont val="Calibri"/>
        <family val="2"/>
        <scheme val="minor"/>
      </rPr>
      <t>(Cucumis melon)</t>
    </r>
  </si>
  <si>
    <r>
      <t xml:space="preserve">Palm fruit, tender </t>
    </r>
    <r>
      <rPr>
        <i/>
        <sz val="11"/>
        <rFont val="Calibri"/>
        <family val="2"/>
        <scheme val="minor"/>
      </rPr>
      <t>(Borassus f/abel/ifer)</t>
    </r>
  </si>
  <si>
    <r>
      <t xml:space="preserve">Papaya, ripe </t>
    </r>
    <r>
      <rPr>
        <i/>
        <sz val="11"/>
        <rFont val="Calibri"/>
        <family val="2"/>
        <scheme val="minor"/>
      </rPr>
      <t>(Carcia papaya)</t>
    </r>
  </si>
  <si>
    <r>
      <t xml:space="preserve">Passion fruit, seeded, yellow </t>
    </r>
    <r>
      <rPr>
        <i/>
        <sz val="11"/>
        <rFont val="Calibri"/>
        <family val="2"/>
        <scheme val="minor"/>
      </rPr>
      <t>(Passi/fora edul/s)</t>
    </r>
  </si>
  <si>
    <r>
      <t xml:space="preserve">Pear </t>
    </r>
    <r>
      <rPr>
        <i/>
        <sz val="11"/>
        <rFont val="Calibri"/>
        <family val="2"/>
        <scheme val="minor"/>
      </rPr>
      <t>(Prunus persica)</t>
    </r>
  </si>
  <si>
    <r>
      <t xml:space="preserve">Pineapple </t>
    </r>
    <r>
      <rPr>
        <i/>
        <sz val="11"/>
        <rFont val="Calibri"/>
        <family val="2"/>
        <scheme val="minor"/>
      </rPr>
      <t>(Ananas comosus)</t>
    </r>
  </si>
  <si>
    <r>
      <t xml:space="preserve">Pomegranate, maroon seeds </t>
    </r>
    <r>
      <rPr>
        <i/>
        <sz val="11"/>
        <rFont val="Calibri"/>
        <family val="2"/>
        <scheme val="minor"/>
      </rPr>
      <t>(Punica granatum)</t>
    </r>
  </si>
  <si>
    <r>
      <t xml:space="preserve">Pummelo </t>
    </r>
    <r>
      <rPr>
        <i/>
        <sz val="11"/>
        <rFont val="Calibri"/>
        <family val="2"/>
        <scheme val="minor"/>
      </rPr>
      <t>(Citrus maxima)</t>
    </r>
  </si>
  <si>
    <r>
      <t xml:space="preserve">Raisins, dried, black </t>
    </r>
    <r>
      <rPr>
        <i/>
        <sz val="11"/>
        <rFont val="Calibri"/>
        <family val="2"/>
        <scheme val="minor"/>
      </rPr>
      <t>(Vitis vinifera)</t>
    </r>
  </si>
  <si>
    <r>
      <t xml:space="preserve">Raisins, dried, golden </t>
    </r>
    <r>
      <rPr>
        <i/>
        <sz val="11"/>
        <rFont val="Calibri"/>
        <family val="2"/>
        <scheme val="minor"/>
      </rPr>
      <t>(Vitis vinifera)</t>
    </r>
  </si>
  <si>
    <r>
      <t xml:space="preserve">Rambutan </t>
    </r>
    <r>
      <rPr>
        <i/>
        <sz val="11"/>
        <rFont val="Calibri"/>
        <family val="2"/>
        <scheme val="minor"/>
      </rPr>
      <t>(Nephe/ium /appaceum)</t>
    </r>
  </si>
  <si>
    <r>
      <t xml:space="preserve">Sapota </t>
    </r>
    <r>
      <rPr>
        <i/>
        <sz val="11"/>
        <rFont val="Calibri"/>
        <family val="2"/>
        <scheme val="minor"/>
      </rPr>
      <t>(Achras sapota)</t>
    </r>
  </si>
  <si>
    <r>
      <t xml:space="preserve">Soursop </t>
    </r>
    <r>
      <rPr>
        <i/>
        <sz val="11"/>
        <rFont val="Calibri"/>
        <family val="2"/>
        <scheme val="minor"/>
      </rPr>
      <t>(Annona muricata)</t>
    </r>
  </si>
  <si>
    <r>
      <t xml:space="preserve">Star fruit </t>
    </r>
    <r>
      <rPr>
        <i/>
        <sz val="11"/>
        <rFont val="Calibri"/>
        <family val="2"/>
        <scheme val="minor"/>
      </rPr>
      <t>(Averrhoa carambola)</t>
    </r>
  </si>
  <si>
    <r>
      <t xml:space="preserve">Strawberry </t>
    </r>
    <r>
      <rPr>
        <i/>
        <sz val="11"/>
        <rFont val="Calibri"/>
        <family val="2"/>
        <scheme val="minor"/>
      </rPr>
      <t>(Fragaria ananassa)</t>
    </r>
  </si>
  <si>
    <r>
      <t xml:space="preserve">Tamarind, pulp </t>
    </r>
    <r>
      <rPr>
        <i/>
        <sz val="11"/>
        <rFont val="Calibri"/>
        <family val="2"/>
        <scheme val="minor"/>
      </rPr>
      <t>(Tamarindus indicus)</t>
    </r>
  </si>
  <si>
    <r>
      <t xml:space="preserve">Water melon, dark green </t>
    </r>
    <r>
      <rPr>
        <i/>
        <sz val="11"/>
        <rFont val="Calibri"/>
        <family val="2"/>
        <scheme val="minor"/>
      </rPr>
      <t>(Citrul/us vulgaris)</t>
    </r>
  </si>
  <si>
    <r>
      <t xml:space="preserve">Water melon, pale green </t>
    </r>
    <r>
      <rPr>
        <i/>
        <sz val="11"/>
        <rFont val="Calibri"/>
        <family val="2"/>
        <scheme val="minor"/>
      </rPr>
      <t>(Citrul/us vulgaris)</t>
    </r>
  </si>
  <si>
    <r>
      <t xml:space="preserve">Wood Apple </t>
    </r>
    <r>
      <rPr>
        <i/>
        <sz val="11"/>
        <rFont val="Calibri"/>
        <family val="2"/>
        <scheme val="minor"/>
      </rPr>
      <t>(Limonia acidissima)</t>
    </r>
  </si>
  <si>
    <r>
      <t xml:space="preserve">Almond </t>
    </r>
    <r>
      <rPr>
        <i/>
        <sz val="11"/>
        <rFont val="Calibri"/>
        <family val="2"/>
        <scheme val="minor"/>
      </rPr>
      <t>(Prunus amygdalus)</t>
    </r>
  </si>
  <si>
    <r>
      <t xml:space="preserve">Arecanut, dried, brown </t>
    </r>
    <r>
      <rPr>
        <i/>
        <sz val="11"/>
        <rFont val="Calibri"/>
        <family val="2"/>
        <scheme val="minor"/>
      </rPr>
      <t>(Areca catechu)</t>
    </r>
  </si>
  <si>
    <r>
      <t xml:space="preserve">Arecanut, fresh </t>
    </r>
    <r>
      <rPr>
        <i/>
        <sz val="11"/>
        <rFont val="Calibri"/>
        <family val="2"/>
        <scheme val="minor"/>
      </rPr>
      <t>(Areca catechu)</t>
    </r>
  </si>
  <si>
    <r>
      <t xml:space="preserve">Cashew nut </t>
    </r>
    <r>
      <rPr>
        <i/>
        <sz val="11"/>
        <rFont val="Calibri"/>
        <family val="2"/>
        <scheme val="minor"/>
      </rPr>
      <t>(Anacardium occidentale)</t>
    </r>
  </si>
  <si>
    <r>
      <t xml:space="preserve">Coconut, kernal, dry </t>
    </r>
    <r>
      <rPr>
        <i/>
        <sz val="11"/>
        <rFont val="Calibri"/>
        <family val="2"/>
        <scheme val="minor"/>
      </rPr>
      <t>(Cocos nucifera)</t>
    </r>
  </si>
  <si>
    <r>
      <t xml:space="preserve">Gingely seeds, black </t>
    </r>
    <r>
      <rPr>
        <i/>
        <sz val="11"/>
        <rFont val="Calibri"/>
        <family val="2"/>
        <scheme val="minor"/>
      </rPr>
      <t>{Sesamum indicum)</t>
    </r>
  </si>
  <si>
    <r>
      <t xml:space="preserve">Gingely seeds, brown </t>
    </r>
    <r>
      <rPr>
        <i/>
        <sz val="11"/>
        <rFont val="Calibri"/>
        <family val="2"/>
        <scheme val="minor"/>
      </rPr>
      <t>(Sesamum indicum)</t>
    </r>
  </si>
  <si>
    <r>
      <t xml:space="preserve">Ground nut </t>
    </r>
    <r>
      <rPr>
        <i/>
        <sz val="11"/>
        <rFont val="Calibri"/>
        <family val="2"/>
        <scheme val="minor"/>
      </rPr>
      <t>{Arachis hypogaea)</t>
    </r>
  </si>
  <si>
    <r>
      <t xml:space="preserve">Linseeds </t>
    </r>
    <r>
      <rPr>
        <i/>
        <sz val="11"/>
        <rFont val="Calibri"/>
        <family val="2"/>
        <scheme val="minor"/>
      </rPr>
      <t>{Unum usitatissimum)</t>
    </r>
  </si>
  <si>
    <r>
      <t xml:space="preserve">Mustard, seeds </t>
    </r>
    <r>
      <rPr>
        <i/>
        <sz val="11"/>
        <rFont val="Calibri"/>
        <family val="2"/>
        <scheme val="minor"/>
      </rPr>
      <t>(Brassica juncea)</t>
    </r>
  </si>
  <si>
    <r>
      <t xml:space="preserve">Pistachio nut </t>
    </r>
    <r>
      <rPr>
        <i/>
        <sz val="11"/>
        <rFont val="Calibri"/>
        <family val="2"/>
        <scheme val="minor"/>
      </rPr>
      <t>(Pistacia vera)</t>
    </r>
  </si>
  <si>
    <r>
      <t xml:space="preserve">Tropical Almond, kottamba </t>
    </r>
    <r>
      <rPr>
        <i/>
        <sz val="11"/>
        <rFont val="Calibri"/>
        <family val="2"/>
        <scheme val="minor"/>
      </rPr>
      <t>(Terminafia catappa)</t>
    </r>
  </si>
  <si>
    <r>
      <t xml:space="preserve">Walnut </t>
    </r>
    <r>
      <rPr>
        <i/>
        <sz val="11"/>
        <rFont val="Calibri"/>
        <family val="2"/>
        <scheme val="minor"/>
      </rPr>
      <t>(Jug/ans regia)</t>
    </r>
  </si>
  <si>
    <r>
      <t xml:space="preserve">Anchovy </t>
    </r>
    <r>
      <rPr>
        <i/>
        <sz val="11"/>
        <rFont val="Calibri"/>
        <family val="2"/>
        <scheme val="minor"/>
      </rPr>
      <t>(Stolephorus indicus)</t>
    </r>
  </si>
  <si>
    <r>
      <t xml:space="preserve">Asian Seabass </t>
    </r>
    <r>
      <rPr>
        <i/>
        <sz val="11"/>
        <rFont val="Calibri"/>
        <family val="2"/>
        <scheme val="minor"/>
      </rPr>
      <t>(Lates ca/carifer)</t>
    </r>
  </si>
  <si>
    <r>
      <t xml:space="preserve">Barracuda, Pickhandle </t>
    </r>
    <r>
      <rPr>
        <i/>
        <sz val="11"/>
        <rFont val="Calibri"/>
        <family val="2"/>
        <scheme val="minor"/>
      </rPr>
      <t>{Sphyraena jel/o)</t>
    </r>
  </si>
  <si>
    <r>
      <t xml:space="preserve">Cat fish </t>
    </r>
    <r>
      <rPr>
        <i/>
        <sz val="11"/>
        <rFont val="Calibri"/>
        <family val="2"/>
        <scheme val="minor"/>
      </rPr>
      <t>(Tachysurus thalassinus)</t>
    </r>
  </si>
  <si>
    <r>
      <t xml:space="preserve">Cobia </t>
    </r>
    <r>
      <rPr>
        <i/>
        <sz val="11"/>
        <rFont val="Calibri"/>
        <family val="2"/>
        <scheme val="minor"/>
      </rPr>
      <t>(Rachycentron canadum)</t>
    </r>
  </si>
  <si>
    <r>
      <t xml:space="preserve">Emperor fish, Spangled </t>
    </r>
    <r>
      <rPr>
        <i/>
        <sz val="11"/>
        <rFont val="Calibri"/>
        <family val="2"/>
        <scheme val="minor"/>
      </rPr>
      <t>(Lethrinus nebu/osus)</t>
    </r>
  </si>
  <si>
    <r>
      <t xml:space="preserve">Green chromide </t>
    </r>
    <r>
      <rPr>
        <i/>
        <sz val="11"/>
        <rFont val="Calibri"/>
        <family val="2"/>
        <scheme val="minor"/>
      </rPr>
      <t>(Etrop/us suratensis)</t>
    </r>
  </si>
  <si>
    <r>
      <t xml:space="preserve">Grouper </t>
    </r>
    <r>
      <rPr>
        <i/>
        <sz val="11"/>
        <rFont val="Calibri"/>
        <family val="2"/>
        <scheme val="minor"/>
      </rPr>
      <t>(Epinephe/us coioides)</t>
    </r>
  </si>
  <si>
    <r>
      <t xml:space="preserve">Hairtail fish </t>
    </r>
    <r>
      <rPr>
        <i/>
        <sz val="11"/>
        <rFont val="Calibri"/>
        <family val="2"/>
        <scheme val="minor"/>
      </rPr>
      <t>{Lepturacanthus savala}</t>
    </r>
  </si>
  <si>
    <r>
      <t xml:space="preserve">Indian mackerel </t>
    </r>
    <r>
      <rPr>
        <i/>
        <sz val="11"/>
        <rFont val="Calibri"/>
        <family val="2"/>
        <scheme val="minor"/>
      </rPr>
      <t>(Rastrelliger kanagurta)</t>
    </r>
  </si>
  <si>
    <r>
      <t xml:space="preserve">Leatherjacket fish </t>
    </r>
    <r>
      <rPr>
        <i/>
        <sz val="11"/>
        <rFont val="Calibri"/>
        <family val="2"/>
        <scheme val="minor"/>
      </rPr>
      <t>(A/uterus monoceros)</t>
    </r>
  </si>
  <si>
    <r>
      <t xml:space="preserve">Mahi-mahi </t>
    </r>
    <r>
      <rPr>
        <i/>
        <sz val="11"/>
        <rFont val="Calibri"/>
        <family val="2"/>
        <scheme val="minor"/>
      </rPr>
      <t>{Coryphaena hippurus)</t>
    </r>
  </si>
  <si>
    <r>
      <t xml:space="preserve">Marlin </t>
    </r>
    <r>
      <rPr>
        <i/>
        <sz val="11"/>
        <rFont val="Calibri"/>
        <family val="2"/>
        <scheme val="minor"/>
      </rPr>
      <t>{lstiompax indica)</t>
    </r>
  </si>
  <si>
    <r>
      <t xml:space="preserve">Mauve-lip thread fin bream </t>
    </r>
    <r>
      <rPr>
        <i/>
        <sz val="11"/>
        <rFont val="Calibri"/>
        <family val="2"/>
        <scheme val="minor"/>
      </rPr>
      <t>(Nemipterus mesoprion)</t>
    </r>
  </si>
  <si>
    <r>
      <t xml:space="preserve">Pomfret, Black </t>
    </r>
    <r>
      <rPr>
        <i/>
        <sz val="11"/>
        <rFont val="Calibri"/>
        <family val="2"/>
        <scheme val="minor"/>
      </rPr>
      <t>(Parastromateus niger)</t>
    </r>
  </si>
  <si>
    <r>
      <t xml:space="preserve">Rainbow runner </t>
    </r>
    <r>
      <rPr>
        <i/>
        <sz val="11"/>
        <rFont val="Calibri"/>
        <family val="2"/>
        <scheme val="minor"/>
      </rPr>
      <t>(E/agatis bipinnulata)</t>
    </r>
  </si>
  <si>
    <r>
      <t xml:space="preserve">Ray, Shortfin devil </t>
    </r>
    <r>
      <rPr>
        <i/>
        <sz val="11"/>
        <rFont val="Calibri"/>
        <family val="2"/>
        <scheme val="minor"/>
      </rPr>
      <t>(Mobu/a kuhlii)</t>
    </r>
  </si>
  <si>
    <r>
      <t xml:space="preserve">Ray, Stingray </t>
    </r>
    <r>
      <rPr>
        <i/>
        <sz val="11"/>
        <rFont val="Calibri"/>
        <family val="2"/>
        <scheme val="minor"/>
      </rPr>
      <t>{Dasyatis pastinaca)</t>
    </r>
  </si>
  <si>
    <r>
      <t xml:space="preserve">Sailfish, lndo-Pacific </t>
    </r>
    <r>
      <rPr>
        <i/>
        <sz val="11"/>
        <rFont val="Calibri"/>
        <family val="2"/>
        <scheme val="minor"/>
      </rPr>
      <t>(fstiophorus platypterus)</t>
    </r>
  </si>
  <si>
    <r>
      <t xml:space="preserve">Sardinella, Goldstripe </t>
    </r>
    <r>
      <rPr>
        <i/>
        <sz val="11"/>
        <rFont val="Calibri"/>
        <family val="2"/>
        <scheme val="minor"/>
      </rPr>
      <t>{Sardine/la gibbosa)</t>
    </r>
  </si>
  <si>
    <r>
      <t xml:space="preserve">Sardinella, spotted </t>
    </r>
    <r>
      <rPr>
        <i/>
        <sz val="11"/>
        <rFont val="Calibri"/>
        <family val="2"/>
        <scheme val="minor"/>
      </rPr>
      <t>(Amblygaster sirm)</t>
    </r>
  </si>
  <si>
    <r>
      <t xml:space="preserve">Sardinella, White </t>
    </r>
    <r>
      <rPr>
        <i/>
        <sz val="11"/>
        <rFont val="Calibri"/>
        <family val="2"/>
        <scheme val="minor"/>
      </rPr>
      <t>(Sardine/la a/be/la)</t>
    </r>
  </si>
  <si>
    <r>
      <t xml:space="preserve">Scad, mackerel </t>
    </r>
    <r>
      <rPr>
        <i/>
        <sz val="11"/>
        <rFont val="Calibri"/>
        <family val="2"/>
        <scheme val="minor"/>
      </rPr>
      <t>(decapterus macarellus)</t>
    </r>
  </si>
  <si>
    <r>
      <t xml:space="preserve">Scad, yellow-stripe </t>
    </r>
    <r>
      <rPr>
        <i/>
        <sz val="11"/>
        <rFont val="Calibri"/>
        <family val="2"/>
        <scheme val="minor"/>
      </rPr>
      <t>{Se/aroides /epto/epis)</t>
    </r>
  </si>
  <si>
    <r>
      <t xml:space="preserve">Seer fish </t>
    </r>
    <r>
      <rPr>
        <i/>
        <sz val="11"/>
        <rFont val="Calibri"/>
        <family val="2"/>
        <scheme val="minor"/>
      </rPr>
      <t>{Scomberomorus commerson)</t>
    </r>
  </si>
  <si>
    <r>
      <t xml:space="preserve">Shark, great Hammerhead </t>
    </r>
    <r>
      <rPr>
        <i/>
        <sz val="11"/>
        <rFont val="Calibri"/>
        <family val="2"/>
        <scheme val="minor"/>
      </rPr>
      <t>(Sphyrna mokarran)</t>
    </r>
  </si>
  <si>
    <r>
      <t xml:space="preserve">Shark, Silky </t>
    </r>
    <r>
      <rPr>
        <i/>
        <sz val="11"/>
        <rFont val="Calibri"/>
        <family val="2"/>
        <scheme val="minor"/>
      </rPr>
      <t>(Carcharhinus falciformis)</t>
    </r>
  </si>
  <si>
    <r>
      <t xml:space="preserve">Swordfish </t>
    </r>
    <r>
      <rPr>
        <i/>
        <sz val="11"/>
        <rFont val="Calibri"/>
        <family val="2"/>
        <scheme val="minor"/>
      </rPr>
      <t>(Xiphias gladius)</t>
    </r>
  </si>
  <si>
    <r>
      <t xml:space="preserve">Trevally, Blacktip </t>
    </r>
    <r>
      <rPr>
        <i/>
        <sz val="11"/>
        <rFont val="Calibri"/>
        <family val="2"/>
        <scheme val="minor"/>
      </rPr>
      <t>{Carnax heberi)</t>
    </r>
  </si>
  <si>
    <r>
      <t xml:space="preserve">Trevally, Diamond </t>
    </r>
    <r>
      <rPr>
        <i/>
        <sz val="11"/>
        <rFont val="Calibri"/>
        <family val="2"/>
        <scheme val="minor"/>
      </rPr>
      <t>(Alectis indicus)</t>
    </r>
  </si>
  <si>
    <r>
      <t xml:space="preserve">Onion, stalk </t>
    </r>
    <r>
      <rPr>
        <i/>
        <sz val="11"/>
        <rFont val="Calibri"/>
        <family val="2"/>
        <scheme val="minor"/>
      </rPr>
      <t>(Allium cepa)</t>
    </r>
  </si>
  <si>
    <r>
      <t xml:space="preserve">Pak Choi leaves </t>
    </r>
    <r>
      <rPr>
        <i/>
        <sz val="11"/>
        <rFont val="Calibri"/>
        <family val="2"/>
        <scheme val="minor"/>
      </rPr>
      <t xml:space="preserve">(Brassica rapa </t>
    </r>
    <r>
      <rPr>
        <sz val="11"/>
        <rFont val="Calibri"/>
        <family val="2"/>
        <scheme val="minor"/>
      </rPr>
      <t xml:space="preserve">var. </t>
    </r>
    <r>
      <rPr>
        <i/>
        <sz val="11"/>
        <rFont val="Calibri"/>
        <family val="2"/>
        <scheme val="minor"/>
      </rPr>
      <t>chinensis)</t>
    </r>
  </si>
  <si>
    <r>
      <t xml:space="preserve">Papaya, raw </t>
    </r>
    <r>
      <rPr>
        <i/>
        <sz val="11"/>
        <rFont val="Calibri"/>
        <family val="2"/>
        <scheme val="minor"/>
      </rPr>
      <t>(Carica papaya)</t>
    </r>
  </si>
  <si>
    <r>
      <t xml:space="preserve">Passion fruit leaves </t>
    </r>
    <r>
      <rPr>
        <i/>
        <sz val="11"/>
        <rFont val="Calibri"/>
        <family val="2"/>
        <scheme val="minor"/>
      </rPr>
      <t>(Passi/Iara edulis)</t>
    </r>
  </si>
  <si>
    <r>
      <t xml:space="preserve">Plantain, ash </t>
    </r>
    <r>
      <rPr>
        <i/>
        <sz val="11"/>
        <rFont val="Calibri"/>
        <family val="2"/>
        <scheme val="minor"/>
      </rPr>
      <t>(Musa parodisiaca)</t>
    </r>
  </si>
  <si>
    <r>
      <t xml:space="preserve">Plantain, ash, peels </t>
    </r>
    <r>
      <rPr>
        <i/>
        <sz val="11"/>
        <rFont val="Calibri"/>
        <family val="2"/>
        <scheme val="minor"/>
      </rPr>
      <t>(Musa paradisiaca)</t>
    </r>
  </si>
  <si>
    <r>
      <t xml:space="preserve">Plantain, flower </t>
    </r>
    <r>
      <rPr>
        <i/>
        <sz val="11"/>
        <rFont val="Calibri"/>
        <family val="2"/>
        <scheme val="minor"/>
      </rPr>
      <t>(Musa x paradisiaca)</t>
    </r>
  </si>
  <si>
    <r>
      <t xml:space="preserve">Plantain, green </t>
    </r>
    <r>
      <rPr>
        <i/>
        <sz val="11"/>
        <rFont val="Calibri"/>
        <family val="2"/>
        <scheme val="minor"/>
      </rPr>
      <t>(Musa x paradisiaca)</t>
    </r>
  </si>
  <si>
    <r>
      <t xml:space="preserve">Plantain, stem </t>
    </r>
    <r>
      <rPr>
        <i/>
        <sz val="11"/>
        <rFont val="Calibri"/>
        <family val="2"/>
        <scheme val="minor"/>
      </rPr>
      <t>(Musa x paradisiaca)</t>
    </r>
  </si>
  <si>
    <r>
      <t xml:space="preserve">Pumpkin leaves, tender </t>
    </r>
    <r>
      <rPr>
        <i/>
        <sz val="11"/>
        <rFont val="Calibri"/>
        <family val="2"/>
        <scheme val="minor"/>
      </rPr>
      <t>(Cucurbita maxima)</t>
    </r>
  </si>
  <si>
    <r>
      <t xml:space="preserve">Radish leaves </t>
    </r>
    <r>
      <rPr>
        <i/>
        <sz val="11"/>
        <rFont val="Calibri"/>
        <family val="2"/>
        <scheme val="minor"/>
      </rPr>
      <t>(Raphanus sativus)</t>
    </r>
  </si>
  <si>
    <r>
      <t xml:space="preserve">Ridge gourd </t>
    </r>
    <r>
      <rPr>
        <i/>
        <sz val="11"/>
        <rFont val="Calibri"/>
        <family val="2"/>
        <scheme val="minor"/>
      </rPr>
      <t>(Luffa acutangula)</t>
    </r>
  </si>
  <si>
    <r>
      <t xml:space="preserve">Sessile joyweed </t>
    </r>
    <r>
      <rPr>
        <i/>
        <sz val="11"/>
        <rFont val="Calibri"/>
        <family val="2"/>
        <scheme val="minor"/>
      </rPr>
      <t>(Alternanthera sessilis)</t>
    </r>
  </si>
  <si>
    <r>
      <t xml:space="preserve">Snake gourd, dark green </t>
    </r>
    <r>
      <rPr>
        <i/>
        <sz val="11"/>
        <rFont val="Calibri"/>
        <family val="2"/>
        <scheme val="minor"/>
      </rPr>
      <t>(Trichasanthes anguina)</t>
    </r>
  </si>
  <si>
    <r>
      <t xml:space="preserve">Snake gourd, pale green </t>
    </r>
    <r>
      <rPr>
        <i/>
        <sz val="11"/>
        <rFont val="Calibri"/>
        <family val="2"/>
        <scheme val="minor"/>
      </rPr>
      <t>(Trichasanthes anguina)</t>
    </r>
  </si>
  <si>
    <r>
      <t xml:space="preserve">Spiny gourd </t>
    </r>
    <r>
      <rPr>
        <i/>
        <sz val="11"/>
        <rFont val="Calibri"/>
        <family val="2"/>
        <scheme val="minor"/>
      </rPr>
      <t>(Mamardica diaica)</t>
    </r>
  </si>
  <si>
    <r>
      <t xml:space="preserve">Sweet leaf </t>
    </r>
    <r>
      <rPr>
        <i/>
        <sz val="11"/>
        <rFont val="Calibri"/>
        <family val="2"/>
        <scheme val="minor"/>
      </rPr>
      <t>(Sauropus androgynus)</t>
    </r>
  </si>
  <si>
    <r>
      <t xml:space="preserve">Tamarind leaves, tender </t>
    </r>
    <r>
      <rPr>
        <i/>
        <sz val="11"/>
        <rFont val="Calibri"/>
        <family val="2"/>
        <scheme val="minor"/>
      </rPr>
      <t>(Tamarindus indica)</t>
    </r>
  </si>
  <si>
    <r>
      <t xml:space="preserve">Tomato, green </t>
    </r>
    <r>
      <rPr>
        <i/>
        <sz val="11"/>
        <rFont val="Calibri"/>
        <family val="2"/>
        <scheme val="minor"/>
      </rPr>
      <t>(Lycapersican escu/entum)</t>
    </r>
  </si>
  <si>
    <r>
      <t xml:space="preserve">Turkey berry </t>
    </r>
    <r>
      <rPr>
        <i/>
        <sz val="11"/>
        <rFont val="Calibri"/>
        <family val="2"/>
        <scheme val="minor"/>
      </rPr>
      <t>(Sa/anum tarvum)</t>
    </r>
  </si>
  <si>
    <r>
      <t xml:space="preserve">Water spinach </t>
    </r>
    <r>
      <rPr>
        <i/>
        <sz val="11"/>
        <rFont val="Calibri"/>
        <family val="2"/>
        <scheme val="minor"/>
      </rPr>
      <t>(lpamaea aquatica)</t>
    </r>
  </si>
  <si>
    <r>
      <t xml:space="preserve">Wing bean </t>
    </r>
    <r>
      <rPr>
        <i/>
        <sz val="11"/>
        <rFont val="Calibri"/>
        <family val="2"/>
        <scheme val="minor"/>
      </rPr>
      <t>(Psapacarpus tetraganalabus)</t>
    </r>
  </si>
  <si>
    <r>
      <t xml:space="preserve">Zucchini, green </t>
    </r>
    <r>
      <rPr>
        <i/>
        <sz val="11"/>
        <rFont val="Calibri"/>
        <family val="2"/>
        <scheme val="minor"/>
      </rPr>
      <t>(Cucurbita pepa)</t>
    </r>
  </si>
  <si>
    <r>
      <t xml:space="preserve">Zucchini, yellow </t>
    </r>
    <r>
      <rPr>
        <i/>
        <sz val="11"/>
        <rFont val="Calibri"/>
        <family val="2"/>
        <scheme val="minor"/>
      </rPr>
      <t>(Cucurbita pepa)</t>
    </r>
  </si>
  <si>
    <r>
      <t xml:space="preserve">Crab, mud </t>
    </r>
    <r>
      <rPr>
        <i/>
        <sz val="11"/>
        <rFont val="Calibri"/>
        <family val="2"/>
        <scheme val="minor"/>
      </rPr>
      <t>(Scylla tranquebarica)</t>
    </r>
  </si>
  <si>
    <r>
      <t xml:space="preserve">Marlin, Inda-Pacific Sailfish </t>
    </r>
    <r>
      <rPr>
        <i/>
        <sz val="11"/>
        <rFont val="Calibri"/>
        <family val="2"/>
        <scheme val="minor"/>
      </rPr>
      <t>(Istiophorusplatypterus)</t>
    </r>
  </si>
  <si>
    <r>
      <t xml:space="preserve">Tuna, Skipjack </t>
    </r>
    <r>
      <rPr>
        <i/>
        <sz val="11"/>
        <rFont val="Calibri"/>
        <family val="2"/>
        <scheme val="minor"/>
      </rPr>
      <t>(Katsuwonus pe/amis)</t>
    </r>
  </si>
  <si>
    <t>Cheese, cheddar, regular fat</t>
  </si>
  <si>
    <t>Cheese, cottage, panner</t>
  </si>
  <si>
    <t>Curd, buffalo. whole</t>
  </si>
  <si>
    <t>Milk, cow, condensed, sweetened, whole</t>
  </si>
  <si>
    <t>Milk, cow, liquid, full cream</t>
  </si>
  <si>
    <t>Milk, cow, liquid, low fat</t>
  </si>
  <si>
    <t>Milk, cow, powdered, skimmed</t>
  </si>
  <si>
    <t>Milk, cow, powdered, whole</t>
  </si>
  <si>
    <t>Milk, goat, whole</t>
  </si>
  <si>
    <t>Yoghurt, low fat, plain</t>
  </si>
  <si>
    <t>Yoghurt, whole</t>
  </si>
  <si>
    <r>
      <t xml:space="preserve">Bengal gram, dhal </t>
    </r>
    <r>
      <rPr>
        <i/>
        <sz val="11"/>
        <rFont val="Calibri"/>
        <family val="2"/>
        <scheme val="minor"/>
      </rPr>
      <t>{Cicer arietinum)</t>
    </r>
  </si>
  <si>
    <r>
      <t xml:space="preserve">Bengal gram, whole </t>
    </r>
    <r>
      <rPr>
        <i/>
        <sz val="11"/>
        <rFont val="Calibri"/>
        <family val="2"/>
        <scheme val="minor"/>
      </rPr>
      <t>{Cicer arietinum)</t>
    </r>
  </si>
  <si>
    <r>
      <t xml:space="preserve">Black gram, dhal </t>
    </r>
    <r>
      <rPr>
        <i/>
        <sz val="11"/>
        <rFont val="Calibri"/>
        <family val="2"/>
        <scheme val="minor"/>
      </rPr>
      <t>{Phaseolus mungo)</t>
    </r>
  </si>
  <si>
    <r>
      <t xml:space="preserve">Cowpea, brown </t>
    </r>
    <r>
      <rPr>
        <i/>
        <sz val="11"/>
        <rFont val="Calibri"/>
        <family val="2"/>
        <scheme val="minor"/>
      </rPr>
      <t>{Vigna catjang)</t>
    </r>
  </si>
  <si>
    <r>
      <t xml:space="preserve">Cowpea, white </t>
    </r>
    <r>
      <rPr>
        <i/>
        <sz val="11"/>
        <rFont val="Calibri"/>
        <family val="2"/>
        <scheme val="minor"/>
      </rPr>
      <t>(Vigna catjang)</t>
    </r>
  </si>
  <si>
    <r>
      <t xml:space="preserve">Green gram, dhal </t>
    </r>
    <r>
      <rPr>
        <i/>
        <sz val="11"/>
        <rFont val="Calibri"/>
        <family val="2"/>
        <scheme val="minor"/>
      </rPr>
      <t>(Vigna radiata)</t>
    </r>
  </si>
  <si>
    <r>
      <t xml:space="preserve">Green gram, whole </t>
    </r>
    <r>
      <rPr>
        <i/>
        <sz val="11"/>
        <rFont val="Calibri"/>
        <family val="2"/>
        <scheme val="minor"/>
      </rPr>
      <t>(Vigna radiata)</t>
    </r>
  </si>
  <si>
    <r>
      <t xml:space="preserve">Horse gram, whole </t>
    </r>
    <r>
      <rPr>
        <i/>
        <sz val="11"/>
        <rFont val="Calibri"/>
        <family val="2"/>
        <scheme val="minor"/>
      </rPr>
      <t>(Do/ichos bif/orus)</t>
    </r>
  </si>
  <si>
    <r>
      <t xml:space="preserve">Lentil, dhal </t>
    </r>
    <r>
      <rPr>
        <i/>
        <sz val="11"/>
        <rFont val="Calibri"/>
        <family val="2"/>
        <scheme val="minor"/>
      </rPr>
      <t>(Lens culinaris)</t>
    </r>
  </si>
  <si>
    <r>
      <t xml:space="preserve">Peas, dry </t>
    </r>
    <r>
      <rPr>
        <i/>
        <sz val="11"/>
        <rFont val="Calibri"/>
        <family val="2"/>
        <scheme val="minor"/>
      </rPr>
      <t>(Pisum sativum)</t>
    </r>
  </si>
  <si>
    <r>
      <t xml:space="preserve">Beet root </t>
    </r>
    <r>
      <rPr>
        <i/>
        <sz val="11"/>
        <rFont val="Calibri"/>
        <family val="2"/>
        <scheme val="minor"/>
      </rPr>
      <t>(Beta vulgaris)</t>
    </r>
  </si>
  <si>
    <r>
      <t xml:space="preserve">Carrot, orange </t>
    </r>
    <r>
      <rPr>
        <i/>
        <sz val="11"/>
        <rFont val="Calibri"/>
        <family val="2"/>
        <scheme val="minor"/>
      </rPr>
      <t>(Daucus carota)</t>
    </r>
  </si>
  <si>
    <r>
      <t xml:space="preserve">Colocasia </t>
    </r>
    <r>
      <rPr>
        <i/>
        <sz val="11"/>
        <rFont val="Calibri"/>
        <family val="2"/>
        <scheme val="minor"/>
      </rPr>
      <t>{Co/ocasia antiquorum)</t>
    </r>
  </si>
  <si>
    <r>
      <t xml:space="preserve">Lasia stalk </t>
    </r>
    <r>
      <rPr>
        <i/>
        <sz val="11"/>
        <rFont val="Calibri"/>
        <family val="2"/>
        <scheme val="minor"/>
      </rPr>
      <t>(Lasia spinosa)</t>
    </r>
  </si>
  <si>
    <r>
      <t xml:space="preserve">Lotus root </t>
    </r>
    <r>
      <rPr>
        <i/>
        <sz val="11"/>
        <rFont val="Calibri"/>
        <family val="2"/>
        <scheme val="minor"/>
      </rPr>
      <t>{Nelumbium nelumbo}</t>
    </r>
  </si>
  <si>
    <r>
      <t xml:space="preserve">Potato, brown skin, </t>
    </r>
    <r>
      <rPr>
        <i/>
        <sz val="11"/>
        <rFont val="Calibri"/>
        <family val="2"/>
        <scheme val="minor"/>
      </rPr>
      <t>{Solanum tuberrosum)</t>
    </r>
  </si>
  <si>
    <r>
      <t xml:space="preserve">Radish, elongated, white skin </t>
    </r>
    <r>
      <rPr>
        <i/>
        <sz val="11"/>
        <rFont val="Calibri"/>
        <family val="2"/>
        <scheme val="minor"/>
      </rPr>
      <t>(Raphanus sativus)</t>
    </r>
  </si>
  <si>
    <r>
      <t xml:space="preserve">Radish, round, red skin </t>
    </r>
    <r>
      <rPr>
        <i/>
        <sz val="11"/>
        <rFont val="Calibri"/>
        <family val="2"/>
        <scheme val="minor"/>
      </rPr>
      <t>(Raphanus sativus)</t>
    </r>
  </si>
  <si>
    <r>
      <t xml:space="preserve">Radish, round, white skin </t>
    </r>
    <r>
      <rPr>
        <i/>
        <sz val="11"/>
        <rFont val="Calibri"/>
        <family val="2"/>
        <scheme val="minor"/>
      </rPr>
      <t>{Raphanus sativus)</t>
    </r>
  </si>
  <si>
    <r>
      <t xml:space="preserve">Tapioca </t>
    </r>
    <r>
      <rPr>
        <i/>
        <sz val="11"/>
        <rFont val="Calibri"/>
        <family val="2"/>
        <scheme val="minor"/>
      </rPr>
      <t>(Manihot escu/enta)</t>
    </r>
  </si>
  <si>
    <r>
      <t xml:space="preserve">Amaranth, leaves, green </t>
    </r>
    <r>
      <rPr>
        <i/>
        <sz val="11"/>
        <rFont val="Calibri"/>
        <family val="2"/>
        <scheme val="minor"/>
      </rPr>
      <t>(Amaranthus gangeticus)</t>
    </r>
  </si>
  <si>
    <r>
      <t xml:space="preserve">Amaranth, leaves, red </t>
    </r>
    <r>
      <rPr>
        <i/>
        <sz val="11"/>
        <rFont val="Calibri"/>
        <family val="2"/>
        <scheme val="minor"/>
      </rPr>
      <t>(Amaranthus gangeticus)</t>
    </r>
  </si>
  <si>
    <r>
      <t xml:space="preserve">Amaranth, spinosus, green </t>
    </r>
    <r>
      <rPr>
        <i/>
        <sz val="11"/>
        <rFont val="Calibri"/>
        <family val="2"/>
        <scheme val="minor"/>
      </rPr>
      <t>{Amaranthus spinosus)</t>
    </r>
  </si>
  <si>
    <r>
      <t xml:space="preserve">Ambarella </t>
    </r>
    <r>
      <rPr>
        <i/>
        <sz val="11"/>
        <rFont val="Calibri"/>
        <family val="2"/>
        <scheme val="minor"/>
      </rPr>
      <t>{Spondias dulcis)</t>
    </r>
  </si>
  <si>
    <r>
      <t xml:space="preserve">Ash gourd </t>
    </r>
    <r>
      <rPr>
        <i/>
        <sz val="11"/>
        <rFont val="Calibri"/>
        <family val="2"/>
        <scheme val="minor"/>
      </rPr>
      <t>(Benincasa hispida)</t>
    </r>
  </si>
  <si>
    <r>
      <t xml:space="preserve">Bean, scarlet, tender </t>
    </r>
    <r>
      <rPr>
        <i/>
        <sz val="11"/>
        <rFont val="Calibri"/>
        <family val="2"/>
        <scheme val="minor"/>
      </rPr>
      <t>(Phaseo/us coccineus)</t>
    </r>
  </si>
  <si>
    <r>
      <t xml:space="preserve">Beans, fava </t>
    </r>
    <r>
      <rPr>
        <i/>
        <sz val="11"/>
        <rFont val="Calibri"/>
        <family val="2"/>
        <scheme val="minor"/>
      </rPr>
      <t>{Vicia faba}</t>
    </r>
  </si>
  <si>
    <r>
      <t xml:space="preserve">Beans, field, tender, </t>
    </r>
    <r>
      <rPr>
        <i/>
        <sz val="11"/>
        <rFont val="Calibri"/>
        <family val="2"/>
        <scheme val="minor"/>
      </rPr>
      <t>(Do/ichos lab/ab)</t>
    </r>
  </si>
  <si>
    <r>
      <t xml:space="preserve">Beans, French, country </t>
    </r>
    <r>
      <rPr>
        <i/>
        <sz val="11"/>
        <rFont val="Calibri"/>
        <family val="2"/>
        <scheme val="minor"/>
      </rPr>
      <t>(Phaseo/us vulgaris)</t>
    </r>
  </si>
  <si>
    <r>
      <t xml:space="preserve">Beans, French, hybrid </t>
    </r>
    <r>
      <rPr>
        <i/>
        <sz val="11"/>
        <rFont val="Calibri"/>
        <family val="2"/>
        <scheme val="minor"/>
      </rPr>
      <t>(Phaseo/us vulgaris)</t>
    </r>
  </si>
  <si>
    <r>
      <t xml:space="preserve">Beans, long, red </t>
    </r>
    <r>
      <rPr>
        <i/>
        <sz val="11"/>
        <rFont val="Calibri"/>
        <family val="2"/>
        <scheme val="minor"/>
      </rPr>
      <t>{Vigna unguiculata sesquipedalis}</t>
    </r>
  </si>
  <si>
    <r>
      <t xml:space="preserve">Beet greens </t>
    </r>
    <r>
      <rPr>
        <i/>
        <sz val="11"/>
        <rFont val="Calibri"/>
        <family val="2"/>
        <scheme val="minor"/>
      </rPr>
      <t>{Beta vulgaris)</t>
    </r>
  </si>
  <si>
    <r>
      <t xml:space="preserve">Bitter gourd, elongate </t>
    </r>
    <r>
      <rPr>
        <i/>
        <sz val="11"/>
        <rFont val="Calibri"/>
        <family val="2"/>
        <scheme val="minor"/>
      </rPr>
      <t>(Momordica charantia)</t>
    </r>
  </si>
  <si>
    <r>
      <t xml:space="preserve">Bitter gourd, short </t>
    </r>
    <r>
      <rPr>
        <i/>
        <sz val="11"/>
        <rFont val="Calibri"/>
        <family val="2"/>
        <scheme val="minor"/>
      </rPr>
      <t>(Momordica charantia)</t>
    </r>
  </si>
  <si>
    <r>
      <t xml:space="preserve">Bottle gourd, elongate </t>
    </r>
    <r>
      <rPr>
        <i/>
        <sz val="11"/>
        <rFont val="Calibri"/>
        <family val="2"/>
        <scheme val="minor"/>
      </rPr>
      <t>(Lagenaria vulgaris)</t>
    </r>
  </si>
  <si>
    <r>
      <t xml:space="preserve">Bottle gourd, round </t>
    </r>
    <r>
      <rPr>
        <i/>
        <sz val="11"/>
        <rFont val="Calibri"/>
        <family val="2"/>
        <scheme val="minor"/>
      </rPr>
      <t>{Lagenaria vulgaris)</t>
    </r>
  </si>
  <si>
    <r>
      <t xml:space="preserve">Brinjal, Chinese eggplant </t>
    </r>
    <r>
      <rPr>
        <i/>
        <sz val="11"/>
        <rFont val="Calibri"/>
        <family val="2"/>
        <scheme val="minor"/>
      </rPr>
      <t>{Solanum melongena)</t>
    </r>
  </si>
  <si>
    <r>
      <t xml:space="preserve">Brinjal, little prince eggplant </t>
    </r>
    <r>
      <rPr>
        <i/>
        <sz val="11"/>
        <rFont val="Calibri"/>
        <family val="2"/>
        <scheme val="minor"/>
      </rPr>
      <t>{So/anum melongena)</t>
    </r>
  </si>
  <si>
    <r>
      <t xml:space="preserve">Brinjal, pandora striped </t>
    </r>
    <r>
      <rPr>
        <i/>
        <sz val="11"/>
        <rFont val="Calibri"/>
        <family val="2"/>
        <scheme val="minor"/>
      </rPr>
      <t>{So/anum melongena)</t>
    </r>
  </si>
  <si>
    <r>
      <t xml:space="preserve">Brinjal, Thai eggplant </t>
    </r>
    <r>
      <rPr>
        <i/>
        <sz val="11"/>
        <rFont val="Calibri"/>
        <family val="2"/>
        <scheme val="minor"/>
      </rPr>
      <t>(So/anum melongena)</t>
    </r>
  </si>
  <si>
    <r>
      <t xml:space="preserve">Cabbage, Chinese </t>
    </r>
    <r>
      <rPr>
        <i/>
        <sz val="11"/>
        <rFont val="Calibri"/>
        <family val="2"/>
        <scheme val="minor"/>
      </rPr>
      <t>{Brassica rupa)</t>
    </r>
  </si>
  <si>
    <r>
      <t xml:space="preserve">Cabbage, collard, greens </t>
    </r>
    <r>
      <rPr>
        <i/>
        <sz val="11"/>
        <rFont val="Calibri"/>
        <family val="2"/>
        <scheme val="minor"/>
      </rPr>
      <t xml:space="preserve">(B. o/eracea </t>
    </r>
    <r>
      <rPr>
        <sz val="11"/>
        <rFont val="Calibri"/>
        <family val="2"/>
        <scheme val="minor"/>
      </rPr>
      <t xml:space="preserve">var. </t>
    </r>
    <r>
      <rPr>
        <i/>
        <sz val="11"/>
        <rFont val="Calibri"/>
        <family val="2"/>
        <scheme val="minor"/>
      </rPr>
      <t>viridis)</t>
    </r>
  </si>
  <si>
    <r>
      <t xml:space="preserve">Cabbage, green </t>
    </r>
    <r>
      <rPr>
        <i/>
        <sz val="11"/>
        <rFont val="Calibri"/>
        <family val="2"/>
        <scheme val="minor"/>
      </rPr>
      <t xml:space="preserve">(B. o/eracea </t>
    </r>
    <r>
      <rPr>
        <sz val="11"/>
        <rFont val="Calibri"/>
        <family val="2"/>
        <scheme val="minor"/>
      </rPr>
      <t xml:space="preserve">var. </t>
    </r>
    <r>
      <rPr>
        <i/>
        <sz val="11"/>
        <rFont val="Calibri"/>
        <family val="2"/>
        <scheme val="minor"/>
      </rPr>
      <t>capitata f. alba)</t>
    </r>
  </si>
  <si>
    <r>
      <t xml:space="preserve">Cabbage, violet </t>
    </r>
    <r>
      <rPr>
        <i/>
        <sz val="11"/>
        <rFont val="Calibri"/>
        <family val="2"/>
        <scheme val="minor"/>
      </rPr>
      <t xml:space="preserve">(B. o/eracea </t>
    </r>
    <r>
      <rPr>
        <sz val="11"/>
        <rFont val="Calibri"/>
        <family val="2"/>
        <scheme val="minor"/>
      </rPr>
      <t xml:space="preserve">var. </t>
    </r>
    <r>
      <rPr>
        <i/>
        <sz val="11"/>
        <rFont val="Calibri"/>
        <family val="2"/>
        <scheme val="minor"/>
      </rPr>
      <t>capitata f. rubra}</t>
    </r>
  </si>
  <si>
    <r>
      <t xml:space="preserve">Canereed leaves </t>
    </r>
    <r>
      <rPr>
        <i/>
        <sz val="11"/>
        <rFont val="Calibri"/>
        <family val="2"/>
        <scheme val="minor"/>
      </rPr>
      <t>(Costus speciosus)</t>
    </r>
  </si>
  <si>
    <r>
      <t xml:space="preserve">Capsicum, green </t>
    </r>
    <r>
      <rPr>
        <i/>
        <sz val="11"/>
        <rFont val="Calibri"/>
        <family val="2"/>
        <scheme val="minor"/>
      </rPr>
      <t>{Capsicum annuum)</t>
    </r>
  </si>
  <si>
    <r>
      <t xml:space="preserve">Capsicum, local </t>
    </r>
    <r>
      <rPr>
        <i/>
        <sz val="11"/>
        <rFont val="Calibri"/>
        <family val="2"/>
        <scheme val="minor"/>
      </rPr>
      <t>{Capsicum annuum)</t>
    </r>
  </si>
  <si>
    <r>
      <t xml:space="preserve">Capsicum, red </t>
    </r>
    <r>
      <rPr>
        <i/>
        <sz val="11"/>
        <rFont val="Calibri"/>
        <family val="2"/>
        <scheme val="minor"/>
      </rPr>
      <t>{Capsicum annuum)</t>
    </r>
  </si>
  <si>
    <r>
      <t xml:space="preserve">Capsicum, yellow </t>
    </r>
    <r>
      <rPr>
        <i/>
        <sz val="11"/>
        <rFont val="Calibri"/>
        <family val="2"/>
        <scheme val="minor"/>
      </rPr>
      <t>(Capsicum annuum)</t>
    </r>
  </si>
  <si>
    <r>
      <t xml:space="preserve">Knol - Khol, leaves </t>
    </r>
    <r>
      <rPr>
        <i/>
        <sz val="11"/>
        <rFont val="Calibri"/>
        <family val="2"/>
        <scheme val="minor"/>
      </rPr>
      <t xml:space="preserve">(B. oleracea </t>
    </r>
    <r>
      <rPr>
        <sz val="11"/>
        <rFont val="Calibri"/>
        <family val="2"/>
        <scheme val="minor"/>
      </rPr>
      <t xml:space="preserve">var. </t>
    </r>
    <r>
      <rPr>
        <i/>
        <sz val="11"/>
        <rFont val="Calibri"/>
        <family val="2"/>
        <scheme val="minor"/>
      </rPr>
      <t>gongy/odes)</t>
    </r>
  </si>
  <si>
    <r>
      <t xml:space="preserve">Celery stalk </t>
    </r>
    <r>
      <rPr>
        <i/>
        <sz val="11"/>
        <rFont val="Calibri"/>
        <family val="2"/>
        <scheme val="minor"/>
      </rPr>
      <t>(Apium graveo/ens)</t>
    </r>
  </si>
  <si>
    <r>
      <t xml:space="preserve">Colocasia leaves, green </t>
    </r>
    <r>
      <rPr>
        <i/>
        <sz val="11"/>
        <rFont val="Calibri"/>
        <family val="2"/>
        <scheme val="minor"/>
      </rPr>
      <t>(Co/ocasia anti-quorum)</t>
    </r>
  </si>
  <si>
    <r>
      <t xml:space="preserve">Colocasia, stem, black </t>
    </r>
    <r>
      <rPr>
        <i/>
        <sz val="11"/>
        <rFont val="Calibri"/>
        <family val="2"/>
        <scheme val="minor"/>
      </rPr>
      <t>(Colocasia antiquorum)</t>
    </r>
  </si>
  <si>
    <r>
      <t xml:space="preserve">Colocasia, stem, green </t>
    </r>
    <r>
      <rPr>
        <i/>
        <sz val="11"/>
        <rFont val="Calibri"/>
        <family val="2"/>
        <scheme val="minor"/>
      </rPr>
      <t>(Co/ocasia antiquorum)</t>
    </r>
  </si>
  <si>
    <r>
      <t xml:space="preserve">Knol - Khol </t>
    </r>
    <r>
      <rPr>
        <i/>
        <sz val="11"/>
        <rFont val="Calibri"/>
        <family val="2"/>
        <scheme val="minor"/>
      </rPr>
      <t>(Brassica o/eracea)</t>
    </r>
  </si>
  <si>
    <r>
      <t xml:space="preserve">Mango, green, raw </t>
    </r>
    <r>
      <rPr>
        <i/>
        <sz val="11"/>
        <rFont val="Calibri"/>
        <family val="2"/>
        <scheme val="minor"/>
      </rPr>
      <t>(Mangifera indica)</t>
    </r>
  </si>
  <si>
    <r>
      <t xml:space="preserve">Anchovy sprats </t>
    </r>
    <r>
      <rPr>
        <i/>
        <sz val="11"/>
        <rFont val="Calibri"/>
        <family val="2"/>
        <scheme val="minor"/>
      </rPr>
      <t>{Sto/ephorus indicus)</t>
    </r>
  </si>
  <si>
    <r>
      <t xml:space="preserve">Baby shrimps </t>
    </r>
    <r>
      <rPr>
        <i/>
        <sz val="11"/>
        <rFont val="Calibri"/>
        <family val="2"/>
        <scheme val="minor"/>
      </rPr>
      <t>(karandi spp)</t>
    </r>
  </si>
  <si>
    <r>
      <t xml:space="preserve">Clam, white shell </t>
    </r>
    <r>
      <rPr>
        <i/>
        <sz val="11"/>
        <rFont val="Calibri"/>
        <family val="2"/>
        <scheme val="minor"/>
      </rPr>
      <t>(Meretrix meretrix)</t>
    </r>
  </si>
  <si>
    <r>
      <t xml:space="preserve">Crab, Three-spot </t>
    </r>
    <r>
      <rPr>
        <i/>
        <sz val="11"/>
        <rFont val="Calibri"/>
        <family val="2"/>
        <scheme val="minor"/>
      </rPr>
      <t>(Portunus sanguinolentus)</t>
    </r>
  </si>
  <si>
    <r>
      <t xml:space="preserve">Eel </t>
    </r>
    <r>
      <rPr>
        <i/>
        <sz val="11"/>
        <rFont val="Calibri"/>
        <family val="2"/>
        <scheme val="minor"/>
      </rPr>
      <t>(Anguilla benga/ensis)</t>
    </r>
  </si>
  <si>
    <r>
      <t xml:space="preserve">Maldives fish </t>
    </r>
    <r>
      <rPr>
        <i/>
        <sz val="11"/>
        <rFont val="Calibri"/>
        <family val="2"/>
        <scheme val="minor"/>
      </rPr>
      <t>{Tuna spp)</t>
    </r>
  </si>
  <si>
    <r>
      <t xml:space="preserve">Octopus </t>
    </r>
    <r>
      <rPr>
        <i/>
        <sz val="11"/>
        <rFont val="Calibri"/>
        <family val="2"/>
        <scheme val="minor"/>
      </rPr>
      <t>(Octopus vulgaris)</t>
    </r>
  </si>
  <si>
    <r>
      <t xml:space="preserve">Prawn, giant </t>
    </r>
    <r>
      <rPr>
        <i/>
        <sz val="11"/>
        <rFont val="Calibri"/>
        <family val="2"/>
        <scheme val="minor"/>
      </rPr>
      <t>(Macrobrachium rosenbergii)</t>
    </r>
  </si>
  <si>
    <r>
      <t xml:space="preserve">Prawn, giant tiger </t>
    </r>
    <r>
      <rPr>
        <i/>
        <sz val="11"/>
        <rFont val="Calibri"/>
        <family val="2"/>
        <scheme val="minor"/>
      </rPr>
      <t>(Penaeus monodon)</t>
    </r>
  </si>
  <si>
    <r>
      <t xml:space="preserve">Prawn, green tiger </t>
    </r>
    <r>
      <rPr>
        <i/>
        <sz val="11"/>
        <rFont val="Calibri"/>
        <family val="2"/>
        <scheme val="minor"/>
      </rPr>
      <t>(Penaeus semisu/catus)</t>
    </r>
  </si>
  <si>
    <r>
      <t xml:space="preserve">Queenfish </t>
    </r>
    <r>
      <rPr>
        <i/>
        <sz val="11"/>
        <rFont val="Calibri"/>
        <family val="2"/>
        <scheme val="minor"/>
      </rPr>
      <t>{Seriphus po/itus)</t>
    </r>
  </si>
  <si>
    <r>
      <t xml:space="preserve">Shark </t>
    </r>
    <r>
      <rPr>
        <i/>
        <sz val="11"/>
        <rFont val="Calibri"/>
        <family val="2"/>
        <scheme val="minor"/>
      </rPr>
      <t>{Carcharhinus fa/ciformis)</t>
    </r>
  </si>
  <si>
    <r>
      <t xml:space="preserve">Skipjack tuna </t>
    </r>
    <r>
      <rPr>
        <i/>
        <sz val="11"/>
        <rFont val="Calibri"/>
        <family val="2"/>
        <scheme val="minor"/>
      </rPr>
      <t>(Katsuwonus pelamis)</t>
    </r>
  </si>
  <si>
    <r>
      <t xml:space="preserve">Smooth belly sardinella </t>
    </r>
    <r>
      <rPr>
        <i/>
        <sz val="11"/>
        <rFont val="Calibri"/>
        <family val="2"/>
        <scheme val="minor"/>
      </rPr>
      <t>(Amblygaster leiogaster)</t>
    </r>
  </si>
  <si>
    <r>
      <t xml:space="preserve">Squid, hardshell </t>
    </r>
    <r>
      <rPr>
        <i/>
        <sz val="11"/>
        <rFont val="Calibri"/>
        <family val="2"/>
        <scheme val="minor"/>
      </rPr>
      <t>{Sapia pharaonis)</t>
    </r>
  </si>
  <si>
    <r>
      <t xml:space="preserve">Squid, Long barrel </t>
    </r>
    <r>
      <rPr>
        <i/>
        <sz val="11"/>
        <rFont val="Calibri"/>
        <family val="2"/>
        <scheme val="minor"/>
      </rPr>
      <t>(Loligo singha/ensis)</t>
    </r>
  </si>
  <si>
    <r>
      <t xml:space="preserve">Squid, red </t>
    </r>
    <r>
      <rPr>
        <i/>
        <sz val="11"/>
        <rFont val="Calibri"/>
        <family val="2"/>
        <scheme val="minor"/>
      </rPr>
      <t>{Lo/igo duvauce/ii)</t>
    </r>
  </si>
  <si>
    <r>
      <t xml:space="preserve">Thilapia </t>
    </r>
    <r>
      <rPr>
        <i/>
        <sz val="11"/>
        <rFont val="Calibri"/>
        <family val="2"/>
        <scheme val="minor"/>
      </rPr>
      <t>(Oreochromis niloticus)</t>
    </r>
  </si>
  <si>
    <r>
      <t xml:space="preserve">Trevally, Bigeye </t>
    </r>
    <r>
      <rPr>
        <i/>
        <sz val="11"/>
        <rFont val="Calibri"/>
        <family val="2"/>
        <scheme val="minor"/>
      </rPr>
      <t>(Caranx sexfasciatus)</t>
    </r>
  </si>
  <si>
    <r>
      <t xml:space="preserve">Trevally, giant </t>
    </r>
    <r>
      <rPr>
        <i/>
        <sz val="11"/>
        <rFont val="Calibri"/>
        <family val="2"/>
        <scheme val="minor"/>
      </rPr>
      <t>{Caranx ignobilis)</t>
    </r>
  </si>
  <si>
    <r>
      <t xml:space="preserve">Triggerfish </t>
    </r>
    <r>
      <rPr>
        <i/>
        <sz val="11"/>
        <rFont val="Calibri"/>
        <family val="2"/>
        <scheme val="minor"/>
      </rPr>
      <t>(Canthidermis maculanta)</t>
    </r>
  </si>
  <si>
    <r>
      <t xml:space="preserve">Tuna, Frigate </t>
    </r>
    <r>
      <rPr>
        <i/>
        <sz val="11"/>
        <rFont val="Calibri"/>
        <family val="2"/>
        <scheme val="minor"/>
      </rPr>
      <t>(Auxis thazard)</t>
    </r>
  </si>
  <si>
    <r>
      <t xml:space="preserve">Tuna, Mackerel </t>
    </r>
    <r>
      <rPr>
        <i/>
        <sz val="11"/>
        <rFont val="Calibri"/>
        <family val="2"/>
        <scheme val="minor"/>
      </rPr>
      <t>(Euthynnus a/finis)</t>
    </r>
  </si>
  <si>
    <r>
      <t xml:space="preserve">Tuna, Yellowfin </t>
    </r>
    <r>
      <rPr>
        <i/>
        <sz val="11"/>
        <rFont val="Calibri"/>
        <family val="2"/>
        <scheme val="minor"/>
      </rPr>
      <t>(Thunnus a/bacares)</t>
    </r>
  </si>
  <si>
    <r>
      <t xml:space="preserve">Wolf-herring </t>
    </r>
    <r>
      <rPr>
        <i/>
        <sz val="11"/>
        <rFont val="Calibri"/>
        <family val="2"/>
        <scheme val="minor"/>
      </rPr>
      <t>{Chirocentrus nudus)</t>
    </r>
  </si>
  <si>
    <r>
      <t xml:space="preserve">Cassava leaves </t>
    </r>
    <r>
      <rPr>
        <i/>
        <sz val="11"/>
        <rFont val="Calibri"/>
        <family val="2"/>
        <scheme val="minor"/>
      </rPr>
      <t>(Manihot escu/enta)</t>
    </r>
  </si>
  <si>
    <r>
      <t xml:space="preserve">Cauliflower </t>
    </r>
    <r>
      <rPr>
        <i/>
        <sz val="11"/>
        <rFont val="Calibri"/>
        <family val="2"/>
        <scheme val="minor"/>
      </rPr>
      <t>(Brassica oleracea)</t>
    </r>
  </si>
  <si>
    <r>
      <t xml:space="preserve">Cho-cho-marrow </t>
    </r>
    <r>
      <rPr>
        <i/>
        <sz val="11"/>
        <rFont val="Calibri"/>
        <family val="2"/>
        <scheme val="minor"/>
      </rPr>
      <t>(Sechium edule)</t>
    </r>
  </si>
  <si>
    <r>
      <t xml:space="preserve">Corn, Baby </t>
    </r>
    <r>
      <rPr>
        <i/>
        <sz val="11"/>
        <rFont val="Calibri"/>
        <family val="2"/>
        <scheme val="minor"/>
      </rPr>
      <t>(Zea mays)</t>
    </r>
  </si>
  <si>
    <r>
      <t xml:space="preserve">Cucumber, Indian cucumber </t>
    </r>
    <r>
      <rPr>
        <i/>
        <sz val="11"/>
        <rFont val="Calibri"/>
        <family val="2"/>
        <scheme val="minor"/>
      </rPr>
      <t>(Cucumis sativus)</t>
    </r>
  </si>
  <si>
    <r>
      <t xml:space="preserve">Cucumber, Mangalore </t>
    </r>
    <r>
      <rPr>
        <i/>
        <sz val="11"/>
        <rFont val="Calibri"/>
        <family val="2"/>
        <scheme val="minor"/>
      </rPr>
      <t>(Cucumis sativus)</t>
    </r>
  </si>
  <si>
    <r>
      <t xml:space="preserve">Cucumber, Persian cucumber </t>
    </r>
    <r>
      <rPr>
        <i/>
        <sz val="11"/>
        <rFont val="Calibri"/>
        <family val="2"/>
        <scheme val="minor"/>
      </rPr>
      <t>(Cucumis sativus)</t>
    </r>
  </si>
  <si>
    <r>
      <t xml:space="preserve">Drumstick </t>
    </r>
    <r>
      <rPr>
        <i/>
        <sz val="11"/>
        <rFont val="Calibri"/>
        <family val="2"/>
        <scheme val="minor"/>
      </rPr>
      <t>(Moringa o/eifera)</t>
    </r>
  </si>
  <si>
    <r>
      <t xml:space="preserve">Drumstick leaves </t>
    </r>
    <r>
      <rPr>
        <i/>
        <sz val="11"/>
        <rFont val="Calibri"/>
        <family val="2"/>
        <scheme val="minor"/>
      </rPr>
      <t>(Moringa o/eifera)</t>
    </r>
  </si>
  <si>
    <r>
      <t xml:space="preserve">Garden cress </t>
    </r>
    <r>
      <rPr>
        <i/>
        <sz val="11"/>
        <rFont val="Calibri"/>
        <family val="2"/>
        <scheme val="minor"/>
      </rPr>
      <t>(Lepidium sativum)</t>
    </r>
  </si>
  <si>
    <r>
      <t xml:space="preserve">Golden leather fern fiddlehead </t>
    </r>
    <r>
      <rPr>
        <i/>
        <sz val="11"/>
        <rFont val="Calibri"/>
        <family val="2"/>
        <scheme val="minor"/>
      </rPr>
      <t>(A. aureum)</t>
    </r>
  </si>
  <si>
    <r>
      <t xml:space="preserve">Green milkweed climber </t>
    </r>
    <r>
      <rPr>
        <i/>
        <sz val="11"/>
        <rFont val="Calibri"/>
        <family val="2"/>
        <scheme val="minor"/>
      </rPr>
      <t>(Wattakaka volubi/is)</t>
    </r>
  </si>
  <si>
    <r>
      <t xml:space="preserve">Hummingbird tree leaves </t>
    </r>
    <r>
      <rPr>
        <i/>
        <sz val="11"/>
        <rFont val="Calibri"/>
        <family val="2"/>
        <scheme val="minor"/>
      </rPr>
      <t>(Sesbania grandif/ora)</t>
    </r>
  </si>
  <si>
    <r>
      <t xml:space="preserve">Jack fruit, raw </t>
    </r>
    <r>
      <rPr>
        <i/>
        <sz val="11"/>
        <rFont val="Calibri"/>
        <family val="2"/>
        <scheme val="minor"/>
      </rPr>
      <t>(Artocarpus heterophyllus)</t>
    </r>
  </si>
  <si>
    <r>
      <t xml:space="preserve">Jack fruit, seed, mature </t>
    </r>
    <r>
      <rPr>
        <i/>
        <sz val="11"/>
        <rFont val="Calibri"/>
        <family val="2"/>
        <scheme val="minor"/>
      </rPr>
      <t>(Artocarpus heterophyllus)</t>
    </r>
  </si>
  <si>
    <r>
      <t xml:space="preserve">Ladies finger </t>
    </r>
    <r>
      <rPr>
        <i/>
        <sz val="11"/>
        <rFont val="Calibri"/>
        <family val="2"/>
        <scheme val="minor"/>
      </rPr>
      <t>(Abelmoschus esculentus)</t>
    </r>
  </si>
  <si>
    <r>
      <t xml:space="preserve">Lasia shoots </t>
    </r>
    <r>
      <rPr>
        <i/>
        <sz val="11"/>
        <rFont val="Calibri"/>
        <family val="2"/>
        <scheme val="minor"/>
      </rPr>
      <t>(Lasia spinosa)</t>
    </r>
  </si>
  <si>
    <r>
      <t xml:space="preserve">Leeks </t>
    </r>
    <r>
      <rPr>
        <i/>
        <sz val="11"/>
        <rFont val="Calibri"/>
        <family val="2"/>
        <scheme val="minor"/>
      </rPr>
      <t>(Allium ampe/oprasum)</t>
    </r>
  </si>
  <si>
    <r>
      <t xml:space="preserve">Lettuce </t>
    </r>
    <r>
      <rPr>
        <i/>
        <sz val="11"/>
        <rFont val="Calibri"/>
        <family val="2"/>
        <scheme val="minor"/>
      </rPr>
      <t>(Lactuca sativa)</t>
    </r>
  </si>
  <si>
    <r>
      <t xml:space="preserve">Malabar spinach </t>
    </r>
    <r>
      <rPr>
        <i/>
        <sz val="11"/>
        <rFont val="Calibri"/>
        <family val="2"/>
        <scheme val="minor"/>
      </rPr>
      <t>(Basel/a alba)</t>
    </r>
  </si>
  <si>
    <r>
      <t xml:space="preserve">Mushroom, Oyster, white </t>
    </r>
    <r>
      <rPr>
        <i/>
        <sz val="11"/>
        <rFont val="Calibri"/>
        <family val="2"/>
        <scheme val="minor"/>
      </rPr>
      <t>(Pleurotus ostreatus)</t>
    </r>
  </si>
  <si>
    <t>CSLF060</t>
  </si>
  <si>
    <t>CSLF061</t>
  </si>
  <si>
    <t>CSLF062</t>
  </si>
  <si>
    <t>CSLF063</t>
  </si>
  <si>
    <t>CSLF064</t>
  </si>
  <si>
    <t>CSLF065</t>
  </si>
  <si>
    <t>CSLB014</t>
  </si>
  <si>
    <t>CSLD090</t>
  </si>
  <si>
    <t>CSLC011</t>
  </si>
  <si>
    <t>CSLD091</t>
  </si>
  <si>
    <t>CSLD092</t>
  </si>
  <si>
    <t>CSLH020</t>
  </si>
  <si>
    <t>Rabbit, chops</t>
  </si>
  <si>
    <t>O062</t>
  </si>
  <si>
    <r>
      <t xml:space="preserve">Coconut, kernal, fresh, scraped </t>
    </r>
    <r>
      <rPr>
        <i/>
        <sz val="11"/>
        <rFont val="Calibri"/>
        <family val="2"/>
        <scheme val="minor"/>
      </rPr>
      <t>{Cocos nucifera)</t>
    </r>
  </si>
  <si>
    <r>
      <t xml:space="preserve">Rice, samba </t>
    </r>
    <r>
      <rPr>
        <b/>
        <i/>
        <sz val="11"/>
        <rFont val="Calibri"/>
        <family val="2"/>
        <scheme val="minor"/>
      </rPr>
      <t>(Oryza sativa)</t>
    </r>
  </si>
  <si>
    <r>
      <t xml:space="preserve">Pumpkin, green, cylindrical </t>
    </r>
    <r>
      <rPr>
        <i/>
        <sz val="11"/>
        <rFont val="Calibri"/>
        <family val="2"/>
        <scheme val="minor"/>
      </rPr>
      <t>(Cucurbita maxima)</t>
    </r>
  </si>
  <si>
    <r>
      <t xml:space="preserve">Tomato, ripe, local </t>
    </r>
    <r>
      <rPr>
        <i/>
        <sz val="11"/>
        <rFont val="Calibri"/>
        <family val="2"/>
        <scheme val="minor"/>
      </rPr>
      <t>(Lycapersican escu/entum)</t>
    </r>
  </si>
  <si>
    <r>
      <t xml:space="preserve">Yam, elephant </t>
    </r>
    <r>
      <rPr>
        <i/>
        <sz val="11"/>
        <rFont val="Calibri"/>
        <family val="2"/>
        <scheme val="minor"/>
      </rPr>
      <t>(Amorphophal/us campanulatus)</t>
    </r>
  </si>
  <si>
    <r>
      <t xml:space="preserve">Pumpkin, common </t>
    </r>
    <r>
      <rPr>
        <i/>
        <sz val="11"/>
        <rFont val="Calibri"/>
        <family val="2"/>
        <scheme val="minor"/>
      </rPr>
      <t>(Cucurbita maxima)</t>
    </r>
  </si>
  <si>
    <r>
      <t xml:space="preserve">Sweet potato, pink skin </t>
    </r>
    <r>
      <rPr>
        <i/>
        <sz val="11"/>
        <rFont val="Calibri"/>
        <family val="2"/>
        <scheme val="minor"/>
      </rPr>
      <t>{lpamaea batatas)</t>
    </r>
  </si>
  <si>
    <r>
      <t xml:space="preserve">Yam, wild </t>
    </r>
    <r>
      <rPr>
        <i/>
        <sz val="11"/>
        <rFont val="Calibri"/>
        <family val="2"/>
        <scheme val="minor"/>
      </rPr>
      <t>(Dioscorea Dioscoreaa/ata L)</t>
    </r>
  </si>
  <si>
    <r>
      <t xml:space="preserve">Pumpkin, orange, round </t>
    </r>
    <r>
      <rPr>
        <i/>
        <sz val="11"/>
        <rFont val="Calibri"/>
        <family val="2"/>
        <scheme val="minor"/>
      </rPr>
      <t>(Cucurbita maxima)</t>
    </r>
  </si>
  <si>
    <r>
      <t xml:space="preserve">Tomato, ripe, hybrid </t>
    </r>
    <r>
      <rPr>
        <i/>
        <sz val="11"/>
        <rFont val="Calibri"/>
        <family val="2"/>
        <scheme val="minor"/>
      </rPr>
      <t>(Lycapersicon esculentum)</t>
    </r>
  </si>
  <si>
    <r>
      <t xml:space="preserve">Cat fish, </t>
    </r>
    <r>
      <rPr>
        <i/>
        <sz val="11"/>
        <rFont val="Calibri"/>
        <family val="2"/>
        <scheme val="minor"/>
      </rPr>
      <t>(Heteropneustes fossilis)</t>
    </r>
  </si>
  <si>
    <t>nutVITB12</t>
  </si>
  <si>
    <t>Standard recipes table for R5N study in Sri Lanka</t>
  </si>
  <si>
    <t>Version date 14 May 2024</t>
  </si>
  <si>
    <r>
      <t>Developed by Caroline Joyce, MSc,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with input from Bess Caswell, PhD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 xml:space="preserve">University of California, Davis
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USDA Agricultural Research Service</t>
    </r>
  </si>
  <si>
    <t>Column heading (variable name)</t>
  </si>
  <si>
    <t>Description</t>
  </si>
  <si>
    <t>References</t>
  </si>
  <si>
    <t>- Compiles nutrient composition of ingredients used in the Sri Lanka Standard Recipes Database
- Contains ingredients in mixed dishes reported by study participants in the R5N program evaluation, conducted in five districts of Sri Lanka, 2020 - 2024
- Linked to the Standard Recipes Database by the fctcode field
- Links to Nutrient Retention Factor data published by the US Department of Agriculture</t>
  </si>
  <si>
    <t>Ingredients FCT: nutrient composition table of ingredients used in the Standard Recipes Database</t>
  </si>
  <si>
    <t>Worksheets in this file</t>
  </si>
  <si>
    <t>Averages: Calculations of averaged values used for records in which only a general food type was reported.  For example, if a large, fresh fish was reported with no further specification of fish type, an average value for large fresh fish was used, having been calculated as documented in the Averages worksheet</t>
  </si>
  <si>
    <t>Column Definitions for Ingredients FCT</t>
  </si>
  <si>
    <t>Published source from which the food composition data were extracted.  See References list below.</t>
  </si>
  <si>
    <t>Ingredient food code linking to the Standard Recipes database and to the source food composition table</t>
  </si>
  <si>
    <t>Food group for sorting recipes by general category.  See Food Group Table for categorizing of foods by dietary quality or diversity scoring metrics.</t>
  </si>
  <si>
    <t>Ingredient food name, with scientific name given in parenthesis where applicable</t>
  </si>
  <si>
    <t>Total folate (mcg) per 100g of food</t>
  </si>
  <si>
    <t>Vitamin C (mg) per 100g of food</t>
  </si>
  <si>
    <t>Water (g) per 100g of food</t>
  </si>
  <si>
    <t>Energy (kcal) per 100g of food</t>
  </si>
  <si>
    <t>Protein (g) per 100g of food</t>
  </si>
  <si>
    <t>Total fat (g) per 100g of food</t>
  </si>
  <si>
    <t>Carbohydrate (g) per 100g of food</t>
  </si>
  <si>
    <t>Total fiber (g) per 100g of food</t>
  </si>
  <si>
    <t>Insoluble fiber (g) per 100g of food</t>
  </si>
  <si>
    <t>Soluble fiber (g) per 100g of food</t>
  </si>
  <si>
    <t>Ash (g) per 100g of food</t>
  </si>
  <si>
    <t>Vitamin A (mcg Retinol Equivalents) per 100g of food</t>
  </si>
  <si>
    <t>Retinol (mcg) per 100g of food</t>
  </si>
  <si>
    <t>Thiamin (mg) per 100g of food</t>
  </si>
  <si>
    <t>Riboflavin (mg) per 100g of food</t>
  </si>
  <si>
    <t>Niacin (mg) per 100g of food</t>
  </si>
  <si>
    <t>Vitamin B5 (mg) per 100g of food</t>
  </si>
  <si>
    <t>Vitamin B6 (mg) per 100g of food</t>
  </si>
  <si>
    <t>Calcium (mg) per 100g of food</t>
  </si>
  <si>
    <t>Phosphorus (mg) per 100g of food</t>
  </si>
  <si>
    <t>Magnesium (mg) per 100g of food</t>
  </si>
  <si>
    <t>Sodium (mg) per 100g of food</t>
  </si>
  <si>
    <t>Potassium (mg) per 100g of food</t>
  </si>
  <si>
    <t>Iron (mg) per 100g of food</t>
  </si>
  <si>
    <t>Manganese (mg) per 100g of food</t>
  </si>
  <si>
    <t>Copper (mg) per 100g of food</t>
  </si>
  <si>
    <t>Zinc (mg) per 100g of food</t>
  </si>
  <si>
    <t>Selenium (mcg) per 100g of food</t>
  </si>
  <si>
    <t>Tryptophan (g) per 100g of food</t>
  </si>
  <si>
    <t>Aspartic acid (g) per 100g of food</t>
  </si>
  <si>
    <t>Threonine (g) per 100g of food</t>
  </si>
  <si>
    <t>Serine (g) per 100g of food</t>
  </si>
  <si>
    <t>Glutamic acid (g) per 100g of food</t>
  </si>
  <si>
    <t>Proline (g) per 100g of food</t>
  </si>
  <si>
    <t>Glycine (g) per 100g of food</t>
  </si>
  <si>
    <t>Alanine (g) per 100g of food</t>
  </si>
  <si>
    <t>Cysteine (g) per 100g of food</t>
  </si>
  <si>
    <t>Valine (g) per 100g of food</t>
  </si>
  <si>
    <t>Methionine (g) per 100g of food</t>
  </si>
  <si>
    <t>Isoleucine (g) per 100g of food</t>
  </si>
  <si>
    <t>Leucine (g) per 100g of food</t>
  </si>
  <si>
    <t>Tyrosine (g) per 100g of food</t>
  </si>
  <si>
    <t>Phenylalanine (g) per 100g of food</t>
  </si>
  <si>
    <t>Histidine (g) per 100g of food</t>
  </si>
  <si>
    <t>Lysine (g) per 100g of food</t>
  </si>
  <si>
    <t>Arginine (g) per 100g of food</t>
  </si>
  <si>
    <t>Saturated fats (mg) per 100g of food</t>
  </si>
  <si>
    <t>Mono-unsaturated fats (mg) per 100g of food</t>
  </si>
  <si>
    <t>Poly-unsaturated fats (mg) per 100g of food</t>
  </si>
  <si>
    <t>Cholesterol (mg) per 100g of food</t>
  </si>
  <si>
    <t>Free sugars (g) per 100g of food</t>
  </si>
  <si>
    <t>Starch (g) per 100g of food</t>
  </si>
  <si>
    <t>Alpha-carotene (mcg) per 100g of food</t>
  </si>
  <si>
    <t>Beta-carotene (mcg) per 100g of food</t>
  </si>
  <si>
    <t xml:space="preserve">Source </t>
  </si>
  <si>
    <t>Citation</t>
  </si>
  <si>
    <t>Previously unpublished data compiled by Wayamba University of Sri Lanka</t>
  </si>
  <si>
    <t xml:space="preserve">Jayatissa R, Perera AG, Silva ABG, et al. (2021). Sri Lanka Food Composition Table (SLFCT).  Sri Lanka Ministry of Health Medical Research Institute. </t>
  </si>
  <si>
    <t xml:space="preserve">Longvah T, Ananthan R, Bhaskarachary K, Venkaiah K (2017). Indian Food Composition Tables. India Ministry of Health &amp; Family Welfare National Institute of Nutrition.  </t>
  </si>
  <si>
    <t>U.S. Department of Agriculture, Agricultural Research Service, Beltsville Human Nutrition Research Center. FoodData Central. https://fdc.nal.usda.gov/.</t>
  </si>
  <si>
    <t>Institute of Nutrition, Mahidol University (2014). ASEAN Food Composition Database, Electronic version 1, February 2014, Thailand. http://www.inmu.mahidol.ac.th/aseanfoods/composition_data.html</t>
  </si>
  <si>
    <t xml:space="preserve">Lukmanji Z, Hertzmark E, Mlingi N et al. (2008). Tanzania Food Composition Tables.  Muhimbili University of Health and Allied Sciences, Tanzania Food and Nutrition Centre, and Harvard School of Public Health.  </t>
  </si>
  <si>
    <t>McCance Widdowson</t>
  </si>
  <si>
    <t xml:space="preserve">Public Health England (2019). Composition of Foods Integrated Dataset (CoFID). </t>
  </si>
  <si>
    <t>Shaheen N, Rahim AT, Banu MM, et al. (2013). Food Composition Table for Bangladesh. University of Dhaka Institute of Nutrition and Food Science.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</si>
</sst>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2" fontId="0" fillId="0" borderId="0" xfId="0" applyNumberForma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  <xf numFmtId="2" fontId="1" fillId="4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3" fillId="0" borderId="0" xfId="0" applyNumberFormat="1" applyFont="1" applyAlignment="1">
      <alignment horizontal="left"/>
    </xf>
    <xf numFmtId="2" fontId="1" fillId="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2" fontId="1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C3863748-E30D-4F5C-BF8C-281C34C12A0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ine Abbott Joyce" id="{7EBCB236-8C90-457B-BBF8-6FCEABC02636}" userId="Caroline Abbott Joyce" providerId="None"/>
  <person displayName="Caroline Abbott Joyce" id="{5E6038F6-CDE1-4FE8-AD62-D8BAC6ECA6FF}" userId="S::cjoy@ucdavis.edu::f69f507f-4ed9-4f6d-bb90-819a3c706db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6" dT="2023-12-08T18:48:03.79" personId="{5E6038F6-CDE1-4FE8-AD62-D8BAC6ECA6FF}" id="{0A1D91B8-A868-4918-8654-020FBCE6A6A6}">
    <text>SL FCT said 1178.0 - moved decimal to align with USDA values/ other dried fish values from SL FCT</text>
  </threadedComment>
  <threadedComment ref="W54" dT="2023-12-08T18:57:02.16" personId="{5E6038F6-CDE1-4FE8-AD62-D8BAC6ECA6FF}" id="{302242A8-649E-4BBF-8DE9-265EA1816A4D}">
    <text>Only used USDA values</text>
  </threadedComment>
  <threadedComment ref="W162" dT="2023-12-08T18:48:43.39" personId="{5E6038F6-CDE1-4FE8-AD62-D8BAC6ECA6FF}" id="{327AF489-2D84-4933-B1FC-D7FE6968ABBD}">
    <text>Replaced with USDA value</text>
  </threadedComment>
  <threadedComment ref="W303" dT="2023-12-08T18:48:18.39" personId="{5E6038F6-CDE1-4FE8-AD62-D8BAC6ECA6FF}" id="{A11F7DF6-289B-4714-9E53-25A76D361BAC}">
    <text>SL FCT said 1978.0 - moved decimal to align with USDA values/ other dried fish values from SL FCT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4" dT="2024-01-17T18:19:22.19" personId="{7EBCB236-8C90-457B-BBF8-6FCEABC02636}" id="{4313F026-DD7A-4190-8BDF-20E9B24E87D3}">
    <text>Calculated a multiplier from energy and protein in dried and fresh tuna &amp; applied it to the fresh B12 value</text>
  </threadedComment>
  <threadedComment ref="Y5" dT="2024-01-17T18:21:37.17" personId="{7EBCB236-8C90-457B-BBF8-6FCEABC02636}" id="{B8F9EE95-006A-4F81-9A8E-B7B5DF472CDF}">
    <text>Calculated a multiplier from energy and protein in dried and fresh shark &amp; applied it to the fresh B12 value</text>
  </threadedComment>
  <threadedComment ref="Y6" dT="2024-01-17T18:24:59.77" personId="{7EBCB236-8C90-457B-BBF8-6FCEABC02636}" id="{46FE926C-53F2-42F9-A8C0-597D7119D58C}">
    <text>Calculated a multiplier from energy and protein in dried queenfish and fresh trevally (the most closely related fish I could find) &amp; applied it to the fresh B12 value</text>
  </threadedComment>
  <threadedComment ref="Y7" dT="2024-01-17T18:17:46.86" personId="{7EBCB236-8C90-457B-BBF8-6FCEABC02636}" id="{C8D25C2B-F7D7-4F0E-A5F5-B14137A84985}">
    <text>Calculated a multiplier from energy and protein in dried and fresh anchovy &amp; applied it to the fresh B12 value</text>
  </threadedComment>
  <threadedComment ref="Y8" dT="2024-01-17T18:28:05.72" personId="{7EBCB236-8C90-457B-BBF8-6FCEABC02636}" id="{558FBF09-3C51-4A2E-B64C-1EFAF7F0EACE}">
    <text>Calculated a multiplier from energy and protein in dried and fresh sardines &amp; applied it to the fresh B12 value</text>
  </threadedComment>
  <threadedComment ref="Y14" dT="2024-01-17T18:16:03.56" personId="{7EBCB236-8C90-457B-BBF8-6FCEABC02636}" id="{0F3B34F0-C820-4B9F-A906-47992D640617}">
    <text>Couldn't find value. Applied average of other fresh fishes</text>
  </threadedComment>
  <threadedComment ref="Y18" dT="2024-01-17T18:16:03.56" personId="{7EBCB236-8C90-457B-BBF8-6FCEABC02636}" id="{D310BCEE-EE97-44E9-8C59-A842B1B464D4}">
    <text>Couldn't find value. Applied average of other fresh fishes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2DCC-E4FB-4215-A619-C3FE3122E4F2}">
  <dimension ref="A1:C424"/>
  <sheetViews>
    <sheetView tabSelected="1" zoomScaleNormal="100" workbookViewId="0">
      <selection activeCell="B78" sqref="B78:B85"/>
    </sheetView>
  </sheetViews>
  <sheetFormatPr defaultColWidth="9.28515625" defaultRowHeight="15" x14ac:dyDescent="0.25"/>
  <cols>
    <col min="1" max="1" width="31" style="16" customWidth="1"/>
    <col min="2" max="2" width="95.28515625" style="16" bestFit="1" customWidth="1"/>
    <col min="3" max="3" width="9.5703125" style="16" customWidth="1"/>
    <col min="4" max="16384" width="9.28515625" style="16"/>
  </cols>
  <sheetData>
    <row r="1" spans="1:3" ht="14.45" customHeight="1" x14ac:dyDescent="0.25">
      <c r="A1" s="15" t="s">
        <v>875</v>
      </c>
      <c r="B1" s="15"/>
      <c r="C1" s="15"/>
    </row>
    <row r="2" spans="1:3" ht="14.45" customHeight="1" x14ac:dyDescent="0.25">
      <c r="A2" s="15"/>
      <c r="B2" s="15"/>
      <c r="C2" s="15"/>
    </row>
    <row r="3" spans="1:3" ht="14.45" customHeight="1" x14ac:dyDescent="0.25">
      <c r="A3" s="16" t="s">
        <v>876</v>
      </c>
      <c r="B3" s="17"/>
      <c r="C3" s="17"/>
    </row>
    <row r="4" spans="1:3" ht="14.45" customHeight="1" x14ac:dyDescent="0.25">
      <c r="B4" s="17"/>
      <c r="C4" s="17"/>
    </row>
    <row r="5" spans="1:3" ht="63.75" customHeight="1" x14ac:dyDescent="0.25">
      <c r="A5" s="21" t="s">
        <v>877</v>
      </c>
      <c r="B5" s="21"/>
      <c r="C5" s="17"/>
    </row>
    <row r="6" spans="1:3" ht="14.45" customHeight="1" x14ac:dyDescent="0.25">
      <c r="B6" s="17"/>
      <c r="C6" s="17"/>
    </row>
    <row r="7" spans="1:3" ht="109.5" customHeight="1" x14ac:dyDescent="0.25">
      <c r="A7" s="22" t="s">
        <v>881</v>
      </c>
      <c r="B7" s="22"/>
    </row>
    <row r="9" spans="1:3" x14ac:dyDescent="0.25">
      <c r="A9" s="18" t="s">
        <v>883</v>
      </c>
    </row>
    <row r="10" spans="1:3" x14ac:dyDescent="0.25">
      <c r="A10" s="16" t="s">
        <v>882</v>
      </c>
    </row>
    <row r="11" spans="1:3" x14ac:dyDescent="0.25">
      <c r="A11" s="16" t="s">
        <v>884</v>
      </c>
    </row>
    <row r="13" spans="1:3" x14ac:dyDescent="0.25">
      <c r="A13" s="18" t="s">
        <v>885</v>
      </c>
    </row>
    <row r="14" spans="1:3" ht="15.75" thickBot="1" x14ac:dyDescent="0.3">
      <c r="A14" s="19" t="s">
        <v>878</v>
      </c>
      <c r="B14" s="19" t="s">
        <v>879</v>
      </c>
    </row>
    <row r="15" spans="1:3" x14ac:dyDescent="0.25">
      <c r="A15" t="s">
        <v>385</v>
      </c>
      <c r="B15" s="23" t="s">
        <v>886</v>
      </c>
      <c r="C15"/>
    </row>
    <row r="16" spans="1:3" x14ac:dyDescent="0.25">
      <c r="A16" s="24" t="s">
        <v>384</v>
      </c>
      <c r="B16" s="20" t="s">
        <v>887</v>
      </c>
      <c r="C16"/>
    </row>
    <row r="17" spans="1:3" ht="30" x14ac:dyDescent="0.25">
      <c r="A17" s="24" t="s">
        <v>386</v>
      </c>
      <c r="B17" s="20" t="s">
        <v>888</v>
      </c>
      <c r="C17"/>
    </row>
    <row r="18" spans="1:3" x14ac:dyDescent="0.25">
      <c r="A18" s="24" t="s">
        <v>387</v>
      </c>
      <c r="B18" s="20" t="s">
        <v>889</v>
      </c>
      <c r="C18"/>
    </row>
    <row r="19" spans="1:3" x14ac:dyDescent="0.25">
      <c r="A19" s="24" t="s">
        <v>388</v>
      </c>
      <c r="B19" s="20" t="s">
        <v>892</v>
      </c>
      <c r="C19"/>
    </row>
    <row r="20" spans="1:3" x14ac:dyDescent="0.25">
      <c r="A20" s="24" t="s">
        <v>389</v>
      </c>
      <c r="B20" s="20" t="s">
        <v>893</v>
      </c>
      <c r="C20"/>
    </row>
    <row r="21" spans="1:3" x14ac:dyDescent="0.25">
      <c r="A21" s="24" t="s">
        <v>390</v>
      </c>
      <c r="B21" s="25" t="s">
        <v>894</v>
      </c>
      <c r="C21"/>
    </row>
    <row r="22" spans="1:3" x14ac:dyDescent="0.25">
      <c r="A22" s="24" t="s">
        <v>391</v>
      </c>
      <c r="B22" s="25" t="s">
        <v>895</v>
      </c>
      <c r="C22"/>
    </row>
    <row r="23" spans="1:3" x14ac:dyDescent="0.25">
      <c r="A23" s="24" t="s">
        <v>392</v>
      </c>
      <c r="B23" s="25" t="s">
        <v>896</v>
      </c>
      <c r="C23"/>
    </row>
    <row r="24" spans="1:3" x14ac:dyDescent="0.25">
      <c r="A24" s="24" t="s">
        <v>393</v>
      </c>
      <c r="B24" s="25" t="s">
        <v>897</v>
      </c>
      <c r="C24"/>
    </row>
    <row r="25" spans="1:3" x14ac:dyDescent="0.25">
      <c r="A25" s="24" t="s">
        <v>412</v>
      </c>
      <c r="B25" s="25" t="s">
        <v>898</v>
      </c>
      <c r="C25"/>
    </row>
    <row r="26" spans="1:3" x14ac:dyDescent="0.25">
      <c r="A26" s="24" t="s">
        <v>411</v>
      </c>
      <c r="B26" s="25" t="s">
        <v>899</v>
      </c>
      <c r="C26"/>
    </row>
    <row r="27" spans="1:3" x14ac:dyDescent="0.25">
      <c r="A27" s="24" t="s">
        <v>413</v>
      </c>
      <c r="B27" s="25" t="s">
        <v>900</v>
      </c>
      <c r="C27"/>
    </row>
    <row r="28" spans="1:3" x14ac:dyDescent="0.25">
      <c r="A28" s="24" t="s">
        <v>394</v>
      </c>
      <c r="B28" s="25" t="s">
        <v>901</v>
      </c>
      <c r="C28"/>
    </row>
    <row r="29" spans="1:3" x14ac:dyDescent="0.25">
      <c r="A29" s="24" t="s">
        <v>414</v>
      </c>
      <c r="B29" s="25" t="s">
        <v>902</v>
      </c>
      <c r="C29"/>
    </row>
    <row r="30" spans="1:3" x14ac:dyDescent="0.25">
      <c r="A30" s="24" t="s">
        <v>396</v>
      </c>
      <c r="B30" s="25" t="s">
        <v>903</v>
      </c>
      <c r="C30"/>
    </row>
    <row r="31" spans="1:3" x14ac:dyDescent="0.25">
      <c r="A31" s="24" t="s">
        <v>397</v>
      </c>
      <c r="B31" s="25" t="s">
        <v>904</v>
      </c>
      <c r="C31"/>
    </row>
    <row r="32" spans="1:3" x14ac:dyDescent="0.25">
      <c r="A32" s="24" t="s">
        <v>398</v>
      </c>
      <c r="B32" s="25" t="s">
        <v>905</v>
      </c>
      <c r="C32"/>
    </row>
    <row r="33" spans="1:3" x14ac:dyDescent="0.25">
      <c r="A33" s="24" t="s">
        <v>472</v>
      </c>
      <c r="B33" s="25" t="s">
        <v>906</v>
      </c>
      <c r="C33"/>
    </row>
    <row r="34" spans="1:3" x14ac:dyDescent="0.25">
      <c r="A34" s="24" t="s">
        <v>399</v>
      </c>
      <c r="B34" s="25" t="s">
        <v>907</v>
      </c>
      <c r="C34"/>
    </row>
    <row r="35" spans="1:3" x14ac:dyDescent="0.25">
      <c r="A35" s="24" t="s">
        <v>400</v>
      </c>
      <c r="B35" s="25" t="s">
        <v>890</v>
      </c>
      <c r="C35"/>
    </row>
    <row r="36" spans="1:3" x14ac:dyDescent="0.25">
      <c r="A36" s="24" t="s">
        <v>401</v>
      </c>
      <c r="B36" s="25" t="s">
        <v>891</v>
      </c>
      <c r="C36"/>
    </row>
    <row r="37" spans="1:3" x14ac:dyDescent="0.25">
      <c r="A37" s="24" t="s">
        <v>402</v>
      </c>
      <c r="B37" s="25" t="s">
        <v>908</v>
      </c>
      <c r="C37"/>
    </row>
    <row r="38" spans="1:3" x14ac:dyDescent="0.25">
      <c r="A38" s="24" t="s">
        <v>415</v>
      </c>
      <c r="B38" s="25" t="s">
        <v>909</v>
      </c>
      <c r="C38"/>
    </row>
    <row r="39" spans="1:3" x14ac:dyDescent="0.25">
      <c r="A39" s="24" t="s">
        <v>403</v>
      </c>
      <c r="B39" s="25" t="s">
        <v>910</v>
      </c>
      <c r="C39"/>
    </row>
    <row r="40" spans="1:3" x14ac:dyDescent="0.25">
      <c r="A40" s="24" t="s">
        <v>404</v>
      </c>
      <c r="B40" s="25" t="s">
        <v>911</v>
      </c>
      <c r="C40"/>
    </row>
    <row r="41" spans="1:3" x14ac:dyDescent="0.25">
      <c r="A41" s="24" t="s">
        <v>405</v>
      </c>
      <c r="B41" s="25" t="s">
        <v>912</v>
      </c>
      <c r="C41"/>
    </row>
    <row r="42" spans="1:3" x14ac:dyDescent="0.25">
      <c r="A42" s="24" t="s">
        <v>406</v>
      </c>
      <c r="B42" s="25" t="s">
        <v>913</v>
      </c>
      <c r="C42"/>
    </row>
    <row r="43" spans="1:3" x14ac:dyDescent="0.25">
      <c r="A43" s="24" t="s">
        <v>407</v>
      </c>
      <c r="B43" s="25" t="s">
        <v>914</v>
      </c>
      <c r="C43"/>
    </row>
    <row r="44" spans="1:3" x14ac:dyDescent="0.25">
      <c r="A44" s="24" t="s">
        <v>408</v>
      </c>
      <c r="B44" s="25" t="s">
        <v>915</v>
      </c>
      <c r="C44"/>
    </row>
    <row r="45" spans="1:3" x14ac:dyDescent="0.25">
      <c r="A45" s="24" t="s">
        <v>409</v>
      </c>
      <c r="B45" s="25" t="s">
        <v>916</v>
      </c>
      <c r="C45"/>
    </row>
    <row r="46" spans="1:3" x14ac:dyDescent="0.25">
      <c r="A46" s="24" t="s">
        <v>410</v>
      </c>
      <c r="B46" s="25" t="s">
        <v>917</v>
      </c>
      <c r="C46"/>
    </row>
    <row r="47" spans="1:3" x14ac:dyDescent="0.25">
      <c r="A47" s="24" t="s">
        <v>416</v>
      </c>
      <c r="B47" s="25" t="s">
        <v>918</v>
      </c>
      <c r="C47"/>
    </row>
    <row r="48" spans="1:3" x14ac:dyDescent="0.25">
      <c r="A48" s="24" t="s">
        <v>417</v>
      </c>
      <c r="B48" s="25" t="s">
        <v>919</v>
      </c>
      <c r="C48"/>
    </row>
    <row r="49" spans="1:3" x14ac:dyDescent="0.25">
      <c r="A49" s="24" t="s">
        <v>418</v>
      </c>
      <c r="B49" s="25" t="s">
        <v>920</v>
      </c>
      <c r="C49"/>
    </row>
    <row r="50" spans="1:3" x14ac:dyDescent="0.25">
      <c r="A50" s="24" t="s">
        <v>419</v>
      </c>
      <c r="B50" s="25" t="s">
        <v>921</v>
      </c>
      <c r="C50"/>
    </row>
    <row r="51" spans="1:3" x14ac:dyDescent="0.25">
      <c r="A51" s="24" t="s">
        <v>420</v>
      </c>
      <c r="B51" s="25" t="s">
        <v>922</v>
      </c>
      <c r="C51"/>
    </row>
    <row r="52" spans="1:3" x14ac:dyDescent="0.25">
      <c r="A52" s="24" t="s">
        <v>421</v>
      </c>
      <c r="B52" s="25" t="s">
        <v>923</v>
      </c>
      <c r="C52"/>
    </row>
    <row r="53" spans="1:3" x14ac:dyDescent="0.25">
      <c r="A53" s="24" t="s">
        <v>422</v>
      </c>
      <c r="B53" s="25" t="s">
        <v>924</v>
      </c>
      <c r="C53"/>
    </row>
    <row r="54" spans="1:3" x14ac:dyDescent="0.25">
      <c r="A54" s="24" t="s">
        <v>423</v>
      </c>
      <c r="B54" s="25" t="s">
        <v>925</v>
      </c>
      <c r="C54"/>
    </row>
    <row r="55" spans="1:3" x14ac:dyDescent="0.25">
      <c r="A55" s="24" t="s">
        <v>424</v>
      </c>
      <c r="B55" s="25" t="s">
        <v>926</v>
      </c>
      <c r="C55"/>
    </row>
    <row r="56" spans="1:3" x14ac:dyDescent="0.25">
      <c r="A56" s="24" t="s">
        <v>425</v>
      </c>
      <c r="B56" s="25" t="s">
        <v>927</v>
      </c>
      <c r="C56"/>
    </row>
    <row r="57" spans="1:3" x14ac:dyDescent="0.25">
      <c r="A57" s="24" t="s">
        <v>426</v>
      </c>
      <c r="B57" s="25" t="s">
        <v>928</v>
      </c>
      <c r="C57"/>
    </row>
    <row r="58" spans="1:3" x14ac:dyDescent="0.25">
      <c r="A58" s="24" t="s">
        <v>427</v>
      </c>
      <c r="B58" s="25" t="s">
        <v>929</v>
      </c>
      <c r="C58"/>
    </row>
    <row r="59" spans="1:3" x14ac:dyDescent="0.25">
      <c r="A59" s="24" t="s">
        <v>428</v>
      </c>
      <c r="B59" s="25" t="s">
        <v>930</v>
      </c>
      <c r="C59"/>
    </row>
    <row r="60" spans="1:3" x14ac:dyDescent="0.25">
      <c r="A60" s="24" t="s">
        <v>429</v>
      </c>
      <c r="B60" s="25" t="s">
        <v>931</v>
      </c>
      <c r="C60"/>
    </row>
    <row r="61" spans="1:3" x14ac:dyDescent="0.25">
      <c r="A61" s="24" t="s">
        <v>430</v>
      </c>
      <c r="B61" s="25" t="s">
        <v>932</v>
      </c>
      <c r="C61"/>
    </row>
    <row r="62" spans="1:3" x14ac:dyDescent="0.25">
      <c r="A62" s="24" t="s">
        <v>431</v>
      </c>
      <c r="B62" s="25" t="s">
        <v>933</v>
      </c>
      <c r="C62"/>
    </row>
    <row r="63" spans="1:3" x14ac:dyDescent="0.25">
      <c r="A63" s="24" t="s">
        <v>432</v>
      </c>
      <c r="B63" s="25" t="s">
        <v>934</v>
      </c>
      <c r="C63"/>
    </row>
    <row r="64" spans="1:3" x14ac:dyDescent="0.25">
      <c r="A64" s="24" t="s">
        <v>433</v>
      </c>
      <c r="B64" s="25" t="s">
        <v>935</v>
      </c>
      <c r="C64"/>
    </row>
    <row r="65" spans="1:3" x14ac:dyDescent="0.25">
      <c r="A65" s="24" t="s">
        <v>434</v>
      </c>
      <c r="B65" s="25" t="s">
        <v>936</v>
      </c>
      <c r="C65"/>
    </row>
    <row r="66" spans="1:3" x14ac:dyDescent="0.25">
      <c r="A66" s="24" t="s">
        <v>435</v>
      </c>
      <c r="B66" s="25" t="s">
        <v>937</v>
      </c>
      <c r="C66"/>
    </row>
    <row r="67" spans="1:3" x14ac:dyDescent="0.25">
      <c r="A67" s="24" t="s">
        <v>436</v>
      </c>
      <c r="B67" s="25" t="s">
        <v>938</v>
      </c>
      <c r="C67"/>
    </row>
    <row r="68" spans="1:3" x14ac:dyDescent="0.25">
      <c r="A68" s="24" t="s">
        <v>437</v>
      </c>
      <c r="B68" s="25" t="s">
        <v>939</v>
      </c>
      <c r="C68"/>
    </row>
    <row r="69" spans="1:3" x14ac:dyDescent="0.25">
      <c r="A69" s="24" t="s">
        <v>438</v>
      </c>
      <c r="B69" s="25" t="s">
        <v>940</v>
      </c>
      <c r="C69"/>
    </row>
    <row r="70" spans="1:3" x14ac:dyDescent="0.25">
      <c r="A70" s="24" t="s">
        <v>439</v>
      </c>
      <c r="B70" s="25" t="s">
        <v>941</v>
      </c>
      <c r="C70"/>
    </row>
    <row r="71" spans="1:3" x14ac:dyDescent="0.25">
      <c r="A71" s="24" t="s">
        <v>440</v>
      </c>
      <c r="B71" s="25" t="s">
        <v>942</v>
      </c>
      <c r="C71"/>
    </row>
    <row r="72" spans="1:3" x14ac:dyDescent="0.25">
      <c r="A72" s="24" t="s">
        <v>441</v>
      </c>
      <c r="B72" s="25" t="s">
        <v>943</v>
      </c>
      <c r="C72"/>
    </row>
    <row r="75" spans="1:3" x14ac:dyDescent="0.25">
      <c r="A75" s="18" t="s">
        <v>880</v>
      </c>
    </row>
    <row r="77" spans="1:3" ht="15" customHeight="1" thickBot="1" x14ac:dyDescent="0.3">
      <c r="A77" s="27" t="s">
        <v>944</v>
      </c>
      <c r="B77" s="28" t="s">
        <v>945</v>
      </c>
    </row>
    <row r="78" spans="1:3" x14ac:dyDescent="0.25">
      <c r="A78" s="26" t="s">
        <v>366</v>
      </c>
      <c r="B78" s="29" t="s">
        <v>946</v>
      </c>
    </row>
    <row r="79" spans="1:3" ht="30" x14ac:dyDescent="0.25">
      <c r="A79" s="24" t="s">
        <v>364</v>
      </c>
      <c r="B79" s="20" t="s">
        <v>947</v>
      </c>
    </row>
    <row r="80" spans="1:3" ht="30" x14ac:dyDescent="0.25">
      <c r="A80" s="24" t="s">
        <v>379</v>
      </c>
      <c r="B80" s="20" t="s">
        <v>948</v>
      </c>
    </row>
    <row r="81" spans="1:2" ht="30" x14ac:dyDescent="0.25">
      <c r="A81" s="24" t="s">
        <v>369</v>
      </c>
      <c r="B81" s="30" t="s">
        <v>949</v>
      </c>
    </row>
    <row r="82" spans="1:2" ht="30" x14ac:dyDescent="0.25">
      <c r="A82" s="24" t="s">
        <v>450</v>
      </c>
      <c r="B82" s="20" t="s">
        <v>950</v>
      </c>
    </row>
    <row r="83" spans="1:2" ht="45" x14ac:dyDescent="0.25">
      <c r="A83" s="24" t="s">
        <v>470</v>
      </c>
      <c r="B83" s="20" t="s">
        <v>951</v>
      </c>
    </row>
    <row r="84" spans="1:2" x14ac:dyDescent="0.25">
      <c r="A84" s="24" t="s">
        <v>952</v>
      </c>
      <c r="B84" s="30" t="s">
        <v>953</v>
      </c>
    </row>
    <row r="85" spans="1:2" ht="30" x14ac:dyDescent="0.25">
      <c r="A85" s="24" t="s">
        <v>444</v>
      </c>
      <c r="B85" s="30" t="s">
        <v>954</v>
      </c>
    </row>
    <row r="86" spans="1:2" x14ac:dyDescent="0.25">
      <c r="A86"/>
    </row>
    <row r="87" spans="1:2" x14ac:dyDescent="0.25">
      <c r="A87"/>
    </row>
    <row r="88" spans="1:2" x14ac:dyDescent="0.25">
      <c r="A88"/>
    </row>
    <row r="89" spans="1:2" x14ac:dyDescent="0.25">
      <c r="A89"/>
    </row>
    <row r="90" spans="1:2" x14ac:dyDescent="0.25">
      <c r="A90"/>
    </row>
    <row r="91" spans="1:2" x14ac:dyDescent="0.25">
      <c r="A91"/>
    </row>
    <row r="92" spans="1:2" x14ac:dyDescent="0.25">
      <c r="A92"/>
    </row>
    <row r="93" spans="1:2" x14ac:dyDescent="0.25">
      <c r="A93"/>
    </row>
    <row r="94" spans="1:2" x14ac:dyDescent="0.25">
      <c r="A94"/>
    </row>
    <row r="95" spans="1:2" x14ac:dyDescent="0.25">
      <c r="A95"/>
    </row>
    <row r="96" spans="1:2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</sheetData>
  <mergeCells count="2">
    <mergeCell ref="A5:B5"/>
    <mergeCell ref="A7:B7"/>
  </mergeCells>
  <pageMargins left="0.25" right="0.25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53BF-E897-441D-96BC-5EAA7B3E78D9}">
  <dimension ref="A1:BF351"/>
  <sheetViews>
    <sheetView zoomScale="90" zoomScaleNormal="90" workbookViewId="0">
      <pane ySplit="1" topLeftCell="A315" activePane="bottomLeft" state="frozen"/>
      <selection pane="bottomLeft" sqref="A1:A351"/>
    </sheetView>
  </sheetViews>
  <sheetFormatPr defaultColWidth="10.5703125" defaultRowHeight="15" x14ac:dyDescent="0.25"/>
  <cols>
    <col min="1" max="1" width="28.140625" bestFit="1" customWidth="1"/>
    <col min="3" max="3" width="27.85546875" bestFit="1" customWidth="1"/>
    <col min="4" max="4" width="48.5703125" bestFit="1" customWidth="1"/>
    <col min="10" max="54" width="10.5703125" customWidth="1"/>
  </cols>
  <sheetData>
    <row r="1" spans="1:58" x14ac:dyDescent="0.25">
      <c r="A1" t="s">
        <v>385</v>
      </c>
      <c r="B1" t="s">
        <v>384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412</v>
      </c>
      <c r="L1" t="s">
        <v>411</v>
      </c>
      <c r="M1" t="s">
        <v>413</v>
      </c>
      <c r="N1" t="s">
        <v>394</v>
      </c>
      <c r="O1" t="s">
        <v>414</v>
      </c>
      <c r="P1" t="s">
        <v>396</v>
      </c>
      <c r="Q1" t="s">
        <v>397</v>
      </c>
      <c r="R1" t="s">
        <v>398</v>
      </c>
      <c r="S1" t="s">
        <v>472</v>
      </c>
      <c r="T1" t="s">
        <v>399</v>
      </c>
      <c r="U1" t="s">
        <v>400</v>
      </c>
      <c r="V1" t="s">
        <v>401</v>
      </c>
      <c r="W1" t="s">
        <v>402</v>
      </c>
      <c r="X1" t="s">
        <v>415</v>
      </c>
      <c r="Y1" t="s">
        <v>403</v>
      </c>
      <c r="Z1" t="s">
        <v>404</v>
      </c>
      <c r="AA1" t="s">
        <v>405</v>
      </c>
      <c r="AB1" t="s">
        <v>406</v>
      </c>
      <c r="AC1" t="s">
        <v>407</v>
      </c>
      <c r="AD1" t="s">
        <v>408</v>
      </c>
      <c r="AE1" t="s">
        <v>409</v>
      </c>
      <c r="AF1" t="s">
        <v>410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</row>
    <row r="2" spans="1:58" x14ac:dyDescent="0.25">
      <c r="A2" t="s">
        <v>366</v>
      </c>
      <c r="B2">
        <v>12039992</v>
      </c>
      <c r="C2" t="s">
        <v>362</v>
      </c>
      <c r="D2" t="s">
        <v>365</v>
      </c>
      <c r="E2">
        <v>67.599999999999994</v>
      </c>
      <c r="F2">
        <v>246</v>
      </c>
      <c r="G2">
        <v>2.2999999999999998</v>
      </c>
      <c r="H2">
        <v>23.8</v>
      </c>
      <c r="I2">
        <v>5.5</v>
      </c>
      <c r="N2">
        <v>0</v>
      </c>
      <c r="P2">
        <v>0.02</v>
      </c>
      <c r="Q2">
        <v>0</v>
      </c>
      <c r="R2">
        <v>0.76</v>
      </c>
      <c r="T2">
        <v>0.03</v>
      </c>
      <c r="U2">
        <v>16</v>
      </c>
      <c r="V2">
        <v>2.8</v>
      </c>
      <c r="W2">
        <v>16</v>
      </c>
      <c r="AB2">
        <v>1.6</v>
      </c>
      <c r="AE2">
        <v>0.7</v>
      </c>
    </row>
    <row r="3" spans="1:58" x14ac:dyDescent="0.25">
      <c r="A3" t="s">
        <v>364</v>
      </c>
      <c r="B3" t="s">
        <v>5</v>
      </c>
      <c r="C3" t="s">
        <v>352</v>
      </c>
      <c r="D3" t="s">
        <v>575</v>
      </c>
      <c r="E3">
        <v>7.92</v>
      </c>
      <c r="F3">
        <v>366</v>
      </c>
      <c r="G3">
        <v>8.64</v>
      </c>
      <c r="H3">
        <v>2.12</v>
      </c>
      <c r="I3">
        <v>77.59</v>
      </c>
      <c r="J3">
        <v>3.18</v>
      </c>
      <c r="K3">
        <v>2.21</v>
      </c>
      <c r="L3">
        <v>0.98</v>
      </c>
      <c r="M3">
        <v>0.56999999999999995</v>
      </c>
      <c r="Q3">
        <v>0.05</v>
      </c>
      <c r="R3">
        <v>1.5</v>
      </c>
      <c r="S3">
        <v>0.65</v>
      </c>
      <c r="T3">
        <v>0.1</v>
      </c>
      <c r="U3">
        <v>8.39</v>
      </c>
      <c r="W3">
        <v>4.7300000000000004</v>
      </c>
      <c r="X3">
        <v>195</v>
      </c>
      <c r="Y3">
        <v>31.7</v>
      </c>
      <c r="Z3">
        <v>1.61</v>
      </c>
      <c r="AA3">
        <v>169</v>
      </c>
      <c r="AB3">
        <v>0.88</v>
      </c>
      <c r="AC3">
        <v>1.0900000000000001</v>
      </c>
      <c r="AD3">
        <v>0.17</v>
      </c>
      <c r="AE3">
        <v>1.84</v>
      </c>
      <c r="AF3">
        <v>8.32</v>
      </c>
      <c r="AG3">
        <v>1.01</v>
      </c>
      <c r="AH3">
        <v>10.1</v>
      </c>
      <c r="AI3">
        <v>3.52</v>
      </c>
      <c r="AJ3">
        <v>6.03</v>
      </c>
      <c r="AK3">
        <v>19.18</v>
      </c>
      <c r="AL3">
        <v>4.3899999999999997</v>
      </c>
      <c r="AM3">
        <v>5.14</v>
      </c>
      <c r="AN3">
        <v>6.26</v>
      </c>
      <c r="AO3">
        <v>1.68</v>
      </c>
      <c r="AP3">
        <v>4.3600000000000003</v>
      </c>
      <c r="AQ3">
        <v>2.04</v>
      </c>
      <c r="AR3">
        <v>2.87</v>
      </c>
      <c r="AS3">
        <v>7.68</v>
      </c>
      <c r="AT3">
        <v>4.04</v>
      </c>
      <c r="AU3">
        <v>4.67</v>
      </c>
      <c r="AV3">
        <v>1.96</v>
      </c>
      <c r="AW3">
        <v>3.41</v>
      </c>
      <c r="AX3">
        <v>8.02</v>
      </c>
      <c r="AY3">
        <v>551</v>
      </c>
      <c r="AZ3">
        <v>583</v>
      </c>
      <c r="BA3">
        <v>663</v>
      </c>
      <c r="BC3">
        <v>0.18</v>
      </c>
      <c r="BD3">
        <v>75.489999999999995</v>
      </c>
    </row>
    <row r="4" spans="1:58" x14ac:dyDescent="0.25">
      <c r="A4" t="s">
        <v>364</v>
      </c>
      <c r="B4" t="s">
        <v>269</v>
      </c>
      <c r="C4" t="s">
        <v>352</v>
      </c>
      <c r="D4" t="s">
        <v>577</v>
      </c>
      <c r="E4">
        <v>7.84</v>
      </c>
      <c r="F4">
        <v>366</v>
      </c>
      <c r="G4">
        <v>7.76</v>
      </c>
      <c r="H4">
        <v>1.48</v>
      </c>
      <c r="I4">
        <v>80.11</v>
      </c>
      <c r="J4">
        <v>2.4500000000000002</v>
      </c>
      <c r="K4">
        <v>1.69</v>
      </c>
      <c r="L4">
        <v>0.76</v>
      </c>
      <c r="M4">
        <v>0.37</v>
      </c>
      <c r="Q4">
        <v>0.03</v>
      </c>
      <c r="R4">
        <v>1.21</v>
      </c>
      <c r="S4">
        <v>0.52</v>
      </c>
      <c r="T4">
        <v>0.12</v>
      </c>
      <c r="U4">
        <v>9.35</v>
      </c>
      <c r="W4">
        <v>4.57</v>
      </c>
      <c r="X4">
        <v>119</v>
      </c>
      <c r="Y4">
        <v>20.100000000000001</v>
      </c>
      <c r="Z4">
        <v>3</v>
      </c>
      <c r="AA4">
        <v>147</v>
      </c>
      <c r="AB4">
        <v>0.64</v>
      </c>
      <c r="AC4">
        <v>0.46</v>
      </c>
      <c r="AD4">
        <v>0.32</v>
      </c>
      <c r="AE4">
        <v>1.61</v>
      </c>
      <c r="AF4">
        <v>8.93</v>
      </c>
      <c r="AG4">
        <v>1.06</v>
      </c>
      <c r="AH4">
        <v>9.7200000000000006</v>
      </c>
      <c r="AI4">
        <v>3.48</v>
      </c>
      <c r="AJ4">
        <v>5.97</v>
      </c>
      <c r="AK4">
        <v>18.84</v>
      </c>
      <c r="AL4">
        <v>5.62</v>
      </c>
      <c r="AM4">
        <v>5.07</v>
      </c>
      <c r="AN4">
        <v>6.11</v>
      </c>
      <c r="AO4">
        <v>1.77</v>
      </c>
      <c r="AP4">
        <v>4.2300000000000004</v>
      </c>
      <c r="AQ4">
        <v>1.79</v>
      </c>
      <c r="AR4">
        <v>3.82</v>
      </c>
      <c r="AS4">
        <v>8.1300000000000008</v>
      </c>
      <c r="AT4">
        <v>3.93</v>
      </c>
      <c r="AU4">
        <v>4.8099999999999996</v>
      </c>
      <c r="AV4">
        <v>2.21</v>
      </c>
      <c r="AW4">
        <v>3.62</v>
      </c>
      <c r="AX4">
        <v>7.92</v>
      </c>
      <c r="AY4">
        <v>512</v>
      </c>
      <c r="AZ4">
        <v>312</v>
      </c>
      <c r="BA4">
        <v>434</v>
      </c>
      <c r="BC4">
        <v>0.11</v>
      </c>
      <c r="BD4">
        <v>78.05</v>
      </c>
    </row>
    <row r="5" spans="1:58" x14ac:dyDescent="0.25">
      <c r="A5" t="s">
        <v>364</v>
      </c>
      <c r="B5" t="s">
        <v>268</v>
      </c>
      <c r="C5" t="s">
        <v>352</v>
      </c>
      <c r="D5" t="s">
        <v>576</v>
      </c>
      <c r="E5">
        <v>9.2899999999999991</v>
      </c>
      <c r="F5">
        <v>361</v>
      </c>
      <c r="G5">
        <v>9.8800000000000008</v>
      </c>
      <c r="H5">
        <v>1.52</v>
      </c>
      <c r="I5">
        <v>76.67</v>
      </c>
      <c r="J5">
        <v>2.36</v>
      </c>
      <c r="K5">
        <v>1.57</v>
      </c>
      <c r="L5">
        <v>0.79</v>
      </c>
      <c r="M5">
        <v>0.3</v>
      </c>
      <c r="Q5">
        <v>0.03</v>
      </c>
      <c r="R5">
        <v>0.89</v>
      </c>
      <c r="S5">
        <v>0.52</v>
      </c>
      <c r="T5">
        <v>0.09</v>
      </c>
      <c r="U5">
        <v>10.67</v>
      </c>
      <c r="W5">
        <v>6.94</v>
      </c>
      <c r="X5">
        <v>150</v>
      </c>
      <c r="Y5">
        <v>26.29</v>
      </c>
      <c r="Z5">
        <v>1.55</v>
      </c>
      <c r="AA5">
        <v>87.92</v>
      </c>
      <c r="AB5">
        <v>1.22</v>
      </c>
      <c r="AC5">
        <v>0.68</v>
      </c>
      <c r="AD5">
        <v>0.17</v>
      </c>
      <c r="AE5">
        <v>1.5</v>
      </c>
      <c r="AF5">
        <v>8.4</v>
      </c>
      <c r="AG5">
        <v>0.95</v>
      </c>
      <c r="AH5">
        <v>9.93</v>
      </c>
      <c r="AI5">
        <v>3.33</v>
      </c>
      <c r="AJ5">
        <v>5.88</v>
      </c>
      <c r="AK5">
        <v>19.440000000000001</v>
      </c>
      <c r="AL5">
        <v>5.63</v>
      </c>
      <c r="AM5">
        <v>5.01</v>
      </c>
      <c r="AN5">
        <v>6.2</v>
      </c>
      <c r="AO5">
        <v>1.66</v>
      </c>
      <c r="AP5">
        <v>4.28</v>
      </c>
      <c r="AQ5">
        <v>2.19</v>
      </c>
      <c r="AR5">
        <v>3</v>
      </c>
      <c r="AS5">
        <v>7.81</v>
      </c>
      <c r="AT5">
        <v>3.78</v>
      </c>
      <c r="AU5">
        <v>5.04</v>
      </c>
      <c r="AV5">
        <v>2.0299999999999998</v>
      </c>
      <c r="AW5">
        <v>3.55</v>
      </c>
      <c r="AX5">
        <v>8.14</v>
      </c>
      <c r="AY5">
        <v>470</v>
      </c>
      <c r="AZ5">
        <v>323</v>
      </c>
      <c r="BA5">
        <v>499</v>
      </c>
      <c r="BC5">
        <v>0.08</v>
      </c>
      <c r="BD5">
        <v>74.63</v>
      </c>
    </row>
    <row r="6" spans="1:58" x14ac:dyDescent="0.25">
      <c r="A6" t="s">
        <v>364</v>
      </c>
      <c r="B6" t="s">
        <v>259</v>
      </c>
      <c r="C6" t="s">
        <v>362</v>
      </c>
      <c r="D6" t="s">
        <v>600</v>
      </c>
      <c r="E6">
        <v>85.41</v>
      </c>
      <c r="F6">
        <v>48</v>
      </c>
      <c r="G6">
        <v>1.67</v>
      </c>
      <c r="H6">
        <v>0.24</v>
      </c>
      <c r="I6">
        <v>9.5399999999999991</v>
      </c>
      <c r="J6">
        <v>2.66</v>
      </c>
      <c r="K6">
        <v>1.98</v>
      </c>
      <c r="L6">
        <v>0.68</v>
      </c>
      <c r="M6">
        <v>0.49</v>
      </c>
      <c r="N6">
        <v>0.16</v>
      </c>
      <c r="P6">
        <v>0.04</v>
      </c>
      <c r="Q6">
        <v>0.01</v>
      </c>
      <c r="R6">
        <v>0.42</v>
      </c>
      <c r="S6">
        <v>0.32</v>
      </c>
      <c r="T6">
        <v>0.1</v>
      </c>
      <c r="U6">
        <v>32.99</v>
      </c>
      <c r="V6">
        <v>7.58</v>
      </c>
      <c r="W6">
        <v>14.82</v>
      </c>
      <c r="X6">
        <v>36.799999999999997</v>
      </c>
      <c r="Y6">
        <v>16.940000000000001</v>
      </c>
      <c r="Z6">
        <v>4.9400000000000004</v>
      </c>
      <c r="AA6">
        <v>214</v>
      </c>
      <c r="AB6">
        <v>0.45</v>
      </c>
      <c r="AC6">
        <v>0.15</v>
      </c>
      <c r="AD6">
        <v>0.08</v>
      </c>
      <c r="AE6">
        <v>0.25</v>
      </c>
      <c r="AF6">
        <v>0.45</v>
      </c>
      <c r="AG6">
        <v>1.27</v>
      </c>
      <c r="AH6">
        <v>9.2200000000000006</v>
      </c>
      <c r="AI6">
        <v>2.19</v>
      </c>
      <c r="AJ6">
        <v>2.4</v>
      </c>
      <c r="AK6">
        <v>25.86</v>
      </c>
      <c r="AL6">
        <v>1.79</v>
      </c>
      <c r="AM6">
        <v>3.88</v>
      </c>
      <c r="AN6">
        <v>3.16</v>
      </c>
      <c r="AO6">
        <v>0.77</v>
      </c>
      <c r="AP6">
        <v>3.02</v>
      </c>
      <c r="AQ6">
        <v>0.78</v>
      </c>
      <c r="AR6">
        <v>2.38</v>
      </c>
      <c r="AS6">
        <v>3.45</v>
      </c>
      <c r="AT6">
        <v>2.0499999999999998</v>
      </c>
      <c r="AU6">
        <v>2.72</v>
      </c>
      <c r="AV6">
        <v>1.82</v>
      </c>
      <c r="AW6">
        <v>4.49</v>
      </c>
      <c r="AX6">
        <v>13.02</v>
      </c>
      <c r="AY6">
        <v>61.11</v>
      </c>
      <c r="AZ6">
        <v>40.01</v>
      </c>
      <c r="BA6">
        <v>107</v>
      </c>
      <c r="BC6">
        <v>5.98</v>
      </c>
      <c r="BD6">
        <v>0.83</v>
      </c>
      <c r="BF6">
        <v>0.96</v>
      </c>
    </row>
    <row r="7" spans="1:58" x14ac:dyDescent="0.25">
      <c r="A7" t="s">
        <v>379</v>
      </c>
      <c r="B7" t="s">
        <v>383</v>
      </c>
      <c r="C7" t="s">
        <v>352</v>
      </c>
      <c r="D7" t="s">
        <v>382</v>
      </c>
      <c r="E7">
        <v>10.09</v>
      </c>
      <c r="F7">
        <v>351.57740000000001</v>
      </c>
      <c r="G7">
        <v>7.81</v>
      </c>
      <c r="H7">
        <v>0.55000000000000004</v>
      </c>
      <c r="I7">
        <v>77.16</v>
      </c>
      <c r="J7">
        <v>3.74</v>
      </c>
      <c r="K7">
        <v>2.98</v>
      </c>
      <c r="L7">
        <v>0.76</v>
      </c>
      <c r="M7">
        <v>0.65</v>
      </c>
      <c r="P7">
        <v>0.17</v>
      </c>
      <c r="Q7">
        <v>0.06</v>
      </c>
      <c r="R7">
        <v>2.5099999999999998</v>
      </c>
      <c r="S7">
        <v>0.55000000000000004</v>
      </c>
      <c r="T7">
        <v>0.22</v>
      </c>
      <c r="U7">
        <v>9.75</v>
      </c>
      <c r="W7">
        <v>8.11</v>
      </c>
      <c r="X7">
        <v>140</v>
      </c>
      <c r="Y7">
        <v>26.72</v>
      </c>
      <c r="Z7">
        <v>3.16</v>
      </c>
      <c r="AA7">
        <v>142</v>
      </c>
      <c r="AB7">
        <v>0.72</v>
      </c>
      <c r="AC7">
        <v>0.79</v>
      </c>
      <c r="AD7">
        <v>0.27</v>
      </c>
      <c r="AE7">
        <v>1.08</v>
      </c>
      <c r="AF7">
        <v>1.19</v>
      </c>
      <c r="BC7">
        <v>0.67</v>
      </c>
      <c r="BD7">
        <v>76.14</v>
      </c>
    </row>
    <row r="8" spans="1:58" x14ac:dyDescent="0.25">
      <c r="A8" t="s">
        <v>364</v>
      </c>
      <c r="B8" t="s">
        <v>272</v>
      </c>
      <c r="C8" t="s">
        <v>353</v>
      </c>
      <c r="D8" t="s">
        <v>766</v>
      </c>
      <c r="E8">
        <v>75.33</v>
      </c>
      <c r="F8">
        <v>78</v>
      </c>
      <c r="G8">
        <v>0.92</v>
      </c>
      <c r="H8">
        <v>0.19</v>
      </c>
      <c r="I8">
        <v>17.579999999999998</v>
      </c>
      <c r="J8">
        <v>4.75</v>
      </c>
      <c r="K8">
        <v>3.94</v>
      </c>
      <c r="L8">
        <v>0.81</v>
      </c>
      <c r="M8">
        <v>1.24</v>
      </c>
      <c r="P8">
        <v>7.0000000000000007E-2</v>
      </c>
      <c r="Q8">
        <v>0.02</v>
      </c>
      <c r="R8">
        <v>0.44</v>
      </c>
      <c r="S8">
        <v>0.2</v>
      </c>
      <c r="T8">
        <v>0.1</v>
      </c>
      <c r="U8">
        <v>25.31</v>
      </c>
      <c r="V8">
        <v>19.079999999999998</v>
      </c>
      <c r="W8">
        <v>19.78</v>
      </c>
      <c r="X8">
        <v>44.9</v>
      </c>
      <c r="Y8">
        <v>23.73</v>
      </c>
      <c r="Z8">
        <v>10.75</v>
      </c>
      <c r="AA8">
        <v>276</v>
      </c>
      <c r="AB8">
        <v>0.95</v>
      </c>
      <c r="AC8">
        <v>0.2</v>
      </c>
      <c r="AD8">
        <v>0.18</v>
      </c>
      <c r="AE8">
        <v>0.22</v>
      </c>
      <c r="AG8">
        <v>0.7</v>
      </c>
      <c r="AH8">
        <v>16.5</v>
      </c>
      <c r="AI8">
        <v>5.09</v>
      </c>
      <c r="AJ8">
        <v>6.18</v>
      </c>
      <c r="AK8">
        <v>13.7</v>
      </c>
      <c r="AL8">
        <v>3.53</v>
      </c>
      <c r="AM8">
        <v>5.1100000000000003</v>
      </c>
      <c r="AN8">
        <v>10.199999999999999</v>
      </c>
      <c r="AO8">
        <v>1.38</v>
      </c>
      <c r="AP8">
        <v>4.8899999999999997</v>
      </c>
      <c r="AQ8">
        <v>0.72</v>
      </c>
      <c r="AR8">
        <v>2.31</v>
      </c>
      <c r="AS8">
        <v>6.7</v>
      </c>
      <c r="AT8">
        <v>2.17</v>
      </c>
      <c r="AU8">
        <v>5.67</v>
      </c>
      <c r="AV8">
        <v>1.84</v>
      </c>
      <c r="AW8">
        <v>3.57</v>
      </c>
      <c r="AX8">
        <v>4.4800000000000004</v>
      </c>
      <c r="AY8">
        <v>58.49</v>
      </c>
      <c r="AZ8">
        <v>9.8800000000000008</v>
      </c>
      <c r="BA8">
        <v>83.62</v>
      </c>
      <c r="BC8">
        <v>2.19</v>
      </c>
      <c r="BD8">
        <v>15.24</v>
      </c>
    </row>
    <row r="9" spans="1:58" x14ac:dyDescent="0.25">
      <c r="A9" t="s">
        <v>366</v>
      </c>
      <c r="B9">
        <v>18039991</v>
      </c>
      <c r="C9" t="s">
        <v>352</v>
      </c>
      <c r="D9" t="s">
        <v>375</v>
      </c>
      <c r="E9">
        <v>11.8</v>
      </c>
      <c r="F9">
        <v>333</v>
      </c>
      <c r="G9">
        <v>6.4</v>
      </c>
      <c r="H9">
        <v>0.8</v>
      </c>
      <c r="I9">
        <v>80.099999999999994</v>
      </c>
      <c r="P9">
        <v>0.1</v>
      </c>
      <c r="Q9">
        <v>0.05</v>
      </c>
      <c r="R9">
        <v>2.1</v>
      </c>
      <c r="T9">
        <v>0.2</v>
      </c>
      <c r="U9">
        <v>20</v>
      </c>
      <c r="V9">
        <v>0</v>
      </c>
      <c r="W9">
        <v>24</v>
      </c>
      <c r="AB9">
        <v>1.9</v>
      </c>
      <c r="AE9">
        <v>1.3</v>
      </c>
    </row>
    <row r="10" spans="1:58" x14ac:dyDescent="0.25">
      <c r="A10" t="s">
        <v>364</v>
      </c>
      <c r="B10" t="s">
        <v>234</v>
      </c>
      <c r="C10" t="s">
        <v>360</v>
      </c>
      <c r="D10" t="s">
        <v>863</v>
      </c>
      <c r="E10">
        <v>41.25</v>
      </c>
      <c r="F10">
        <v>390</v>
      </c>
      <c r="G10">
        <v>3.67</v>
      </c>
      <c r="H10">
        <v>39.92</v>
      </c>
      <c r="I10">
        <v>3.41</v>
      </c>
      <c r="J10">
        <v>10.210000000000001</v>
      </c>
      <c r="K10">
        <v>9.18</v>
      </c>
      <c r="L10">
        <v>1.03</v>
      </c>
      <c r="M10">
        <v>1.56</v>
      </c>
      <c r="Q10">
        <v>0.05</v>
      </c>
      <c r="R10">
        <v>0.31</v>
      </c>
      <c r="S10">
        <v>0.8</v>
      </c>
      <c r="T10">
        <v>0.11</v>
      </c>
      <c r="U10">
        <v>14.86</v>
      </c>
      <c r="W10">
        <v>9.31</v>
      </c>
      <c r="X10">
        <v>103</v>
      </c>
      <c r="Y10">
        <v>49.54</v>
      </c>
      <c r="Z10">
        <v>43.78</v>
      </c>
      <c r="AA10">
        <v>349</v>
      </c>
      <c r="AB10">
        <v>1.61</v>
      </c>
      <c r="AC10">
        <v>1.01</v>
      </c>
      <c r="AD10">
        <v>0.42</v>
      </c>
      <c r="AE10">
        <v>1.17</v>
      </c>
      <c r="AF10">
        <v>34.659999999999997</v>
      </c>
      <c r="AG10">
        <v>0.97</v>
      </c>
      <c r="AH10">
        <v>8.83</v>
      </c>
      <c r="AI10">
        <v>3.26</v>
      </c>
      <c r="AJ10">
        <v>4.6500000000000004</v>
      </c>
      <c r="AK10">
        <v>21.88</v>
      </c>
      <c r="AL10">
        <v>3.41</v>
      </c>
      <c r="AM10">
        <v>5</v>
      </c>
      <c r="AN10">
        <v>4.93</v>
      </c>
      <c r="AO10">
        <v>1.24</v>
      </c>
      <c r="AP10">
        <v>5.4</v>
      </c>
      <c r="AQ10">
        <v>1.07</v>
      </c>
      <c r="AR10">
        <v>3.99</v>
      </c>
      <c r="AS10">
        <v>6.25</v>
      </c>
      <c r="AT10">
        <v>3.31</v>
      </c>
      <c r="AU10">
        <v>4.7</v>
      </c>
      <c r="AV10">
        <v>2.41</v>
      </c>
      <c r="AW10">
        <v>3.94</v>
      </c>
      <c r="AX10">
        <v>14.59</v>
      </c>
      <c r="AY10">
        <v>30840</v>
      </c>
      <c r="AZ10">
        <v>2539</v>
      </c>
      <c r="BA10">
        <v>523</v>
      </c>
      <c r="BD10">
        <v>3.16</v>
      </c>
    </row>
    <row r="11" spans="1:58" x14ac:dyDescent="0.25">
      <c r="A11" t="s">
        <v>364</v>
      </c>
      <c r="B11" t="s">
        <v>27</v>
      </c>
      <c r="C11" t="s">
        <v>354</v>
      </c>
      <c r="D11" t="s">
        <v>755</v>
      </c>
      <c r="E11">
        <v>10.42</v>
      </c>
      <c r="F11">
        <v>319</v>
      </c>
      <c r="G11">
        <v>23.09</v>
      </c>
      <c r="H11">
        <v>0.77</v>
      </c>
      <c r="I11">
        <v>53.08</v>
      </c>
      <c r="J11">
        <v>10.49</v>
      </c>
      <c r="K11">
        <v>9.0399999999999991</v>
      </c>
      <c r="L11">
        <v>1.45</v>
      </c>
      <c r="M11">
        <v>2.15</v>
      </c>
      <c r="N11">
        <v>1.06</v>
      </c>
      <c r="P11">
        <v>0.32</v>
      </c>
      <c r="Q11">
        <v>0.16</v>
      </c>
      <c r="R11">
        <v>1.8</v>
      </c>
      <c r="S11">
        <v>1.33</v>
      </c>
      <c r="T11">
        <v>0.22</v>
      </c>
      <c r="U11">
        <v>55</v>
      </c>
      <c r="W11">
        <v>41.27</v>
      </c>
      <c r="X11">
        <v>308</v>
      </c>
      <c r="Y11">
        <v>66.63</v>
      </c>
      <c r="Z11">
        <v>10.24</v>
      </c>
      <c r="AA11">
        <v>798</v>
      </c>
      <c r="AB11">
        <v>7.45</v>
      </c>
      <c r="AC11">
        <v>1.37</v>
      </c>
      <c r="AD11">
        <v>0.8</v>
      </c>
      <c r="AE11">
        <v>3.34</v>
      </c>
      <c r="AF11">
        <v>69.260000000000005</v>
      </c>
      <c r="AG11">
        <v>0.84</v>
      </c>
      <c r="AH11">
        <v>11.6</v>
      </c>
      <c r="AI11">
        <v>3.36</v>
      </c>
      <c r="AJ11">
        <v>4.4800000000000004</v>
      </c>
      <c r="AK11">
        <v>18.2</v>
      </c>
      <c r="AL11">
        <v>3.72</v>
      </c>
      <c r="AM11">
        <v>3.78</v>
      </c>
      <c r="AN11">
        <v>4.55</v>
      </c>
      <c r="AO11">
        <v>0.6</v>
      </c>
      <c r="AP11">
        <v>5.48</v>
      </c>
      <c r="AQ11">
        <v>0.86</v>
      </c>
      <c r="AR11">
        <v>4.59</v>
      </c>
      <c r="AS11">
        <v>7.59</v>
      </c>
      <c r="AT11">
        <v>3.08</v>
      </c>
      <c r="AU11">
        <v>6.44</v>
      </c>
      <c r="AV11">
        <v>1.84</v>
      </c>
      <c r="AW11">
        <v>5.65</v>
      </c>
      <c r="AX11">
        <v>7.94</v>
      </c>
      <c r="AY11">
        <v>93.06</v>
      </c>
      <c r="AZ11">
        <v>115</v>
      </c>
      <c r="BA11">
        <v>346</v>
      </c>
      <c r="BC11">
        <v>2.0099999999999998</v>
      </c>
      <c r="BD11">
        <v>43.94</v>
      </c>
      <c r="BF11">
        <v>6.41</v>
      </c>
    </row>
    <row r="12" spans="1:58" x14ac:dyDescent="0.25">
      <c r="A12" t="s">
        <v>364</v>
      </c>
      <c r="B12" t="s">
        <v>11</v>
      </c>
      <c r="C12" t="s">
        <v>352</v>
      </c>
      <c r="D12" t="s">
        <v>583</v>
      </c>
      <c r="E12">
        <v>10.11</v>
      </c>
      <c r="F12">
        <v>355</v>
      </c>
      <c r="G12">
        <v>10.42</v>
      </c>
      <c r="H12">
        <v>0.73</v>
      </c>
      <c r="I12">
        <v>75.25</v>
      </c>
      <c r="J12">
        <v>2.99</v>
      </c>
      <c r="K12">
        <v>2.37</v>
      </c>
      <c r="L12">
        <v>0.62</v>
      </c>
      <c r="M12">
        <v>0.51</v>
      </c>
      <c r="N12">
        <v>0.49</v>
      </c>
      <c r="P12">
        <v>0.17</v>
      </c>
      <c r="Q12">
        <v>0.06</v>
      </c>
      <c r="R12">
        <v>0.71</v>
      </c>
      <c r="S12">
        <v>0.83</v>
      </c>
      <c r="T12">
        <v>0.08</v>
      </c>
      <c r="U12">
        <v>18.18</v>
      </c>
      <c r="W12">
        <v>26.78</v>
      </c>
      <c r="X12">
        <v>106</v>
      </c>
      <c r="Y12">
        <v>41.8</v>
      </c>
      <c r="Z12">
        <v>2</v>
      </c>
      <c r="AA12">
        <v>290</v>
      </c>
      <c r="AB12">
        <v>1.93</v>
      </c>
      <c r="AC12">
        <v>0.69</v>
      </c>
      <c r="AD12">
        <v>0.19</v>
      </c>
      <c r="AE12">
        <v>0.91</v>
      </c>
      <c r="AG12">
        <v>1.2</v>
      </c>
      <c r="AH12">
        <v>4.16</v>
      </c>
      <c r="AI12">
        <v>2.38</v>
      </c>
      <c r="AJ12">
        <v>4.51</v>
      </c>
      <c r="AK12">
        <v>33.4</v>
      </c>
      <c r="AL12">
        <v>10.4</v>
      </c>
      <c r="AM12">
        <v>3.61</v>
      </c>
      <c r="AN12">
        <v>3.25</v>
      </c>
      <c r="AO12">
        <v>1.91</v>
      </c>
      <c r="AP12">
        <v>4.4000000000000004</v>
      </c>
      <c r="AQ12">
        <v>1.76</v>
      </c>
      <c r="AR12">
        <v>3.54</v>
      </c>
      <c r="AS12">
        <v>6.74</v>
      </c>
      <c r="AT12">
        <v>2.66</v>
      </c>
      <c r="AU12">
        <v>4.5599999999999996</v>
      </c>
      <c r="AV12">
        <v>2.0299999999999998</v>
      </c>
      <c r="AW12">
        <v>2.3199999999999998</v>
      </c>
      <c r="AX12">
        <v>4.0599999999999996</v>
      </c>
      <c r="AY12">
        <v>96.1</v>
      </c>
      <c r="AZ12">
        <v>52</v>
      </c>
      <c r="BA12">
        <v>354</v>
      </c>
      <c r="BC12">
        <v>1.83</v>
      </c>
      <c r="BD12">
        <v>71.12</v>
      </c>
      <c r="BF12">
        <v>2.97</v>
      </c>
    </row>
    <row r="13" spans="1:58" x14ac:dyDescent="0.25">
      <c r="A13" t="s">
        <v>364</v>
      </c>
      <c r="B13" t="s">
        <v>6</v>
      </c>
      <c r="C13" t="s">
        <v>352</v>
      </c>
      <c r="D13" t="s">
        <v>864</v>
      </c>
      <c r="E13">
        <v>7.51</v>
      </c>
      <c r="F13">
        <v>369</v>
      </c>
      <c r="G13">
        <v>6.86</v>
      </c>
      <c r="H13">
        <v>2.4500000000000002</v>
      </c>
      <c r="I13">
        <v>79.53</v>
      </c>
      <c r="J13">
        <v>3.24</v>
      </c>
      <c r="K13">
        <v>2.2999999999999998</v>
      </c>
      <c r="L13">
        <v>0.94</v>
      </c>
      <c r="M13">
        <v>0.43</v>
      </c>
      <c r="Q13">
        <v>0.05</v>
      </c>
      <c r="R13">
        <v>1.76</v>
      </c>
      <c r="S13">
        <v>0.64</v>
      </c>
      <c r="T13">
        <v>0.13</v>
      </c>
      <c r="U13">
        <v>12.79</v>
      </c>
      <c r="W13">
        <v>8.7100000000000009</v>
      </c>
      <c r="X13">
        <v>192</v>
      </c>
      <c r="Y13">
        <v>37.26</v>
      </c>
      <c r="Z13">
        <v>2.16</v>
      </c>
      <c r="AA13">
        <v>154</v>
      </c>
      <c r="AB13">
        <v>1.18</v>
      </c>
      <c r="AC13">
        <v>0.93</v>
      </c>
      <c r="AD13">
        <v>0.35</v>
      </c>
      <c r="AE13">
        <v>1.49</v>
      </c>
      <c r="AF13">
        <v>11.07</v>
      </c>
      <c r="AG13">
        <v>1.1499999999999999</v>
      </c>
      <c r="AH13">
        <v>9.77</v>
      </c>
      <c r="AI13">
        <v>3.66</v>
      </c>
      <c r="AJ13">
        <v>5.93</v>
      </c>
      <c r="AK13">
        <v>18.63</v>
      </c>
      <c r="AL13">
        <v>5.32</v>
      </c>
      <c r="AM13">
        <v>4.93</v>
      </c>
      <c r="AN13">
        <v>6.03</v>
      </c>
      <c r="AO13">
        <v>1.59</v>
      </c>
      <c r="AP13">
        <v>3.93</v>
      </c>
      <c r="AQ13">
        <v>2.09</v>
      </c>
      <c r="AR13">
        <v>4.12</v>
      </c>
      <c r="AS13">
        <v>7.59</v>
      </c>
      <c r="AT13">
        <v>3.84</v>
      </c>
      <c r="AU13">
        <v>4.8</v>
      </c>
      <c r="AV13">
        <v>2.14</v>
      </c>
      <c r="AW13">
        <v>3.68</v>
      </c>
      <c r="AX13">
        <v>8.26</v>
      </c>
      <c r="AY13">
        <v>672</v>
      </c>
      <c r="AZ13">
        <v>601</v>
      </c>
      <c r="BA13">
        <v>806</v>
      </c>
      <c r="BC13">
        <v>0.16</v>
      </c>
      <c r="BD13">
        <v>77.13</v>
      </c>
    </row>
    <row r="14" spans="1:58" x14ac:dyDescent="0.25">
      <c r="A14" t="s">
        <v>364</v>
      </c>
      <c r="B14" t="s">
        <v>341</v>
      </c>
      <c r="C14" t="s">
        <v>361</v>
      </c>
      <c r="D14" t="s">
        <v>240</v>
      </c>
      <c r="F14">
        <v>900</v>
      </c>
      <c r="H14">
        <v>100</v>
      </c>
      <c r="AY14">
        <v>91.08</v>
      </c>
      <c r="AZ14">
        <v>7.63</v>
      </c>
      <c r="BA14">
        <v>1.27</v>
      </c>
    </row>
    <row r="15" spans="1:58" x14ac:dyDescent="0.25">
      <c r="A15" t="s">
        <v>364</v>
      </c>
      <c r="B15" t="s">
        <v>284</v>
      </c>
      <c r="C15" t="s">
        <v>359</v>
      </c>
      <c r="D15" t="s">
        <v>219</v>
      </c>
      <c r="E15">
        <v>66.53</v>
      </c>
      <c r="F15">
        <v>180</v>
      </c>
      <c r="G15">
        <v>22.08</v>
      </c>
      <c r="H15">
        <v>10.199999999999999</v>
      </c>
      <c r="M15">
        <v>1.1399999999999999</v>
      </c>
      <c r="P15">
        <v>0.11</v>
      </c>
      <c r="Q15">
        <v>0.04</v>
      </c>
      <c r="R15">
        <v>5.62</v>
      </c>
      <c r="S15">
        <v>0.81</v>
      </c>
      <c r="T15">
        <v>0.59</v>
      </c>
      <c r="U15">
        <v>12.98</v>
      </c>
      <c r="W15">
        <v>12.49</v>
      </c>
      <c r="X15">
        <v>222</v>
      </c>
      <c r="Y15">
        <v>21.74</v>
      </c>
      <c r="Z15">
        <v>23.13</v>
      </c>
      <c r="AA15">
        <v>365</v>
      </c>
      <c r="AB15">
        <v>1.0900000000000001</v>
      </c>
      <c r="AC15">
        <v>0.01</v>
      </c>
      <c r="AD15">
        <v>0.13</v>
      </c>
      <c r="AE15">
        <v>0.78</v>
      </c>
      <c r="AF15">
        <v>20.12</v>
      </c>
      <c r="AG15">
        <v>1.8</v>
      </c>
      <c r="AH15">
        <v>8.77</v>
      </c>
      <c r="AI15">
        <v>4.38</v>
      </c>
      <c r="AJ15">
        <v>4.78</v>
      </c>
      <c r="AK15">
        <v>15.91</v>
      </c>
      <c r="AL15">
        <v>5.0599999999999996</v>
      </c>
      <c r="AM15">
        <v>4.34</v>
      </c>
      <c r="AN15">
        <v>6.05</v>
      </c>
      <c r="AO15">
        <v>1.08</v>
      </c>
      <c r="AP15">
        <v>5.08</v>
      </c>
      <c r="AQ15">
        <v>2.4700000000000002</v>
      </c>
      <c r="AR15">
        <v>4.9800000000000004</v>
      </c>
      <c r="AS15">
        <v>7.92</v>
      </c>
      <c r="AT15">
        <v>4.09</v>
      </c>
      <c r="AU15">
        <v>5.77</v>
      </c>
      <c r="AV15">
        <v>4.04</v>
      </c>
      <c r="AW15">
        <v>7.96</v>
      </c>
      <c r="AX15">
        <v>7.67</v>
      </c>
      <c r="AY15">
        <v>419</v>
      </c>
      <c r="AZ15">
        <v>453</v>
      </c>
      <c r="BA15">
        <v>262</v>
      </c>
      <c r="BB15">
        <v>66.03</v>
      </c>
    </row>
    <row r="16" spans="1:58" x14ac:dyDescent="0.25">
      <c r="A16" t="s">
        <v>364</v>
      </c>
      <c r="B16" t="s">
        <v>87</v>
      </c>
      <c r="C16" t="s">
        <v>355</v>
      </c>
      <c r="D16" t="s">
        <v>783</v>
      </c>
      <c r="E16">
        <v>90.4</v>
      </c>
      <c r="F16">
        <v>24</v>
      </c>
      <c r="G16">
        <v>1.28</v>
      </c>
      <c r="H16">
        <v>0.33</v>
      </c>
      <c r="I16">
        <v>3.46</v>
      </c>
      <c r="J16">
        <v>3.83</v>
      </c>
      <c r="K16">
        <v>2.37</v>
      </c>
      <c r="L16">
        <v>1.46</v>
      </c>
      <c r="M16">
        <v>0.71</v>
      </c>
      <c r="N16">
        <v>16.829999999999998</v>
      </c>
      <c r="P16">
        <v>0.05</v>
      </c>
      <c r="Q16">
        <v>0.12</v>
      </c>
      <c r="R16">
        <v>0.57999999999999996</v>
      </c>
      <c r="S16">
        <v>0.35</v>
      </c>
      <c r="T16">
        <v>0.11</v>
      </c>
      <c r="U16">
        <v>32.94</v>
      </c>
      <c r="V16">
        <v>3.37</v>
      </c>
      <c r="W16">
        <v>14.4</v>
      </c>
      <c r="X16">
        <v>29.51</v>
      </c>
      <c r="Y16">
        <v>21.18</v>
      </c>
      <c r="Z16">
        <v>3.04</v>
      </c>
      <c r="AA16">
        <v>178</v>
      </c>
      <c r="AB16">
        <v>0.28000000000000003</v>
      </c>
      <c r="AC16">
        <v>0.14000000000000001</v>
      </c>
      <c r="AD16">
        <v>0.09</v>
      </c>
      <c r="AE16">
        <v>0.16</v>
      </c>
      <c r="AG16">
        <v>1.77</v>
      </c>
      <c r="AH16">
        <v>10.61</v>
      </c>
      <c r="AI16">
        <v>5.39</v>
      </c>
      <c r="AJ16">
        <v>4.4400000000000004</v>
      </c>
      <c r="AK16">
        <v>15.78</v>
      </c>
      <c r="AL16">
        <v>4.63</v>
      </c>
      <c r="AM16">
        <v>5.47</v>
      </c>
      <c r="AN16">
        <v>7.22</v>
      </c>
      <c r="AO16">
        <v>0.85</v>
      </c>
      <c r="AP16">
        <v>5.99</v>
      </c>
      <c r="AQ16">
        <v>1.28</v>
      </c>
      <c r="AR16">
        <v>2.8</v>
      </c>
      <c r="AS16">
        <v>7.58</v>
      </c>
      <c r="AT16">
        <v>3.76</v>
      </c>
      <c r="AU16">
        <v>6.03</v>
      </c>
      <c r="AV16">
        <v>2.39</v>
      </c>
      <c r="AW16">
        <v>7.62</v>
      </c>
      <c r="AX16">
        <v>1.77</v>
      </c>
      <c r="AY16">
        <v>82.07</v>
      </c>
      <c r="AZ16">
        <v>20.2</v>
      </c>
      <c r="BA16">
        <v>162</v>
      </c>
      <c r="BC16">
        <v>0.97</v>
      </c>
      <c r="BD16">
        <v>1.03</v>
      </c>
      <c r="BF16">
        <v>101</v>
      </c>
    </row>
    <row r="17" spans="1:58" x14ac:dyDescent="0.25">
      <c r="A17" t="s">
        <v>364</v>
      </c>
      <c r="B17" t="s">
        <v>10</v>
      </c>
      <c r="C17" t="s">
        <v>352</v>
      </c>
      <c r="D17" t="s">
        <v>582</v>
      </c>
      <c r="E17">
        <v>11.44</v>
      </c>
      <c r="F17">
        <v>319</v>
      </c>
      <c r="G17">
        <v>10.25</v>
      </c>
      <c r="H17">
        <v>1.4</v>
      </c>
      <c r="I17">
        <v>64.19</v>
      </c>
      <c r="J17">
        <v>11.54</v>
      </c>
      <c r="K17">
        <v>9.26</v>
      </c>
      <c r="L17">
        <v>2.29</v>
      </c>
      <c r="M17">
        <v>1.18</v>
      </c>
      <c r="N17">
        <v>0.37</v>
      </c>
      <c r="P17">
        <v>0.38</v>
      </c>
      <c r="Q17">
        <v>0.15</v>
      </c>
      <c r="R17">
        <v>2.34</v>
      </c>
      <c r="S17">
        <v>0.91</v>
      </c>
      <c r="T17">
        <v>0.27</v>
      </c>
      <c r="U17">
        <v>27.14</v>
      </c>
      <c r="W17">
        <v>22.09</v>
      </c>
      <c r="X17">
        <v>116</v>
      </c>
      <c r="Y17">
        <v>27.32</v>
      </c>
      <c r="Z17">
        <v>1.1299999999999999</v>
      </c>
      <c r="AA17">
        <v>140</v>
      </c>
      <c r="AB17">
        <v>3.81</v>
      </c>
      <c r="AC17">
        <v>2.9</v>
      </c>
      <c r="AD17">
        <v>0.46</v>
      </c>
      <c r="AE17">
        <v>3.1</v>
      </c>
      <c r="AF17">
        <v>60.32</v>
      </c>
      <c r="AG17">
        <v>1</v>
      </c>
      <c r="AH17">
        <v>4.9800000000000004</v>
      </c>
      <c r="AI17">
        <v>2.68</v>
      </c>
      <c r="AJ17">
        <v>4.72</v>
      </c>
      <c r="AK17">
        <v>27.7</v>
      </c>
      <c r="AL17">
        <v>9.56</v>
      </c>
      <c r="AM17">
        <v>3.65</v>
      </c>
      <c r="AN17">
        <v>3.41</v>
      </c>
      <c r="AO17">
        <v>2.27</v>
      </c>
      <c r="AP17">
        <v>5.1100000000000003</v>
      </c>
      <c r="AQ17">
        <v>1.89</v>
      </c>
      <c r="AR17">
        <v>3.68</v>
      </c>
      <c r="AS17">
        <v>6.05</v>
      </c>
      <c r="AT17">
        <v>2.17</v>
      </c>
      <c r="AU17">
        <v>5.2</v>
      </c>
      <c r="AV17">
        <v>2.16</v>
      </c>
      <c r="AW17">
        <v>2.4900000000000002</v>
      </c>
      <c r="AX17">
        <v>4.4000000000000004</v>
      </c>
      <c r="AY17">
        <v>202</v>
      </c>
      <c r="AZ17">
        <v>151</v>
      </c>
      <c r="BA17">
        <v>745</v>
      </c>
      <c r="BC17">
        <v>1.85</v>
      </c>
      <c r="BD17">
        <v>55.66</v>
      </c>
      <c r="BF17">
        <v>2.2599999999999998</v>
      </c>
    </row>
    <row r="18" spans="1:58" x14ac:dyDescent="0.25">
      <c r="A18" t="s">
        <v>364</v>
      </c>
      <c r="B18" t="s">
        <v>16</v>
      </c>
      <c r="C18" t="s">
        <v>353</v>
      </c>
      <c r="D18" t="s">
        <v>762</v>
      </c>
      <c r="E18">
        <v>80.38</v>
      </c>
      <c r="F18">
        <v>71</v>
      </c>
      <c r="G18">
        <v>1.67</v>
      </c>
      <c r="H18">
        <v>0.25</v>
      </c>
      <c r="I18">
        <v>15.09</v>
      </c>
      <c r="J18">
        <v>1.72</v>
      </c>
      <c r="K18">
        <v>1.1000000000000001</v>
      </c>
      <c r="L18">
        <v>0.62</v>
      </c>
      <c r="M18">
        <v>0.9</v>
      </c>
      <c r="P18">
        <v>0.06</v>
      </c>
      <c r="Q18">
        <v>0.01</v>
      </c>
      <c r="R18">
        <v>0.82</v>
      </c>
      <c r="S18">
        <v>0.37</v>
      </c>
      <c r="T18">
        <v>0.09</v>
      </c>
      <c r="U18">
        <v>14.31</v>
      </c>
      <c r="V18">
        <v>20.5</v>
      </c>
      <c r="W18">
        <v>9.83</v>
      </c>
      <c r="X18">
        <v>57.97</v>
      </c>
      <c r="Y18">
        <v>23.84</v>
      </c>
      <c r="Z18">
        <v>4.08</v>
      </c>
      <c r="AA18">
        <v>541</v>
      </c>
      <c r="AB18">
        <v>0.46</v>
      </c>
      <c r="AC18">
        <v>0.12</v>
      </c>
      <c r="AD18">
        <v>0.08</v>
      </c>
      <c r="AE18">
        <v>0.28999999999999998</v>
      </c>
      <c r="AF18">
        <v>0.28000000000000003</v>
      </c>
      <c r="AG18">
        <v>0.92</v>
      </c>
      <c r="AH18">
        <v>20.399999999999999</v>
      </c>
      <c r="AI18">
        <v>3.67</v>
      </c>
      <c r="AJ18">
        <v>4.01</v>
      </c>
      <c r="AK18">
        <v>18.2</v>
      </c>
      <c r="AL18">
        <v>3.85</v>
      </c>
      <c r="AM18">
        <v>3.36</v>
      </c>
      <c r="AN18">
        <v>4.32</v>
      </c>
      <c r="AO18">
        <v>1.07</v>
      </c>
      <c r="AP18">
        <v>5.85</v>
      </c>
      <c r="AQ18">
        <v>1.01</v>
      </c>
      <c r="AR18">
        <v>4.57</v>
      </c>
      <c r="AS18">
        <v>7.43</v>
      </c>
      <c r="AT18">
        <v>3.26</v>
      </c>
      <c r="AU18">
        <v>4.84</v>
      </c>
      <c r="AV18">
        <v>2.42</v>
      </c>
      <c r="AW18">
        <v>6.1</v>
      </c>
      <c r="AX18">
        <v>4.26</v>
      </c>
      <c r="AY18">
        <v>46.24</v>
      </c>
      <c r="AZ18">
        <v>14.95</v>
      </c>
      <c r="BA18">
        <v>139</v>
      </c>
      <c r="BC18">
        <v>0.34</v>
      </c>
      <c r="BD18">
        <v>11.38</v>
      </c>
    </row>
    <row r="19" spans="1:58" x14ac:dyDescent="0.25">
      <c r="A19" t="s">
        <v>364</v>
      </c>
      <c r="B19" t="s">
        <v>323</v>
      </c>
      <c r="C19" t="s">
        <v>357</v>
      </c>
      <c r="D19" t="s">
        <v>820</v>
      </c>
      <c r="E19">
        <v>79.569999999999993</v>
      </c>
      <c r="F19">
        <v>83</v>
      </c>
      <c r="G19">
        <v>18.48</v>
      </c>
      <c r="H19">
        <v>1.08</v>
      </c>
      <c r="M19">
        <v>1.18</v>
      </c>
      <c r="O19">
        <v>17.14</v>
      </c>
      <c r="P19">
        <v>0.02</v>
      </c>
      <c r="Q19">
        <v>0.18</v>
      </c>
      <c r="R19">
        <v>1.4</v>
      </c>
      <c r="S19">
        <v>0.78</v>
      </c>
      <c r="T19">
        <v>0.18</v>
      </c>
      <c r="U19">
        <v>8.2899999999999991</v>
      </c>
      <c r="W19">
        <v>99.39</v>
      </c>
      <c r="X19">
        <v>184</v>
      </c>
      <c r="Y19">
        <v>24.96</v>
      </c>
      <c r="Z19">
        <v>52.55</v>
      </c>
      <c r="AA19">
        <v>255</v>
      </c>
      <c r="AB19">
        <v>2.84</v>
      </c>
      <c r="AC19">
        <v>0.1</v>
      </c>
      <c r="AD19">
        <v>0.04</v>
      </c>
      <c r="AE19">
        <v>0.88</v>
      </c>
      <c r="AF19">
        <v>20.85</v>
      </c>
      <c r="AG19">
        <v>0.79</v>
      </c>
      <c r="AH19">
        <v>9.02</v>
      </c>
      <c r="AI19">
        <v>5.41</v>
      </c>
      <c r="AJ19">
        <v>5.17</v>
      </c>
      <c r="AK19">
        <v>13.03</v>
      </c>
      <c r="AL19">
        <v>5.62</v>
      </c>
      <c r="AM19">
        <v>4.8899999999999997</v>
      </c>
      <c r="AN19">
        <v>3.05</v>
      </c>
      <c r="AO19">
        <v>1.52</v>
      </c>
      <c r="AP19">
        <v>5.66</v>
      </c>
      <c r="AQ19">
        <v>3.19</v>
      </c>
      <c r="AR19">
        <v>5.71</v>
      </c>
      <c r="AS19">
        <v>7.87</v>
      </c>
      <c r="AT19">
        <v>5.67</v>
      </c>
      <c r="AU19">
        <v>6.02</v>
      </c>
      <c r="AV19">
        <v>4.21</v>
      </c>
      <c r="AW19">
        <v>7.71</v>
      </c>
      <c r="AX19">
        <v>6.47</v>
      </c>
      <c r="AY19">
        <v>413</v>
      </c>
      <c r="AZ19">
        <v>254</v>
      </c>
      <c r="BA19">
        <v>199</v>
      </c>
      <c r="BB19">
        <v>26.36</v>
      </c>
    </row>
    <row r="20" spans="1:58" x14ac:dyDescent="0.25">
      <c r="A20" t="s">
        <v>364</v>
      </c>
      <c r="B20" t="s">
        <v>315</v>
      </c>
      <c r="C20" t="s">
        <v>355</v>
      </c>
      <c r="D20" t="s">
        <v>777</v>
      </c>
      <c r="E20">
        <v>88.33</v>
      </c>
      <c r="F20">
        <v>24</v>
      </c>
      <c r="G20">
        <v>3.36</v>
      </c>
      <c r="H20">
        <v>0.3</v>
      </c>
      <c r="I20">
        <v>1.99</v>
      </c>
      <c r="J20">
        <v>5.31</v>
      </c>
      <c r="K20">
        <v>4.88</v>
      </c>
      <c r="L20">
        <v>0.44</v>
      </c>
      <c r="M20">
        <v>0.72</v>
      </c>
      <c r="P20">
        <v>0.1</v>
      </c>
      <c r="Q20">
        <v>0.06</v>
      </c>
      <c r="R20">
        <v>3.66</v>
      </c>
      <c r="S20">
        <v>0.97</v>
      </c>
      <c r="T20">
        <v>0.11</v>
      </c>
      <c r="U20">
        <v>99.98</v>
      </c>
      <c r="V20">
        <v>8.93</v>
      </c>
      <c r="W20">
        <v>44.22</v>
      </c>
      <c r="X20">
        <v>52.73</v>
      </c>
      <c r="Y20">
        <v>33.17</v>
      </c>
      <c r="Z20">
        <v>5.46</v>
      </c>
      <c r="AA20">
        <v>304</v>
      </c>
      <c r="AB20">
        <v>1.01</v>
      </c>
      <c r="AC20">
        <v>0.55000000000000004</v>
      </c>
      <c r="AD20">
        <v>0.16</v>
      </c>
      <c r="AE20">
        <v>0.08</v>
      </c>
      <c r="AF20">
        <v>2.68</v>
      </c>
      <c r="AG20">
        <v>0.49</v>
      </c>
      <c r="AH20">
        <v>13.51</v>
      </c>
      <c r="AI20">
        <v>4.45</v>
      </c>
      <c r="AJ20">
        <v>5.53</v>
      </c>
      <c r="AK20">
        <v>14.38</v>
      </c>
      <c r="AL20">
        <v>4.01</v>
      </c>
      <c r="AM20">
        <v>4.45</v>
      </c>
      <c r="AN20">
        <v>5.81</v>
      </c>
      <c r="AO20">
        <v>0.81</v>
      </c>
      <c r="AP20">
        <v>5.46</v>
      </c>
      <c r="AQ20">
        <v>1.37</v>
      </c>
      <c r="AR20">
        <v>4.62</v>
      </c>
      <c r="AS20">
        <v>6.56</v>
      </c>
      <c r="AT20">
        <v>3.99</v>
      </c>
      <c r="AU20">
        <v>4.37</v>
      </c>
      <c r="AV20">
        <v>3.11</v>
      </c>
      <c r="AW20">
        <v>6.17</v>
      </c>
      <c r="AX20">
        <v>6.58</v>
      </c>
      <c r="AY20">
        <v>122</v>
      </c>
      <c r="AZ20">
        <v>8.7899999999999991</v>
      </c>
      <c r="BA20">
        <v>109</v>
      </c>
      <c r="BC20">
        <v>0.98</v>
      </c>
      <c r="BD20">
        <v>0.84</v>
      </c>
    </row>
    <row r="21" spans="1:58" x14ac:dyDescent="0.25">
      <c r="A21" t="s">
        <v>364</v>
      </c>
      <c r="B21" t="s">
        <v>251</v>
      </c>
      <c r="C21" t="s">
        <v>362</v>
      </c>
      <c r="D21" t="s">
        <v>586</v>
      </c>
      <c r="E21">
        <v>86.54</v>
      </c>
      <c r="F21">
        <v>39</v>
      </c>
      <c r="G21">
        <v>2.2799999999999998</v>
      </c>
      <c r="H21">
        <v>0.76</v>
      </c>
      <c r="I21">
        <v>5.25</v>
      </c>
      <c r="J21">
        <v>4.24</v>
      </c>
      <c r="K21">
        <v>3.29</v>
      </c>
      <c r="L21">
        <v>0.95</v>
      </c>
      <c r="M21">
        <v>0.94</v>
      </c>
      <c r="N21">
        <v>38.159999999999997</v>
      </c>
      <c r="P21">
        <v>0.08</v>
      </c>
      <c r="Q21">
        <v>0.08</v>
      </c>
      <c r="R21">
        <v>1.1100000000000001</v>
      </c>
      <c r="S21">
        <v>0.24</v>
      </c>
      <c r="T21">
        <v>0.25</v>
      </c>
      <c r="U21">
        <v>21.29</v>
      </c>
      <c r="V21">
        <v>98.61</v>
      </c>
      <c r="W21">
        <v>20.25</v>
      </c>
      <c r="X21">
        <v>59.83</v>
      </c>
      <c r="Y21">
        <v>36.909999999999997</v>
      </c>
      <c r="Z21">
        <v>2.94</v>
      </c>
      <c r="AA21">
        <v>379</v>
      </c>
      <c r="AB21">
        <v>1.25</v>
      </c>
      <c r="AC21">
        <v>0.31</v>
      </c>
      <c r="AD21">
        <v>0.16</v>
      </c>
      <c r="AE21">
        <v>0.28999999999999998</v>
      </c>
      <c r="AG21">
        <v>0.82</v>
      </c>
      <c r="AH21">
        <v>17.899999999999999</v>
      </c>
      <c r="AI21">
        <v>3.93</v>
      </c>
      <c r="AJ21">
        <v>4.04</v>
      </c>
      <c r="AK21">
        <v>19.98</v>
      </c>
      <c r="AL21">
        <v>3.05</v>
      </c>
      <c r="AM21">
        <v>3.46</v>
      </c>
      <c r="AN21">
        <v>5.63</v>
      </c>
      <c r="AO21">
        <v>1.5</v>
      </c>
      <c r="AP21">
        <v>4.8099999999999996</v>
      </c>
      <c r="AQ21">
        <v>1.38</v>
      </c>
      <c r="AR21">
        <v>3.66</v>
      </c>
      <c r="AS21">
        <v>5.08</v>
      </c>
      <c r="AT21">
        <v>2.74</v>
      </c>
      <c r="AU21">
        <v>3.75</v>
      </c>
      <c r="AV21">
        <v>1.83</v>
      </c>
      <c r="AW21">
        <v>3.86</v>
      </c>
      <c r="AX21">
        <v>5.71</v>
      </c>
      <c r="AY21">
        <v>130</v>
      </c>
      <c r="AZ21">
        <v>36.14</v>
      </c>
      <c r="BA21">
        <v>442</v>
      </c>
      <c r="BC21">
        <v>1</v>
      </c>
      <c r="BD21">
        <v>1.92</v>
      </c>
      <c r="BF21">
        <v>229</v>
      </c>
    </row>
    <row r="22" spans="1:58" x14ac:dyDescent="0.25">
      <c r="A22" t="s">
        <v>364</v>
      </c>
      <c r="B22" t="s">
        <v>282</v>
      </c>
      <c r="C22" t="s">
        <v>359</v>
      </c>
      <c r="D22" t="s">
        <v>608</v>
      </c>
      <c r="E22">
        <v>72.959999999999994</v>
      </c>
      <c r="F22">
        <v>170</v>
      </c>
      <c r="G22">
        <v>13.14</v>
      </c>
      <c r="H22">
        <v>13</v>
      </c>
      <c r="M22">
        <v>0.86</v>
      </c>
      <c r="N22">
        <v>180</v>
      </c>
      <c r="P22">
        <v>0.14000000000000001</v>
      </c>
      <c r="Q22">
        <v>0.08</v>
      </c>
      <c r="R22">
        <v>0.14000000000000001</v>
      </c>
      <c r="S22">
        <v>1.03</v>
      </c>
      <c r="T22">
        <v>0.18</v>
      </c>
      <c r="U22">
        <v>54.6</v>
      </c>
      <c r="W22">
        <v>50.14</v>
      </c>
      <c r="X22">
        <v>198</v>
      </c>
      <c r="Y22">
        <v>11.04</v>
      </c>
      <c r="Z22">
        <v>157</v>
      </c>
      <c r="AA22">
        <v>117</v>
      </c>
      <c r="AB22">
        <v>1.64</v>
      </c>
      <c r="AC22">
        <v>0.02</v>
      </c>
      <c r="AD22">
        <v>0.06</v>
      </c>
      <c r="AE22">
        <v>1.1200000000000001</v>
      </c>
      <c r="AF22">
        <v>62.33</v>
      </c>
      <c r="AG22">
        <v>1.42</v>
      </c>
      <c r="AH22">
        <v>9.7899999999999991</v>
      </c>
      <c r="AI22">
        <v>5.15</v>
      </c>
      <c r="AJ22">
        <v>7.54</v>
      </c>
      <c r="AK22">
        <v>13.04</v>
      </c>
      <c r="AL22">
        <v>3.36</v>
      </c>
      <c r="AM22">
        <v>3.54</v>
      </c>
      <c r="AN22">
        <v>6.21</v>
      </c>
      <c r="AO22">
        <v>2.15</v>
      </c>
      <c r="AP22">
        <v>6.24</v>
      </c>
      <c r="AQ22">
        <v>2.97</v>
      </c>
      <c r="AR22">
        <v>5.74</v>
      </c>
      <c r="AS22">
        <v>7.74</v>
      </c>
      <c r="AT22">
        <v>3.7</v>
      </c>
      <c r="AU22">
        <v>5.72</v>
      </c>
      <c r="AV22">
        <v>2.25</v>
      </c>
      <c r="AW22">
        <v>7.53</v>
      </c>
      <c r="AX22">
        <v>6.42</v>
      </c>
      <c r="AY22">
        <v>3792</v>
      </c>
      <c r="AZ22">
        <v>5061</v>
      </c>
      <c r="BA22">
        <v>1663</v>
      </c>
      <c r="BB22">
        <v>355</v>
      </c>
    </row>
    <row r="23" spans="1:58" x14ac:dyDescent="0.25">
      <c r="A23" t="s">
        <v>364</v>
      </c>
      <c r="B23" t="s">
        <v>1</v>
      </c>
      <c r="C23" t="s">
        <v>352</v>
      </c>
      <c r="D23" t="s">
        <v>569</v>
      </c>
      <c r="E23">
        <v>68.39</v>
      </c>
      <c r="F23">
        <v>119</v>
      </c>
      <c r="G23">
        <v>3.01</v>
      </c>
      <c r="H23">
        <v>1.23</v>
      </c>
      <c r="I23">
        <v>23.54</v>
      </c>
      <c r="J23">
        <v>3.46</v>
      </c>
      <c r="K23">
        <v>3.07</v>
      </c>
      <c r="L23">
        <v>0.39</v>
      </c>
      <c r="M23">
        <v>0.37</v>
      </c>
      <c r="N23">
        <v>7.91</v>
      </c>
      <c r="P23">
        <v>0.14000000000000001</v>
      </c>
      <c r="Q23">
        <v>0.11</v>
      </c>
      <c r="R23">
        <v>1.1299999999999999</v>
      </c>
      <c r="S23">
        <v>0.43</v>
      </c>
      <c r="T23">
        <v>0.44</v>
      </c>
      <c r="U23">
        <v>65.34</v>
      </c>
      <c r="V23">
        <v>4.07</v>
      </c>
      <c r="W23">
        <v>5.0999999999999996</v>
      </c>
      <c r="X23">
        <v>182</v>
      </c>
      <c r="Y23">
        <v>41.11</v>
      </c>
      <c r="Z23">
        <v>2.31</v>
      </c>
      <c r="AA23">
        <v>183</v>
      </c>
      <c r="AB23">
        <v>0.7</v>
      </c>
      <c r="AC23">
        <v>0.36</v>
      </c>
      <c r="AD23">
        <v>0.14000000000000001</v>
      </c>
      <c r="AE23">
        <v>0.92</v>
      </c>
      <c r="AF23">
        <v>2.64</v>
      </c>
      <c r="AG23">
        <v>0.5</v>
      </c>
      <c r="AH23">
        <v>8.4600000000000009</v>
      </c>
      <c r="AI23">
        <v>3.42</v>
      </c>
      <c r="AJ23">
        <v>5.96</v>
      </c>
      <c r="AK23">
        <v>19.899999999999999</v>
      </c>
      <c r="AL23">
        <v>8.35</v>
      </c>
      <c r="AM23">
        <v>3.67</v>
      </c>
      <c r="AN23">
        <v>10</v>
      </c>
      <c r="AO23">
        <v>1.25</v>
      </c>
      <c r="AP23">
        <v>4.13</v>
      </c>
      <c r="AQ23">
        <v>1.79</v>
      </c>
      <c r="AR23">
        <v>3.66</v>
      </c>
      <c r="AS23">
        <v>11.5</v>
      </c>
      <c r="AT23">
        <v>3.41</v>
      </c>
      <c r="AU23">
        <v>5.21</v>
      </c>
      <c r="AV23">
        <v>2.75</v>
      </c>
      <c r="AW23">
        <v>2.2400000000000002</v>
      </c>
      <c r="AX23">
        <v>3.34</v>
      </c>
      <c r="AY23">
        <v>104</v>
      </c>
      <c r="AZ23">
        <v>144</v>
      </c>
      <c r="BA23">
        <v>355</v>
      </c>
      <c r="BC23">
        <v>1.46</v>
      </c>
      <c r="BD23">
        <v>15.24</v>
      </c>
      <c r="BF23">
        <v>31.58</v>
      </c>
    </row>
    <row r="24" spans="1:58" x14ac:dyDescent="0.25">
      <c r="A24" t="s">
        <v>366</v>
      </c>
      <c r="B24">
        <v>12029991</v>
      </c>
      <c r="C24" t="s">
        <v>362</v>
      </c>
      <c r="D24" t="s">
        <v>367</v>
      </c>
      <c r="E24">
        <v>0</v>
      </c>
      <c r="F24">
        <v>0</v>
      </c>
      <c r="G24">
        <v>0</v>
      </c>
      <c r="H24">
        <v>0</v>
      </c>
      <c r="I24">
        <v>0</v>
      </c>
      <c r="N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10</v>
      </c>
      <c r="AB24">
        <v>0.3</v>
      </c>
      <c r="AE24">
        <v>0.1</v>
      </c>
    </row>
    <row r="25" spans="1:58" x14ac:dyDescent="0.25">
      <c r="A25" t="s">
        <v>364</v>
      </c>
      <c r="B25" t="s">
        <v>61</v>
      </c>
      <c r="C25" t="s">
        <v>355</v>
      </c>
      <c r="D25" t="s">
        <v>865</v>
      </c>
      <c r="E25">
        <v>91.73</v>
      </c>
      <c r="F25">
        <v>24</v>
      </c>
      <c r="G25">
        <v>0.87</v>
      </c>
      <c r="H25">
        <v>0.18</v>
      </c>
      <c r="I25">
        <v>4.22</v>
      </c>
      <c r="J25">
        <v>2.5299999999999998</v>
      </c>
      <c r="K25">
        <v>1.28</v>
      </c>
      <c r="L25">
        <v>1.25</v>
      </c>
      <c r="M25">
        <v>0.47</v>
      </c>
      <c r="N25">
        <v>30.25</v>
      </c>
      <c r="P25">
        <v>0.03</v>
      </c>
      <c r="Q25">
        <v>0.02</v>
      </c>
      <c r="R25">
        <v>0.44</v>
      </c>
      <c r="S25">
        <v>0.16</v>
      </c>
      <c r="T25">
        <v>0.05</v>
      </c>
      <c r="U25">
        <v>31.6</v>
      </c>
      <c r="V25">
        <v>7.29</v>
      </c>
      <c r="W25">
        <v>24.1</v>
      </c>
      <c r="X25">
        <v>24.51</v>
      </c>
      <c r="Y25">
        <v>13.27</v>
      </c>
      <c r="Z25">
        <v>5.21</v>
      </c>
      <c r="AA25">
        <v>186</v>
      </c>
      <c r="AB25">
        <v>0.28999999999999998</v>
      </c>
      <c r="AC25">
        <v>0.08</v>
      </c>
      <c r="AD25">
        <v>0.04</v>
      </c>
      <c r="AE25">
        <v>0.14000000000000001</v>
      </c>
      <c r="AF25">
        <v>0.34</v>
      </c>
      <c r="AG25">
        <v>0.73</v>
      </c>
      <c r="AH25">
        <v>12.58</v>
      </c>
      <c r="AI25">
        <v>3.47</v>
      </c>
      <c r="AJ25">
        <v>4.3</v>
      </c>
      <c r="AK25">
        <v>20.37</v>
      </c>
      <c r="AL25">
        <v>3.57</v>
      </c>
      <c r="AM25">
        <v>3.15</v>
      </c>
      <c r="AN25">
        <v>4.72</v>
      </c>
      <c r="AO25">
        <v>0.6</v>
      </c>
      <c r="AP25">
        <v>5.97</v>
      </c>
      <c r="AQ25">
        <v>0.96</v>
      </c>
      <c r="AR25">
        <v>4.54</v>
      </c>
      <c r="AS25">
        <v>5.41</v>
      </c>
      <c r="AT25">
        <v>4.4800000000000004</v>
      </c>
      <c r="AU25">
        <v>2.84</v>
      </c>
      <c r="AV25">
        <v>2.1800000000000002</v>
      </c>
      <c r="AW25">
        <v>3.4</v>
      </c>
      <c r="AX25">
        <v>0.73</v>
      </c>
      <c r="AY25">
        <v>74.27</v>
      </c>
      <c r="AZ25">
        <v>25.17</v>
      </c>
      <c r="BA25">
        <v>65.510000000000005</v>
      </c>
      <c r="BC25">
        <v>2.9</v>
      </c>
      <c r="BD25">
        <v>0.2</v>
      </c>
      <c r="BE25">
        <v>363</v>
      </c>
    </row>
    <row r="26" spans="1:58" x14ac:dyDescent="0.25">
      <c r="A26" t="s">
        <v>364</v>
      </c>
      <c r="B26" t="s">
        <v>290</v>
      </c>
      <c r="C26" t="s">
        <v>362</v>
      </c>
      <c r="D26" t="s">
        <v>595</v>
      </c>
      <c r="E26">
        <v>64.510000000000005</v>
      </c>
      <c r="F26">
        <v>122</v>
      </c>
      <c r="G26">
        <v>6.76</v>
      </c>
      <c r="H26">
        <v>0.14000000000000001</v>
      </c>
      <c r="I26">
        <v>21.75</v>
      </c>
      <c r="J26">
        <v>5.53</v>
      </c>
      <c r="K26">
        <v>2.62</v>
      </c>
      <c r="L26">
        <v>2.91</v>
      </c>
      <c r="M26">
        <v>1.31</v>
      </c>
      <c r="P26">
        <v>0.21</v>
      </c>
      <c r="Q26">
        <v>0.23</v>
      </c>
      <c r="R26">
        <v>0.33</v>
      </c>
      <c r="S26">
        <v>1.85</v>
      </c>
      <c r="T26">
        <v>0.64</v>
      </c>
      <c r="U26">
        <v>58.03</v>
      </c>
      <c r="V26">
        <v>13.16</v>
      </c>
      <c r="W26">
        <v>14.65</v>
      </c>
      <c r="X26">
        <v>102</v>
      </c>
      <c r="Y26">
        <v>24.07</v>
      </c>
      <c r="Z26">
        <v>10.62</v>
      </c>
      <c r="AA26">
        <v>377</v>
      </c>
      <c r="AB26">
        <v>0.63</v>
      </c>
      <c r="AC26">
        <v>0.22</v>
      </c>
      <c r="AD26">
        <v>0.13</v>
      </c>
      <c r="AE26">
        <v>0.66</v>
      </c>
      <c r="AF26">
        <v>0.42</v>
      </c>
      <c r="AG26">
        <v>0.59</v>
      </c>
      <c r="AH26">
        <v>9.58</v>
      </c>
      <c r="AI26">
        <v>3.11</v>
      </c>
      <c r="AJ26">
        <v>3.34</v>
      </c>
      <c r="AK26">
        <v>17.93</v>
      </c>
      <c r="AL26">
        <v>3.04</v>
      </c>
      <c r="AM26">
        <v>3.26</v>
      </c>
      <c r="AN26">
        <v>3.92</v>
      </c>
      <c r="AO26">
        <v>2.17</v>
      </c>
      <c r="AP26">
        <v>4.54</v>
      </c>
      <c r="AQ26">
        <v>0.8</v>
      </c>
      <c r="AR26">
        <v>2.56</v>
      </c>
      <c r="AS26">
        <v>4.6100000000000003</v>
      </c>
      <c r="AT26">
        <v>3.46</v>
      </c>
      <c r="AU26">
        <v>3.62</v>
      </c>
      <c r="AV26">
        <v>1.3</v>
      </c>
      <c r="AW26">
        <v>4.2</v>
      </c>
      <c r="AX26">
        <v>14.14</v>
      </c>
      <c r="AY26">
        <v>34.51</v>
      </c>
      <c r="AZ26">
        <v>14.36</v>
      </c>
      <c r="BA26">
        <v>63.13</v>
      </c>
      <c r="BC26">
        <v>4.9000000000000004</v>
      </c>
      <c r="BD26">
        <v>15.69</v>
      </c>
    </row>
    <row r="27" spans="1:58" x14ac:dyDescent="0.25">
      <c r="A27" t="s">
        <v>364</v>
      </c>
      <c r="B27" t="s">
        <v>93</v>
      </c>
      <c r="C27" t="s">
        <v>355</v>
      </c>
      <c r="D27" t="s">
        <v>789</v>
      </c>
      <c r="E27">
        <v>92.2</v>
      </c>
      <c r="F27">
        <v>21</v>
      </c>
      <c r="G27">
        <v>1.35</v>
      </c>
      <c r="H27">
        <v>0.14000000000000001</v>
      </c>
      <c r="I27">
        <v>3.15</v>
      </c>
      <c r="J27">
        <v>2.48</v>
      </c>
      <c r="K27">
        <v>1.63</v>
      </c>
      <c r="L27">
        <v>0.85</v>
      </c>
      <c r="M27">
        <v>0.7</v>
      </c>
      <c r="N27">
        <v>3.35</v>
      </c>
      <c r="P27">
        <v>0.04</v>
      </c>
      <c r="Q27">
        <v>0.05</v>
      </c>
      <c r="R27">
        <v>0.25</v>
      </c>
      <c r="S27">
        <v>0.24</v>
      </c>
      <c r="T27">
        <v>0.14000000000000001</v>
      </c>
      <c r="U27">
        <v>52.66</v>
      </c>
      <c r="V27">
        <v>29.62</v>
      </c>
      <c r="W27">
        <v>56.85</v>
      </c>
      <c r="X27">
        <v>27.68</v>
      </c>
      <c r="Y27">
        <v>18.47</v>
      </c>
      <c r="Z27">
        <v>18.05</v>
      </c>
      <c r="AA27">
        <v>213</v>
      </c>
      <c r="AB27">
        <v>0.33</v>
      </c>
      <c r="AC27">
        <v>0.22</v>
      </c>
      <c r="AD27">
        <v>0.03</v>
      </c>
      <c r="AE27">
        <v>0.16</v>
      </c>
      <c r="AF27">
        <v>1.1000000000000001</v>
      </c>
      <c r="AG27">
        <v>0.92</v>
      </c>
      <c r="AH27">
        <v>10.99</v>
      </c>
      <c r="AI27">
        <v>3.43</v>
      </c>
      <c r="AJ27">
        <v>3.86</v>
      </c>
      <c r="AK27">
        <v>28.72</v>
      </c>
      <c r="AL27">
        <v>3.88</v>
      </c>
      <c r="AM27">
        <v>2.9</v>
      </c>
      <c r="AN27">
        <v>6.98</v>
      </c>
      <c r="AO27">
        <v>0.87</v>
      </c>
      <c r="AP27">
        <v>2.84</v>
      </c>
      <c r="AQ27">
        <v>1.02</v>
      </c>
      <c r="AR27">
        <v>3.7</v>
      </c>
      <c r="AS27">
        <v>5.35</v>
      </c>
      <c r="AT27">
        <v>2.29</v>
      </c>
      <c r="AU27">
        <v>3.04</v>
      </c>
      <c r="AV27">
        <v>2.21</v>
      </c>
      <c r="AW27">
        <v>3.92</v>
      </c>
      <c r="AX27">
        <v>0.92</v>
      </c>
      <c r="AY27">
        <v>50.36</v>
      </c>
      <c r="AZ27">
        <v>30.69</v>
      </c>
      <c r="BA27">
        <v>94.95</v>
      </c>
      <c r="BC27">
        <v>0.91</v>
      </c>
      <c r="BD27">
        <v>0.31</v>
      </c>
      <c r="BF27">
        <v>20.149999999999999</v>
      </c>
    </row>
    <row r="28" spans="1:58" x14ac:dyDescent="0.25">
      <c r="A28" t="s">
        <v>364</v>
      </c>
      <c r="B28" t="s">
        <v>304</v>
      </c>
      <c r="C28" t="s">
        <v>355</v>
      </c>
      <c r="D28" t="s">
        <v>843</v>
      </c>
      <c r="E28">
        <v>89.16</v>
      </c>
      <c r="F28">
        <v>26</v>
      </c>
      <c r="G28">
        <v>2.06</v>
      </c>
      <c r="H28">
        <v>0.19</v>
      </c>
      <c r="I28">
        <v>3.62</v>
      </c>
      <c r="J28">
        <v>3.94</v>
      </c>
      <c r="K28">
        <v>2.94</v>
      </c>
      <c r="L28">
        <v>1</v>
      </c>
      <c r="M28">
        <v>1.04</v>
      </c>
      <c r="N28">
        <v>12.41</v>
      </c>
      <c r="P28">
        <v>0.04</v>
      </c>
      <c r="Q28">
        <v>0.08</v>
      </c>
      <c r="R28">
        <v>0.6</v>
      </c>
      <c r="S28">
        <v>0.24</v>
      </c>
      <c r="T28">
        <v>0.28000000000000003</v>
      </c>
      <c r="U28">
        <v>70.62</v>
      </c>
      <c r="V28">
        <v>24.48</v>
      </c>
      <c r="W28">
        <v>92.26</v>
      </c>
      <c r="X28">
        <v>57.99</v>
      </c>
      <c r="Y28">
        <v>55.23</v>
      </c>
      <c r="Z28">
        <v>7.58</v>
      </c>
      <c r="AA28">
        <v>254</v>
      </c>
      <c r="AB28">
        <v>0.96</v>
      </c>
      <c r="AC28">
        <v>0.25</v>
      </c>
      <c r="AD28">
        <v>0.12</v>
      </c>
      <c r="AE28">
        <v>0.44</v>
      </c>
      <c r="AG28">
        <v>0.56000000000000005</v>
      </c>
      <c r="AH28">
        <v>17.57</v>
      </c>
      <c r="AI28">
        <v>3.87</v>
      </c>
      <c r="AJ28">
        <v>4</v>
      </c>
      <c r="AK28">
        <v>17.7</v>
      </c>
      <c r="AL28">
        <v>3.4</v>
      </c>
      <c r="AM28">
        <v>4.4400000000000004</v>
      </c>
      <c r="AN28">
        <v>5.16</v>
      </c>
      <c r="AO28">
        <v>0.7</v>
      </c>
      <c r="AP28">
        <v>4.97</v>
      </c>
      <c r="AQ28">
        <v>0.88</v>
      </c>
      <c r="AR28">
        <v>3.93</v>
      </c>
      <c r="AS28">
        <v>5.55</v>
      </c>
      <c r="AT28">
        <v>2.65</v>
      </c>
      <c r="AU28">
        <v>3.72</v>
      </c>
      <c r="AV28">
        <v>2.74</v>
      </c>
      <c r="AW28">
        <v>3.81</v>
      </c>
      <c r="AX28">
        <v>0.56000000000000005</v>
      </c>
      <c r="AY28">
        <v>60.9</v>
      </c>
      <c r="AZ28">
        <v>4.7</v>
      </c>
      <c r="BA28">
        <v>102</v>
      </c>
      <c r="BC28">
        <v>0.54</v>
      </c>
      <c r="BD28">
        <v>0.88</v>
      </c>
      <c r="BF28">
        <v>74.510000000000005</v>
      </c>
    </row>
    <row r="29" spans="1:58" x14ac:dyDescent="0.25">
      <c r="A29" t="s">
        <v>364</v>
      </c>
      <c r="B29" t="s">
        <v>82</v>
      </c>
      <c r="C29" t="s">
        <v>355</v>
      </c>
      <c r="D29" t="s">
        <v>775</v>
      </c>
      <c r="E29">
        <v>88.5</v>
      </c>
      <c r="F29">
        <v>26</v>
      </c>
      <c r="G29">
        <v>2.68</v>
      </c>
      <c r="H29">
        <v>0.24</v>
      </c>
      <c r="I29">
        <v>3.04</v>
      </c>
      <c r="J29">
        <v>4.41</v>
      </c>
      <c r="K29">
        <v>3.93</v>
      </c>
      <c r="L29">
        <v>0.48</v>
      </c>
      <c r="M29">
        <v>1.1299999999999999</v>
      </c>
      <c r="N29">
        <v>70.59</v>
      </c>
      <c r="P29">
        <v>0.05</v>
      </c>
      <c r="Q29">
        <v>0.05</v>
      </c>
      <c r="R29">
        <v>0.87</v>
      </c>
      <c r="S29">
        <v>0.28000000000000003</v>
      </c>
      <c r="T29">
        <v>0.41</v>
      </c>
      <c r="U29">
        <v>33.96</v>
      </c>
      <c r="V29">
        <v>10.97</v>
      </c>
      <c r="W29">
        <v>60.45</v>
      </c>
      <c r="X29">
        <v>77.95</v>
      </c>
      <c r="Y29">
        <v>50.12</v>
      </c>
      <c r="Z29">
        <v>8.68</v>
      </c>
      <c r="AA29">
        <v>389</v>
      </c>
      <c r="AB29">
        <v>1.0900000000000001</v>
      </c>
      <c r="AC29">
        <v>0.38</v>
      </c>
      <c r="AD29">
        <v>0.13</v>
      </c>
      <c r="AE29">
        <v>0.43</v>
      </c>
      <c r="AG29">
        <v>0.81</v>
      </c>
      <c r="AH29">
        <v>12.28</v>
      </c>
      <c r="AI29">
        <v>4.5999999999999996</v>
      </c>
      <c r="AJ29">
        <v>5.04</v>
      </c>
      <c r="AK29">
        <v>15.44</v>
      </c>
      <c r="AL29">
        <v>3.9</v>
      </c>
      <c r="AM29">
        <v>4.25</v>
      </c>
      <c r="AN29">
        <v>5.56</v>
      </c>
      <c r="AO29">
        <v>0.53</v>
      </c>
      <c r="AP29">
        <v>5.88</v>
      </c>
      <c r="AQ29">
        <v>0.79</v>
      </c>
      <c r="AR29">
        <v>4.3099999999999996</v>
      </c>
      <c r="AS29">
        <v>7.54</v>
      </c>
      <c r="AT29">
        <v>3</v>
      </c>
      <c r="AU29">
        <v>4.37</v>
      </c>
      <c r="AV29">
        <v>2.71</v>
      </c>
      <c r="AW29">
        <v>4.74</v>
      </c>
      <c r="AX29">
        <v>0.81</v>
      </c>
      <c r="AY29">
        <v>66.739999999999995</v>
      </c>
      <c r="AZ29">
        <v>10.050000000000001</v>
      </c>
      <c r="BA29">
        <v>115</v>
      </c>
      <c r="BC29">
        <v>1.06</v>
      </c>
      <c r="BD29">
        <v>0.82</v>
      </c>
      <c r="BE29">
        <v>3.15</v>
      </c>
      <c r="BF29">
        <v>422</v>
      </c>
    </row>
    <row r="30" spans="1:58" x14ac:dyDescent="0.25">
      <c r="A30" t="s">
        <v>364</v>
      </c>
      <c r="B30" t="s">
        <v>72</v>
      </c>
      <c r="C30" t="s">
        <v>355</v>
      </c>
      <c r="D30" t="s">
        <v>866</v>
      </c>
      <c r="E30">
        <v>93.58</v>
      </c>
      <c r="F30">
        <v>20</v>
      </c>
      <c r="G30">
        <v>0.88</v>
      </c>
      <c r="H30">
        <v>0.56000000000000005</v>
      </c>
      <c r="I30">
        <v>2.74</v>
      </c>
      <c r="J30">
        <v>1.8</v>
      </c>
      <c r="K30">
        <v>1.45</v>
      </c>
      <c r="L30">
        <v>0.35</v>
      </c>
      <c r="M30">
        <v>0.45</v>
      </c>
      <c r="N30">
        <v>165</v>
      </c>
      <c r="P30">
        <v>0.03</v>
      </c>
      <c r="Q30">
        <v>0.03</v>
      </c>
      <c r="R30">
        <v>0.52</v>
      </c>
      <c r="S30">
        <v>0.19</v>
      </c>
      <c r="T30">
        <v>0.09</v>
      </c>
      <c r="U30">
        <v>20.16</v>
      </c>
      <c r="V30">
        <v>25.58</v>
      </c>
      <c r="W30">
        <v>9.69</v>
      </c>
      <c r="X30">
        <v>17.170000000000002</v>
      </c>
      <c r="Y30">
        <v>14.93</v>
      </c>
      <c r="Z30">
        <v>14.04</v>
      </c>
      <c r="AA30">
        <v>190</v>
      </c>
      <c r="AB30">
        <v>0.31</v>
      </c>
      <c r="AC30">
        <v>0.09</v>
      </c>
      <c r="AD30">
        <v>7.0000000000000007E-2</v>
      </c>
      <c r="AE30">
        <v>0.12</v>
      </c>
      <c r="AG30">
        <v>0.52</v>
      </c>
      <c r="AH30">
        <v>13.17</v>
      </c>
      <c r="AI30">
        <v>2.8</v>
      </c>
      <c r="AJ30">
        <v>3.53</v>
      </c>
      <c r="AK30">
        <v>40.94</v>
      </c>
      <c r="AL30">
        <v>2.4900000000000002</v>
      </c>
      <c r="AM30">
        <v>3.6</v>
      </c>
      <c r="AN30">
        <v>4.22</v>
      </c>
      <c r="AO30">
        <v>1.07</v>
      </c>
      <c r="AP30">
        <v>3.45</v>
      </c>
      <c r="AQ30">
        <v>0.74</v>
      </c>
      <c r="AR30">
        <v>2.95</v>
      </c>
      <c r="AS30">
        <v>4.67</v>
      </c>
      <c r="AT30">
        <v>2.71</v>
      </c>
      <c r="AU30">
        <v>4.67</v>
      </c>
      <c r="AV30">
        <v>1.54</v>
      </c>
      <c r="AW30">
        <v>2.0299999999999998</v>
      </c>
      <c r="AX30">
        <v>0.52</v>
      </c>
      <c r="AY30">
        <v>47.04</v>
      </c>
      <c r="AZ30">
        <v>70.599999999999994</v>
      </c>
      <c r="BA30">
        <v>213</v>
      </c>
      <c r="BC30">
        <v>1.58</v>
      </c>
      <c r="BF30">
        <v>991</v>
      </c>
    </row>
    <row r="31" spans="1:58" x14ac:dyDescent="0.25">
      <c r="A31" t="s">
        <v>364</v>
      </c>
      <c r="B31" t="s">
        <v>23</v>
      </c>
      <c r="C31" t="s">
        <v>354</v>
      </c>
      <c r="D31" t="s">
        <v>750</v>
      </c>
      <c r="E31">
        <v>9.33</v>
      </c>
      <c r="F31">
        <v>320</v>
      </c>
      <c r="G31">
        <v>20.239999999999998</v>
      </c>
      <c r="H31">
        <v>1.08</v>
      </c>
      <c r="I31">
        <v>54.96</v>
      </c>
      <c r="J31">
        <v>11.46</v>
      </c>
      <c r="K31">
        <v>8.66</v>
      </c>
      <c r="L31">
        <v>2.8</v>
      </c>
      <c r="M31">
        <v>2.93</v>
      </c>
      <c r="N31">
        <v>0.96</v>
      </c>
      <c r="P31">
        <v>0.5</v>
      </c>
      <c r="Q31">
        <v>0.11</v>
      </c>
      <c r="R31">
        <v>1.68</v>
      </c>
      <c r="S31">
        <v>1.61</v>
      </c>
      <c r="T31">
        <v>0.27</v>
      </c>
      <c r="U31">
        <v>273</v>
      </c>
      <c r="W31">
        <v>81.83</v>
      </c>
      <c r="X31">
        <v>382</v>
      </c>
      <c r="Y31">
        <v>194</v>
      </c>
      <c r="Z31">
        <v>13.77</v>
      </c>
      <c r="AA31">
        <v>1235</v>
      </c>
      <c r="AB31">
        <v>4.95</v>
      </c>
      <c r="AC31">
        <v>1.35</v>
      </c>
      <c r="AD31">
        <v>0.75</v>
      </c>
      <c r="AE31">
        <v>3.4</v>
      </c>
      <c r="AF31">
        <v>22.35</v>
      </c>
      <c r="AG31">
        <v>1.04</v>
      </c>
      <c r="AH31">
        <v>10.199999999999999</v>
      </c>
      <c r="AI31">
        <v>4.99</v>
      </c>
      <c r="AJ31">
        <v>4.43</v>
      </c>
      <c r="AK31">
        <v>15.2</v>
      </c>
      <c r="AL31">
        <v>4.74</v>
      </c>
      <c r="AM31">
        <v>5.63</v>
      </c>
      <c r="AN31">
        <v>4.09</v>
      </c>
      <c r="AO31">
        <v>0.66</v>
      </c>
      <c r="AP31">
        <v>5.86</v>
      </c>
      <c r="AQ31">
        <v>1.67</v>
      </c>
      <c r="AR31">
        <v>5.08</v>
      </c>
      <c r="AS31">
        <v>8.76</v>
      </c>
      <c r="AT31">
        <v>3.16</v>
      </c>
      <c r="AU31">
        <v>4.57</v>
      </c>
      <c r="AV31">
        <v>3.72</v>
      </c>
      <c r="AW31">
        <v>9.15</v>
      </c>
      <c r="AX31">
        <v>9.61</v>
      </c>
      <c r="AY31">
        <v>277</v>
      </c>
      <c r="AZ31">
        <v>59.42</v>
      </c>
      <c r="BA31">
        <v>528</v>
      </c>
      <c r="BC31">
        <v>1.26</v>
      </c>
      <c r="BD31">
        <v>45.24</v>
      </c>
      <c r="BF31">
        <v>5.76</v>
      </c>
    </row>
    <row r="32" spans="1:58" x14ac:dyDescent="0.25">
      <c r="A32" t="s">
        <v>364</v>
      </c>
      <c r="B32" t="s">
        <v>13</v>
      </c>
      <c r="C32" t="s">
        <v>353</v>
      </c>
      <c r="D32" t="s">
        <v>758</v>
      </c>
      <c r="E32">
        <v>88.24</v>
      </c>
      <c r="F32">
        <v>30</v>
      </c>
      <c r="G32">
        <v>0.85</v>
      </c>
      <c r="H32">
        <v>0.45</v>
      </c>
      <c r="I32">
        <v>5.04</v>
      </c>
      <c r="J32">
        <v>4.3899999999999997</v>
      </c>
      <c r="K32">
        <v>2.92</v>
      </c>
      <c r="L32">
        <v>1.47</v>
      </c>
      <c r="M32">
        <v>1.03</v>
      </c>
      <c r="N32">
        <v>1240</v>
      </c>
      <c r="P32">
        <v>0.04</v>
      </c>
      <c r="Q32">
        <v>0.03</v>
      </c>
      <c r="R32">
        <v>0.22</v>
      </c>
      <c r="S32">
        <v>0.28999999999999998</v>
      </c>
      <c r="T32">
        <v>0.1</v>
      </c>
      <c r="U32">
        <v>24.71</v>
      </c>
      <c r="V32">
        <v>5.93</v>
      </c>
      <c r="W32">
        <v>27.65</v>
      </c>
      <c r="X32">
        <v>33.630000000000003</v>
      </c>
      <c r="Y32">
        <v>11.7</v>
      </c>
      <c r="Z32">
        <v>51.78</v>
      </c>
      <c r="AA32">
        <v>250</v>
      </c>
      <c r="AB32">
        <v>0.59</v>
      </c>
      <c r="AC32">
        <v>0.34</v>
      </c>
      <c r="AD32">
        <v>0.06</v>
      </c>
      <c r="AE32">
        <v>0.25</v>
      </c>
      <c r="AF32">
        <v>0.15</v>
      </c>
      <c r="AG32">
        <v>1.02</v>
      </c>
      <c r="AH32">
        <v>13.9</v>
      </c>
      <c r="AI32">
        <v>3.46</v>
      </c>
      <c r="AJ32">
        <v>4.04</v>
      </c>
      <c r="AK32">
        <v>28</v>
      </c>
      <c r="AL32">
        <v>3.26</v>
      </c>
      <c r="AM32">
        <v>3.35</v>
      </c>
      <c r="AN32">
        <v>11.4</v>
      </c>
      <c r="AO32">
        <v>0.8</v>
      </c>
      <c r="AP32">
        <v>5.16</v>
      </c>
      <c r="AQ32">
        <v>0.8</v>
      </c>
      <c r="AR32">
        <v>3.72</v>
      </c>
      <c r="AS32">
        <v>5.33</v>
      </c>
      <c r="AT32">
        <v>1.97</v>
      </c>
      <c r="AU32">
        <v>2.5499999999999998</v>
      </c>
      <c r="AV32">
        <v>1.35</v>
      </c>
      <c r="AW32">
        <v>3.59</v>
      </c>
      <c r="AX32">
        <v>3.72</v>
      </c>
      <c r="AY32">
        <v>84.75</v>
      </c>
      <c r="AZ32">
        <v>21.36</v>
      </c>
      <c r="BA32">
        <v>254</v>
      </c>
      <c r="BC32">
        <v>3.23</v>
      </c>
      <c r="BD32">
        <v>1.22</v>
      </c>
      <c r="BE32">
        <v>3422</v>
      </c>
      <c r="BF32">
        <v>5733</v>
      </c>
    </row>
    <row r="33" spans="1:58" x14ac:dyDescent="0.25">
      <c r="A33" t="s">
        <v>364</v>
      </c>
      <c r="B33" t="s">
        <v>311</v>
      </c>
      <c r="C33" t="s">
        <v>355</v>
      </c>
      <c r="D33" t="s">
        <v>845</v>
      </c>
      <c r="E33">
        <v>90.35</v>
      </c>
      <c r="F33">
        <v>30</v>
      </c>
      <c r="G33">
        <v>1.74</v>
      </c>
      <c r="H33">
        <v>0.49</v>
      </c>
      <c r="I33">
        <v>4.6399999999999997</v>
      </c>
      <c r="J33">
        <v>1.94</v>
      </c>
      <c r="K33">
        <v>1.56</v>
      </c>
      <c r="L33">
        <v>0.38</v>
      </c>
      <c r="M33">
        <v>0.86</v>
      </c>
      <c r="N33">
        <v>18.559999999999999</v>
      </c>
      <c r="P33">
        <v>0.06</v>
      </c>
      <c r="Q33">
        <v>0.02</v>
      </c>
      <c r="R33">
        <v>0.43</v>
      </c>
      <c r="S33">
        <v>0.25</v>
      </c>
      <c r="T33">
        <v>0.19</v>
      </c>
      <c r="U33">
        <v>42.63</v>
      </c>
      <c r="V33">
        <v>4.6500000000000004</v>
      </c>
      <c r="W33">
        <v>29.28</v>
      </c>
      <c r="X33">
        <v>31.63</v>
      </c>
      <c r="Y33">
        <v>11.77</v>
      </c>
      <c r="Z33">
        <v>14.93</v>
      </c>
      <c r="AA33">
        <v>252</v>
      </c>
      <c r="AB33">
        <v>1.49</v>
      </c>
      <c r="AC33">
        <v>0.21</v>
      </c>
      <c r="AD33">
        <v>0.08</v>
      </c>
      <c r="AE33">
        <v>0.43</v>
      </c>
      <c r="AF33">
        <v>5.03</v>
      </c>
      <c r="AG33">
        <v>0.63</v>
      </c>
      <c r="AH33">
        <v>8.4499999999999993</v>
      </c>
      <c r="AI33">
        <v>3.53</v>
      </c>
      <c r="AJ33">
        <v>4.1100000000000003</v>
      </c>
      <c r="AK33">
        <v>23.28</v>
      </c>
      <c r="AL33">
        <v>3.22</v>
      </c>
      <c r="AM33">
        <v>4.37</v>
      </c>
      <c r="AN33">
        <v>6.35</v>
      </c>
      <c r="AO33">
        <v>0.85</v>
      </c>
      <c r="AP33">
        <v>4.3899999999999997</v>
      </c>
      <c r="AQ33">
        <v>0.56000000000000005</v>
      </c>
      <c r="AR33">
        <v>4.01</v>
      </c>
      <c r="AS33">
        <v>6.13</v>
      </c>
      <c r="AT33">
        <v>3.95</v>
      </c>
      <c r="AU33">
        <v>3.86</v>
      </c>
      <c r="AV33">
        <v>1.48</v>
      </c>
      <c r="AW33">
        <v>2.42</v>
      </c>
      <c r="AX33">
        <v>4.53</v>
      </c>
      <c r="AY33">
        <v>149</v>
      </c>
      <c r="AZ33">
        <v>20.36</v>
      </c>
      <c r="BA33">
        <v>219</v>
      </c>
      <c r="BC33">
        <v>0.71</v>
      </c>
      <c r="BD33">
        <v>3.72</v>
      </c>
      <c r="BF33">
        <v>111</v>
      </c>
    </row>
    <row r="34" spans="1:58" x14ac:dyDescent="0.25">
      <c r="A34" t="s">
        <v>364</v>
      </c>
      <c r="B34" t="s">
        <v>159</v>
      </c>
      <c r="C34" t="s">
        <v>357</v>
      </c>
      <c r="D34" t="s">
        <v>698</v>
      </c>
      <c r="E34">
        <v>73.38</v>
      </c>
      <c r="F34">
        <v>100</v>
      </c>
      <c r="G34">
        <v>19.5</v>
      </c>
      <c r="H34">
        <v>2.39</v>
      </c>
      <c r="M34">
        <v>4.47</v>
      </c>
      <c r="O34">
        <v>15.41</v>
      </c>
      <c r="Q34">
        <v>0.18</v>
      </c>
      <c r="R34">
        <v>5.77</v>
      </c>
      <c r="S34">
        <v>0.14000000000000001</v>
      </c>
      <c r="T34">
        <v>1.39</v>
      </c>
      <c r="U34">
        <v>60.87</v>
      </c>
      <c r="W34">
        <v>435</v>
      </c>
      <c r="X34">
        <v>97.39</v>
      </c>
      <c r="Y34">
        <v>42.83</v>
      </c>
      <c r="Z34">
        <v>86.65</v>
      </c>
      <c r="AA34">
        <v>284</v>
      </c>
      <c r="AB34">
        <v>1.4</v>
      </c>
      <c r="AC34">
        <v>0.28999999999999998</v>
      </c>
      <c r="AD34">
        <v>0.22</v>
      </c>
      <c r="AE34">
        <v>2.2999999999999998</v>
      </c>
      <c r="AF34">
        <v>154</v>
      </c>
      <c r="AG34">
        <v>0.91</v>
      </c>
      <c r="AH34">
        <v>9.0399999999999991</v>
      </c>
      <c r="AI34">
        <v>4.4000000000000004</v>
      </c>
      <c r="AJ34">
        <v>4.04</v>
      </c>
      <c r="AK34">
        <v>16.27</v>
      </c>
      <c r="AL34">
        <v>6.3</v>
      </c>
      <c r="AM34">
        <v>6.88</v>
      </c>
      <c r="AN34">
        <v>7.04</v>
      </c>
      <c r="AO34">
        <v>1.02</v>
      </c>
      <c r="AP34">
        <v>4.55</v>
      </c>
      <c r="AQ34">
        <v>2.2999999999999998</v>
      </c>
      <c r="AR34">
        <v>4.3600000000000003</v>
      </c>
      <c r="AS34">
        <v>7.52</v>
      </c>
      <c r="AT34">
        <v>3.54</v>
      </c>
      <c r="AU34">
        <v>4.7</v>
      </c>
      <c r="AV34">
        <v>2.6</v>
      </c>
      <c r="AW34">
        <v>8.2100000000000009</v>
      </c>
      <c r="AX34">
        <v>6.38</v>
      </c>
      <c r="AY34">
        <v>1346</v>
      </c>
      <c r="AZ34">
        <v>544</v>
      </c>
      <c r="BA34">
        <v>256</v>
      </c>
      <c r="BB34">
        <v>53.19</v>
      </c>
    </row>
    <row r="35" spans="1:58" x14ac:dyDescent="0.25">
      <c r="A35" t="s">
        <v>364</v>
      </c>
      <c r="B35" t="s">
        <v>65</v>
      </c>
      <c r="C35" t="s">
        <v>355</v>
      </c>
      <c r="D35" t="s">
        <v>721</v>
      </c>
      <c r="E35">
        <v>87.38</v>
      </c>
      <c r="F35">
        <v>28</v>
      </c>
      <c r="G35">
        <v>3.15</v>
      </c>
      <c r="H35">
        <v>0.55000000000000004</v>
      </c>
      <c r="I35">
        <v>2.34</v>
      </c>
      <c r="J35">
        <v>5.18</v>
      </c>
      <c r="K35">
        <v>4.1900000000000004</v>
      </c>
      <c r="L35">
        <v>1</v>
      </c>
      <c r="M35">
        <v>1.4</v>
      </c>
      <c r="N35">
        <v>92.25</v>
      </c>
      <c r="Q35">
        <v>0.09</v>
      </c>
      <c r="R35">
        <v>0.7</v>
      </c>
      <c r="S35">
        <v>0.54</v>
      </c>
      <c r="T35">
        <v>0.27</v>
      </c>
      <c r="U35">
        <v>96.14</v>
      </c>
      <c r="V35">
        <v>3.24</v>
      </c>
      <c r="W35">
        <v>135</v>
      </c>
      <c r="X35">
        <v>42.44</v>
      </c>
      <c r="Y35">
        <v>45.38</v>
      </c>
      <c r="Z35">
        <v>31.87</v>
      </c>
      <c r="AA35">
        <v>450</v>
      </c>
      <c r="AB35">
        <v>1.7</v>
      </c>
      <c r="AC35">
        <v>2.4500000000000002</v>
      </c>
      <c r="AD35">
        <v>0.2</v>
      </c>
      <c r="AE35">
        <v>1.03</v>
      </c>
      <c r="AF35">
        <v>31.78</v>
      </c>
      <c r="AG35">
        <v>0.82</v>
      </c>
      <c r="AH35">
        <v>8.33</v>
      </c>
      <c r="AI35">
        <v>4.5999999999999996</v>
      </c>
      <c r="AJ35">
        <v>4.6500000000000004</v>
      </c>
      <c r="AK35">
        <v>14.76</v>
      </c>
      <c r="AL35">
        <v>5.48</v>
      </c>
      <c r="AM35">
        <v>5.23</v>
      </c>
      <c r="AN35">
        <v>5.72</v>
      </c>
      <c r="AO35">
        <v>0.95</v>
      </c>
      <c r="AP35">
        <v>4.88</v>
      </c>
      <c r="AQ35">
        <v>0.84</v>
      </c>
      <c r="AR35">
        <v>4.75</v>
      </c>
      <c r="AS35">
        <v>8.23</v>
      </c>
      <c r="AT35">
        <v>3.96</v>
      </c>
      <c r="AU35">
        <v>5.73</v>
      </c>
      <c r="AV35">
        <v>2.16</v>
      </c>
      <c r="AW35">
        <v>5.3</v>
      </c>
      <c r="AX35">
        <v>6.07</v>
      </c>
      <c r="AY35">
        <v>61.06</v>
      </c>
      <c r="AZ35">
        <v>94.71</v>
      </c>
      <c r="BA35">
        <v>83.01</v>
      </c>
      <c r="BC35">
        <v>0.66</v>
      </c>
      <c r="BD35">
        <v>1.42</v>
      </c>
      <c r="BF35">
        <v>554</v>
      </c>
    </row>
    <row r="36" spans="1:58" x14ac:dyDescent="0.25">
      <c r="A36" t="s">
        <v>364</v>
      </c>
      <c r="B36" t="s">
        <v>326</v>
      </c>
      <c r="C36" t="s">
        <v>357</v>
      </c>
      <c r="D36" t="s">
        <v>815</v>
      </c>
      <c r="E36">
        <v>22.77</v>
      </c>
      <c r="F36">
        <v>282</v>
      </c>
      <c r="G36">
        <v>63.79</v>
      </c>
      <c r="H36">
        <v>3.37</v>
      </c>
      <c r="M36">
        <v>10.82</v>
      </c>
      <c r="O36">
        <v>14.32</v>
      </c>
      <c r="Q36">
        <v>0.12</v>
      </c>
      <c r="R36">
        <v>2.98</v>
      </c>
      <c r="S36">
        <v>1.64</v>
      </c>
      <c r="T36">
        <v>1.98</v>
      </c>
      <c r="U36">
        <v>213</v>
      </c>
      <c r="W36">
        <v>83.48</v>
      </c>
      <c r="X36">
        <v>185</v>
      </c>
      <c r="Y36">
        <v>83.45</v>
      </c>
      <c r="Z36">
        <v>7909</v>
      </c>
      <c r="AA36">
        <v>765</v>
      </c>
      <c r="AB36">
        <v>3.6</v>
      </c>
      <c r="AC36">
        <v>0.12</v>
      </c>
      <c r="AD36">
        <v>0.16</v>
      </c>
      <c r="AE36">
        <v>1.44</v>
      </c>
      <c r="AF36">
        <v>624</v>
      </c>
      <c r="AG36">
        <v>1.01</v>
      </c>
      <c r="AH36">
        <v>10.59</v>
      </c>
      <c r="AI36">
        <v>4.4800000000000004</v>
      </c>
      <c r="AJ36">
        <v>3.98</v>
      </c>
      <c r="AK36">
        <v>18.22</v>
      </c>
      <c r="AL36">
        <v>4.93</v>
      </c>
      <c r="AM36">
        <v>5.64</v>
      </c>
      <c r="AN36">
        <v>5.73</v>
      </c>
      <c r="AO36">
        <v>1.1200000000000001</v>
      </c>
      <c r="AP36">
        <v>4.72</v>
      </c>
      <c r="AQ36">
        <v>1.52</v>
      </c>
      <c r="AR36">
        <v>4.71</v>
      </c>
      <c r="AS36">
        <v>6.77</v>
      </c>
      <c r="AT36">
        <v>4.38</v>
      </c>
      <c r="AU36">
        <v>4.71</v>
      </c>
      <c r="AV36">
        <v>3.4</v>
      </c>
      <c r="AW36">
        <v>8.15</v>
      </c>
      <c r="AX36">
        <v>6.2</v>
      </c>
      <c r="AY36">
        <v>1767</v>
      </c>
      <c r="AZ36">
        <v>657</v>
      </c>
      <c r="BA36">
        <v>604</v>
      </c>
      <c r="BB36">
        <v>77.14</v>
      </c>
    </row>
    <row r="37" spans="1:58" x14ac:dyDescent="0.25">
      <c r="A37" t="s">
        <v>364</v>
      </c>
      <c r="B37" t="s">
        <v>47</v>
      </c>
      <c r="C37" t="s">
        <v>355</v>
      </c>
      <c r="D37" t="s">
        <v>841</v>
      </c>
      <c r="E37">
        <v>85.86</v>
      </c>
      <c r="F37">
        <v>25</v>
      </c>
      <c r="G37">
        <v>2.14</v>
      </c>
      <c r="H37">
        <v>0.34</v>
      </c>
      <c r="I37">
        <v>3.28</v>
      </c>
      <c r="J37">
        <v>7.47</v>
      </c>
      <c r="K37">
        <v>7.04</v>
      </c>
      <c r="L37">
        <v>0.43</v>
      </c>
      <c r="M37">
        <v>0.91</v>
      </c>
      <c r="P37">
        <v>0.03</v>
      </c>
      <c r="Q37">
        <v>0.03</v>
      </c>
      <c r="R37">
        <v>0.18</v>
      </c>
      <c r="S37">
        <v>0.37</v>
      </c>
      <c r="T37">
        <v>0.04</v>
      </c>
      <c r="U37">
        <v>30.7</v>
      </c>
      <c r="V37">
        <v>24.77</v>
      </c>
      <c r="W37">
        <v>37.32</v>
      </c>
      <c r="X37">
        <v>32.229999999999997</v>
      </c>
      <c r="Y37">
        <v>26.08</v>
      </c>
      <c r="Z37">
        <v>3.89</v>
      </c>
      <c r="AA37">
        <v>341</v>
      </c>
      <c r="AB37">
        <v>0.3</v>
      </c>
      <c r="AC37">
        <v>0.5</v>
      </c>
      <c r="AD37">
        <v>0.17</v>
      </c>
      <c r="AE37">
        <v>0.17</v>
      </c>
      <c r="AG37">
        <v>0.44</v>
      </c>
      <c r="AH37">
        <v>20.03</v>
      </c>
      <c r="AI37">
        <v>3.79</v>
      </c>
      <c r="AJ37">
        <v>4.05</v>
      </c>
      <c r="AK37">
        <v>9.7899999999999991</v>
      </c>
      <c r="AL37">
        <v>3.5</v>
      </c>
      <c r="AM37">
        <v>5.76</v>
      </c>
      <c r="AN37">
        <v>5.92</v>
      </c>
      <c r="AO37">
        <v>0.62</v>
      </c>
      <c r="AP37">
        <v>5.56</v>
      </c>
      <c r="AQ37">
        <v>0.72</v>
      </c>
      <c r="AR37">
        <v>4.6900000000000004</v>
      </c>
      <c r="AS37">
        <v>6.38</v>
      </c>
      <c r="AT37">
        <v>2.68</v>
      </c>
      <c r="AU37">
        <v>3.48</v>
      </c>
      <c r="AV37">
        <v>1.86</v>
      </c>
      <c r="AW37">
        <v>2.85</v>
      </c>
      <c r="AX37">
        <v>0.44</v>
      </c>
      <c r="AY37">
        <v>47.88</v>
      </c>
      <c r="AZ37">
        <v>36.770000000000003</v>
      </c>
      <c r="BA37">
        <v>110</v>
      </c>
      <c r="BC37">
        <v>2.0699999999999998</v>
      </c>
      <c r="BD37">
        <v>0.04</v>
      </c>
    </row>
    <row r="38" spans="1:58" x14ac:dyDescent="0.25">
      <c r="A38" t="s">
        <v>364</v>
      </c>
      <c r="B38" t="s">
        <v>253</v>
      </c>
      <c r="C38" t="s">
        <v>362</v>
      </c>
      <c r="D38" t="s">
        <v>587</v>
      </c>
      <c r="E38">
        <v>15.04</v>
      </c>
      <c r="F38">
        <v>233</v>
      </c>
      <c r="G38">
        <v>12.68</v>
      </c>
      <c r="H38">
        <v>6.41</v>
      </c>
      <c r="I38">
        <v>28.73</v>
      </c>
      <c r="J38">
        <v>31.17</v>
      </c>
      <c r="K38">
        <v>26.58</v>
      </c>
      <c r="L38">
        <v>4.59</v>
      </c>
      <c r="M38">
        <v>5.97</v>
      </c>
      <c r="N38">
        <v>437</v>
      </c>
      <c r="P38">
        <v>0.49</v>
      </c>
      <c r="Q38">
        <v>0.84</v>
      </c>
      <c r="R38">
        <v>6.64</v>
      </c>
      <c r="S38">
        <v>0.72</v>
      </c>
      <c r="T38">
        <v>0.42</v>
      </c>
      <c r="U38">
        <v>46.83</v>
      </c>
      <c r="W38">
        <v>107</v>
      </c>
      <c r="X38">
        <v>345</v>
      </c>
      <c r="Y38">
        <v>231</v>
      </c>
      <c r="Z38">
        <v>22.45</v>
      </c>
      <c r="AA38">
        <v>2184</v>
      </c>
      <c r="AB38">
        <v>5.39</v>
      </c>
      <c r="AC38">
        <v>1.59</v>
      </c>
      <c r="AD38">
        <v>0.9</v>
      </c>
      <c r="AE38">
        <v>1.65</v>
      </c>
      <c r="AF38">
        <v>16.75</v>
      </c>
      <c r="AG38">
        <v>1.03</v>
      </c>
      <c r="AH38">
        <v>18.18</v>
      </c>
      <c r="AI38">
        <v>3.16</v>
      </c>
      <c r="AJ38">
        <v>3.74</v>
      </c>
      <c r="AK38">
        <v>16.87</v>
      </c>
      <c r="AL38">
        <v>4.76</v>
      </c>
      <c r="AM38">
        <v>4.67</v>
      </c>
      <c r="AN38">
        <v>4.26</v>
      </c>
      <c r="AO38">
        <v>1.79</v>
      </c>
      <c r="AP38">
        <v>4.38</v>
      </c>
      <c r="AQ38">
        <v>1.1200000000000001</v>
      </c>
      <c r="AR38">
        <v>3.33</v>
      </c>
      <c r="AS38">
        <v>5.75</v>
      </c>
      <c r="AT38">
        <v>2.58</v>
      </c>
      <c r="AU38">
        <v>4.3600000000000003</v>
      </c>
      <c r="AV38">
        <v>2.15</v>
      </c>
      <c r="AW38">
        <v>4.0999999999999996</v>
      </c>
      <c r="AX38">
        <v>4.71</v>
      </c>
      <c r="AY38">
        <v>1092</v>
      </c>
      <c r="AZ38">
        <v>615</v>
      </c>
      <c r="BA38">
        <v>3421</v>
      </c>
      <c r="BC38">
        <v>4.33</v>
      </c>
      <c r="BD38">
        <v>4.45</v>
      </c>
      <c r="BF38">
        <v>1964</v>
      </c>
    </row>
    <row r="39" spans="1:58" x14ac:dyDescent="0.25">
      <c r="A39" t="s">
        <v>364</v>
      </c>
      <c r="B39" t="s">
        <v>19</v>
      </c>
      <c r="C39" t="s">
        <v>353</v>
      </c>
      <c r="D39" t="s">
        <v>867</v>
      </c>
      <c r="E39">
        <v>74.55</v>
      </c>
      <c r="F39">
        <v>84</v>
      </c>
      <c r="G39">
        <v>2.2200000000000002</v>
      </c>
      <c r="H39">
        <v>0.15</v>
      </c>
      <c r="I39">
        <v>17.829999999999998</v>
      </c>
      <c r="J39">
        <v>4.1399999999999997</v>
      </c>
      <c r="K39">
        <v>3.21</v>
      </c>
      <c r="L39">
        <v>0.93</v>
      </c>
      <c r="M39">
        <v>1.1200000000000001</v>
      </c>
      <c r="N39">
        <v>32.04</v>
      </c>
      <c r="P39">
        <v>0.04</v>
      </c>
      <c r="Q39">
        <v>0.05</v>
      </c>
      <c r="R39">
        <v>0.73</v>
      </c>
      <c r="S39">
        <v>0.26</v>
      </c>
      <c r="T39">
        <v>0.19</v>
      </c>
      <c r="U39">
        <v>19.54</v>
      </c>
      <c r="V39">
        <v>17.25</v>
      </c>
      <c r="W39">
        <v>38.36</v>
      </c>
      <c r="X39">
        <v>47.22</v>
      </c>
      <c r="Y39">
        <v>28.85</v>
      </c>
      <c r="Z39">
        <v>16.829999999999998</v>
      </c>
      <c r="AA39">
        <v>633</v>
      </c>
      <c r="AB39">
        <v>1.31</v>
      </c>
      <c r="AC39">
        <v>0.28999999999999998</v>
      </c>
      <c r="AD39">
        <v>0.18</v>
      </c>
      <c r="AE39">
        <v>0.26</v>
      </c>
      <c r="AF39">
        <v>0.51</v>
      </c>
      <c r="AG39">
        <v>1.1399999999999999</v>
      </c>
      <c r="AH39">
        <v>12.5</v>
      </c>
      <c r="AI39">
        <v>3.87</v>
      </c>
      <c r="AJ39">
        <v>6.71</v>
      </c>
      <c r="AK39">
        <v>16.5</v>
      </c>
      <c r="AL39">
        <v>5.0599999999999996</v>
      </c>
      <c r="AM39">
        <v>4.6900000000000004</v>
      </c>
      <c r="AN39">
        <v>5.51</v>
      </c>
      <c r="AO39">
        <v>1.75</v>
      </c>
      <c r="AP39">
        <v>6.05</v>
      </c>
      <c r="AQ39">
        <v>1.6</v>
      </c>
      <c r="AR39">
        <v>3.46</v>
      </c>
      <c r="AS39">
        <v>6.15</v>
      </c>
      <c r="AT39">
        <v>3.3</v>
      </c>
      <c r="AU39">
        <v>6.96</v>
      </c>
      <c r="AV39">
        <v>2.99</v>
      </c>
      <c r="AW39">
        <v>3.01</v>
      </c>
      <c r="AX39">
        <v>9.85</v>
      </c>
      <c r="AY39">
        <v>36.380000000000003</v>
      </c>
      <c r="AZ39">
        <v>7.02</v>
      </c>
      <c r="BA39">
        <v>76.599999999999994</v>
      </c>
      <c r="BC39">
        <v>1.56</v>
      </c>
      <c r="BD39">
        <v>14.38</v>
      </c>
      <c r="BE39">
        <v>32.56</v>
      </c>
      <c r="BF39">
        <v>176</v>
      </c>
    </row>
    <row r="40" spans="1:58" x14ac:dyDescent="0.25">
      <c r="A40" t="s">
        <v>364</v>
      </c>
      <c r="B40" t="s">
        <v>224</v>
      </c>
      <c r="C40" t="s">
        <v>359</v>
      </c>
      <c r="D40" t="s">
        <v>225</v>
      </c>
      <c r="E40">
        <v>68.03</v>
      </c>
      <c r="F40">
        <v>160</v>
      </c>
      <c r="G40">
        <v>23.3</v>
      </c>
      <c r="H40">
        <v>7.45</v>
      </c>
      <c r="M40">
        <v>1.2</v>
      </c>
      <c r="P40">
        <v>0.05</v>
      </c>
      <c r="Q40">
        <v>0.08</v>
      </c>
      <c r="R40">
        <v>6.36</v>
      </c>
      <c r="S40">
        <v>0.9</v>
      </c>
      <c r="T40">
        <v>0.32</v>
      </c>
      <c r="U40">
        <v>1.93</v>
      </c>
      <c r="W40">
        <v>4.8</v>
      </c>
      <c r="X40">
        <v>219</v>
      </c>
      <c r="Y40">
        <v>28.54</v>
      </c>
      <c r="Z40">
        <v>52.69</v>
      </c>
      <c r="AA40">
        <v>367</v>
      </c>
      <c r="AB40">
        <v>2.41</v>
      </c>
      <c r="AC40">
        <v>0.01</v>
      </c>
      <c r="AD40">
        <v>0.09</v>
      </c>
      <c r="AE40">
        <v>3.31</v>
      </c>
      <c r="AF40">
        <v>22.11</v>
      </c>
      <c r="AG40">
        <v>1.63</v>
      </c>
      <c r="AH40">
        <v>10.38</v>
      </c>
      <c r="AI40">
        <v>4.7300000000000004</v>
      </c>
      <c r="AJ40">
        <v>4.32</v>
      </c>
      <c r="AK40">
        <v>15.32</v>
      </c>
      <c r="AL40">
        <v>4.16</v>
      </c>
      <c r="AM40">
        <v>5.85</v>
      </c>
      <c r="AN40">
        <v>5.4</v>
      </c>
      <c r="AO40">
        <v>2.04</v>
      </c>
      <c r="AP40">
        <v>4.9800000000000004</v>
      </c>
      <c r="AQ40">
        <v>2.86</v>
      </c>
      <c r="AR40">
        <v>4.16</v>
      </c>
      <c r="AS40">
        <v>7.95</v>
      </c>
      <c r="AT40">
        <v>4.13</v>
      </c>
      <c r="AU40">
        <v>4.46</v>
      </c>
      <c r="AV40">
        <v>3.59</v>
      </c>
      <c r="AW40">
        <v>6.45</v>
      </c>
      <c r="AX40">
        <v>7.04</v>
      </c>
      <c r="AY40">
        <v>3059</v>
      </c>
      <c r="AZ40">
        <v>3270</v>
      </c>
      <c r="BA40">
        <v>496</v>
      </c>
      <c r="BB40">
        <v>52.23</v>
      </c>
    </row>
    <row r="41" spans="1:58" x14ac:dyDescent="0.25">
      <c r="A41" t="s">
        <v>369</v>
      </c>
      <c r="B41">
        <v>169655</v>
      </c>
      <c r="C41" t="s">
        <v>362</v>
      </c>
      <c r="D41" t="s">
        <v>368</v>
      </c>
      <c r="E41">
        <v>0.02</v>
      </c>
      <c r="F41">
        <v>387</v>
      </c>
      <c r="G41">
        <v>0</v>
      </c>
      <c r="H41">
        <v>0</v>
      </c>
      <c r="I41">
        <v>100</v>
      </c>
      <c r="J41">
        <v>0</v>
      </c>
      <c r="P41">
        <v>0</v>
      </c>
      <c r="Q41">
        <v>1.9E-2</v>
      </c>
      <c r="R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2</v>
      </c>
      <c r="AB41">
        <v>0.05</v>
      </c>
      <c r="AE41">
        <v>0.01</v>
      </c>
      <c r="AF41">
        <v>0.6</v>
      </c>
    </row>
    <row r="42" spans="1:58" x14ac:dyDescent="0.25">
      <c r="A42" t="s">
        <v>364</v>
      </c>
      <c r="B42" t="s">
        <v>40</v>
      </c>
      <c r="C42" t="s">
        <v>355</v>
      </c>
      <c r="D42" t="s">
        <v>836</v>
      </c>
      <c r="E42">
        <v>77.37</v>
      </c>
      <c r="F42">
        <v>59</v>
      </c>
      <c r="G42">
        <v>6.03</v>
      </c>
      <c r="H42">
        <v>1.74</v>
      </c>
      <c r="I42">
        <v>3.96</v>
      </c>
      <c r="J42">
        <v>8.2899999999999991</v>
      </c>
      <c r="K42">
        <v>6.14</v>
      </c>
      <c r="L42">
        <v>2.15</v>
      </c>
      <c r="M42">
        <v>2.61</v>
      </c>
      <c r="N42">
        <v>2664</v>
      </c>
      <c r="P42">
        <v>0.06</v>
      </c>
      <c r="Q42">
        <v>0.48</v>
      </c>
      <c r="R42">
        <v>0.89</v>
      </c>
      <c r="S42">
        <v>0.43</v>
      </c>
      <c r="T42">
        <v>0.93</v>
      </c>
      <c r="U42">
        <v>45.52</v>
      </c>
      <c r="V42">
        <v>92</v>
      </c>
      <c r="W42">
        <v>308</v>
      </c>
      <c r="X42">
        <v>104</v>
      </c>
      <c r="Y42">
        <v>97.12</v>
      </c>
      <c r="Z42">
        <v>8.6999999999999993</v>
      </c>
      <c r="AA42">
        <v>399</v>
      </c>
      <c r="AB42">
        <v>5.6</v>
      </c>
      <c r="AC42">
        <v>1.39</v>
      </c>
      <c r="AD42">
        <v>0.74</v>
      </c>
      <c r="AE42">
        <v>0.61</v>
      </c>
      <c r="AF42">
        <v>6.26</v>
      </c>
      <c r="AG42">
        <v>1.1200000000000001</v>
      </c>
      <c r="AH42">
        <v>13.77</v>
      </c>
      <c r="AI42">
        <v>4.33</v>
      </c>
      <c r="AJ42">
        <v>4.24</v>
      </c>
      <c r="AK42">
        <v>15.11</v>
      </c>
      <c r="AL42">
        <v>4.45</v>
      </c>
      <c r="AM42">
        <v>4.47</v>
      </c>
      <c r="AN42">
        <v>7.36</v>
      </c>
      <c r="AO42">
        <v>0.78</v>
      </c>
      <c r="AP42">
        <v>5.53</v>
      </c>
      <c r="AQ42">
        <v>1.1200000000000001</v>
      </c>
      <c r="AR42">
        <v>4.0999999999999996</v>
      </c>
      <c r="AS42">
        <v>7.41</v>
      </c>
      <c r="AT42">
        <v>3.2</v>
      </c>
      <c r="AU42">
        <v>6.38</v>
      </c>
      <c r="AV42">
        <v>2.27</v>
      </c>
      <c r="AW42">
        <v>4.55</v>
      </c>
      <c r="AX42">
        <v>1.1200000000000001</v>
      </c>
      <c r="AY42">
        <v>588</v>
      </c>
      <c r="AZ42">
        <v>111</v>
      </c>
      <c r="BA42">
        <v>693</v>
      </c>
      <c r="BC42">
        <v>0.02</v>
      </c>
      <c r="BD42">
        <v>2.52</v>
      </c>
      <c r="BF42">
        <v>15987</v>
      </c>
    </row>
    <row r="43" spans="1:58" x14ac:dyDescent="0.25">
      <c r="A43" t="s">
        <v>364</v>
      </c>
      <c r="B43" t="s">
        <v>293</v>
      </c>
      <c r="C43" t="s">
        <v>352</v>
      </c>
      <c r="D43" t="s">
        <v>574</v>
      </c>
      <c r="E43">
        <v>7.82</v>
      </c>
      <c r="F43">
        <v>368</v>
      </c>
      <c r="G43">
        <v>8.4700000000000006</v>
      </c>
      <c r="H43">
        <v>1.84</v>
      </c>
      <c r="I43">
        <v>79.41</v>
      </c>
      <c r="J43">
        <v>1.17</v>
      </c>
      <c r="K43">
        <v>0.94</v>
      </c>
      <c r="L43">
        <v>0.24</v>
      </c>
      <c r="M43">
        <v>1.3</v>
      </c>
      <c r="Q43">
        <v>0.03</v>
      </c>
      <c r="R43">
        <v>1.57</v>
      </c>
      <c r="S43">
        <v>0.56999999999999995</v>
      </c>
      <c r="T43">
        <v>0.13</v>
      </c>
      <c r="U43">
        <v>12.29</v>
      </c>
      <c r="W43">
        <v>6.57</v>
      </c>
      <c r="X43">
        <v>163</v>
      </c>
      <c r="Y43">
        <v>22.18</v>
      </c>
      <c r="Z43">
        <v>2.09</v>
      </c>
      <c r="AA43">
        <v>155</v>
      </c>
      <c r="AB43">
        <v>0.18</v>
      </c>
      <c r="AC43">
        <v>0.6</v>
      </c>
      <c r="AD43">
        <v>0.19</v>
      </c>
      <c r="AE43">
        <v>1.87</v>
      </c>
      <c r="AF43">
        <v>7.1</v>
      </c>
      <c r="AG43">
        <v>1.1299999999999999</v>
      </c>
      <c r="AH43">
        <v>10.199999999999999</v>
      </c>
      <c r="AI43">
        <v>4.1399999999999997</v>
      </c>
      <c r="AJ43">
        <v>6.03</v>
      </c>
      <c r="AK43">
        <v>18.5</v>
      </c>
      <c r="AL43">
        <v>5.75</v>
      </c>
      <c r="AM43">
        <v>5.03</v>
      </c>
      <c r="AN43">
        <v>6.12</v>
      </c>
      <c r="AO43">
        <v>1.5</v>
      </c>
      <c r="AP43">
        <v>4.07</v>
      </c>
      <c r="AQ43">
        <v>2.15</v>
      </c>
      <c r="AR43">
        <v>2.89</v>
      </c>
      <c r="AS43">
        <v>7.62</v>
      </c>
      <c r="AT43">
        <v>4.3099999999999996</v>
      </c>
      <c r="AU43">
        <v>5</v>
      </c>
      <c r="AV43">
        <v>2.21</v>
      </c>
      <c r="AW43">
        <v>3.8</v>
      </c>
      <c r="AX43">
        <v>8.23</v>
      </c>
      <c r="AY43">
        <v>626</v>
      </c>
      <c r="AZ43">
        <v>393</v>
      </c>
      <c r="BA43">
        <v>544</v>
      </c>
      <c r="BC43">
        <v>0.14000000000000001</v>
      </c>
      <c r="BD43">
        <v>76.06</v>
      </c>
    </row>
    <row r="44" spans="1:58" x14ac:dyDescent="0.25">
      <c r="A44" t="s">
        <v>364</v>
      </c>
      <c r="B44" t="s">
        <v>277</v>
      </c>
      <c r="C44" t="s">
        <v>357</v>
      </c>
      <c r="D44" t="s">
        <v>688</v>
      </c>
      <c r="E44">
        <v>74.55</v>
      </c>
      <c r="F44">
        <v>101</v>
      </c>
      <c r="G44">
        <v>21.51</v>
      </c>
      <c r="H44">
        <v>1.53</v>
      </c>
      <c r="M44">
        <v>1.2</v>
      </c>
      <c r="O44">
        <v>16.34</v>
      </c>
      <c r="P44">
        <v>7.0000000000000007E-2</v>
      </c>
      <c r="Q44">
        <v>0.1</v>
      </c>
      <c r="R44">
        <v>2.67</v>
      </c>
      <c r="S44">
        <v>1.35</v>
      </c>
      <c r="T44">
        <v>0.1</v>
      </c>
      <c r="U44">
        <v>7.13</v>
      </c>
      <c r="W44">
        <v>31.27</v>
      </c>
      <c r="X44">
        <v>231</v>
      </c>
      <c r="Y44">
        <v>37.46</v>
      </c>
      <c r="Z44">
        <v>83.01</v>
      </c>
      <c r="AA44">
        <v>309</v>
      </c>
      <c r="AB44">
        <v>1.46</v>
      </c>
      <c r="AC44">
        <v>0.02</v>
      </c>
      <c r="AD44">
        <v>0.12</v>
      </c>
      <c r="AE44">
        <v>0.67</v>
      </c>
      <c r="AF44">
        <v>64.08</v>
      </c>
      <c r="AG44">
        <v>1</v>
      </c>
      <c r="AH44">
        <v>9.9600000000000009</v>
      </c>
      <c r="AI44">
        <v>5.71</v>
      </c>
      <c r="AJ44">
        <v>4.46</v>
      </c>
      <c r="AK44">
        <v>13.38</v>
      </c>
      <c r="AL44">
        <v>3.27</v>
      </c>
      <c r="AM44">
        <v>5.28</v>
      </c>
      <c r="AN44">
        <v>5.41</v>
      </c>
      <c r="AO44">
        <v>1.68</v>
      </c>
      <c r="AP44">
        <v>5.47</v>
      </c>
      <c r="AQ44">
        <v>2.56</v>
      </c>
      <c r="AR44">
        <v>4.6399999999999997</v>
      </c>
      <c r="AS44">
        <v>7.91</v>
      </c>
      <c r="AT44">
        <v>4.59</v>
      </c>
      <c r="AU44">
        <v>5.25</v>
      </c>
      <c r="AV44">
        <v>3.63</v>
      </c>
      <c r="AW44">
        <v>6.39</v>
      </c>
      <c r="AX44">
        <v>5.81</v>
      </c>
      <c r="AY44">
        <v>604</v>
      </c>
      <c r="AZ44">
        <v>216</v>
      </c>
      <c r="BA44">
        <v>470</v>
      </c>
      <c r="BB44">
        <v>46.48</v>
      </c>
    </row>
    <row r="45" spans="1:58" x14ac:dyDescent="0.25">
      <c r="A45" t="s">
        <v>364</v>
      </c>
      <c r="B45" t="s">
        <v>129</v>
      </c>
      <c r="C45" t="s">
        <v>356</v>
      </c>
      <c r="D45" t="s">
        <v>648</v>
      </c>
      <c r="E45">
        <v>91.93</v>
      </c>
      <c r="F45">
        <v>24</v>
      </c>
      <c r="G45">
        <v>0.5</v>
      </c>
      <c r="H45">
        <v>0.12</v>
      </c>
      <c r="I45">
        <v>4.92</v>
      </c>
      <c r="J45">
        <v>2.4</v>
      </c>
      <c r="K45">
        <v>1.87</v>
      </c>
      <c r="L45">
        <v>0.53</v>
      </c>
      <c r="M45">
        <v>0.13</v>
      </c>
      <c r="P45">
        <v>0.01</v>
      </c>
      <c r="R45">
        <v>0.46</v>
      </c>
      <c r="S45">
        <v>0.13</v>
      </c>
      <c r="T45">
        <v>7.0000000000000007E-2</v>
      </c>
      <c r="U45">
        <v>24.4</v>
      </c>
      <c r="V45">
        <v>0.25</v>
      </c>
      <c r="Z45">
        <v>1.25</v>
      </c>
      <c r="AA45">
        <v>158</v>
      </c>
      <c r="AE45">
        <v>0.05</v>
      </c>
      <c r="AG45">
        <v>0.44</v>
      </c>
      <c r="AH45">
        <v>13.86</v>
      </c>
      <c r="AI45">
        <v>4.32</v>
      </c>
      <c r="AJ45">
        <v>5.18</v>
      </c>
      <c r="AK45">
        <v>16.82</v>
      </c>
      <c r="AL45">
        <v>4.17</v>
      </c>
      <c r="AM45">
        <v>4.5599999999999996</v>
      </c>
      <c r="AN45">
        <v>6.84</v>
      </c>
      <c r="AO45">
        <v>1.1000000000000001</v>
      </c>
      <c r="AP45">
        <v>4.3099999999999996</v>
      </c>
      <c r="AQ45">
        <v>0.85</v>
      </c>
      <c r="AR45">
        <v>4.16</v>
      </c>
      <c r="AS45">
        <v>3.74</v>
      </c>
      <c r="AT45">
        <v>1.25</v>
      </c>
      <c r="AU45">
        <v>2.76</v>
      </c>
      <c r="AV45">
        <v>3.14</v>
      </c>
      <c r="AW45">
        <v>2.35</v>
      </c>
      <c r="AX45">
        <v>3.85</v>
      </c>
      <c r="AY45">
        <v>33.36</v>
      </c>
      <c r="AZ45">
        <v>38.32</v>
      </c>
      <c r="BA45">
        <v>76.42</v>
      </c>
      <c r="BC45">
        <v>0.19</v>
      </c>
      <c r="BD45">
        <v>0.84</v>
      </c>
    </row>
    <row r="46" spans="1:58" x14ac:dyDescent="0.25">
      <c r="A46" t="s">
        <v>364</v>
      </c>
      <c r="B46" t="s">
        <v>189</v>
      </c>
      <c r="C46" t="s">
        <v>357</v>
      </c>
      <c r="D46" t="s">
        <v>803</v>
      </c>
      <c r="E46">
        <v>24.94</v>
      </c>
      <c r="F46">
        <v>259</v>
      </c>
      <c r="G46">
        <v>51.16</v>
      </c>
      <c r="H46">
        <v>5.92</v>
      </c>
      <c r="M46">
        <v>17.82</v>
      </c>
      <c r="O46">
        <v>12.83</v>
      </c>
      <c r="Q46">
        <v>0.25</v>
      </c>
      <c r="R46">
        <v>5.72</v>
      </c>
      <c r="S46">
        <v>0.63</v>
      </c>
      <c r="T46">
        <v>0.62</v>
      </c>
      <c r="U46">
        <v>438</v>
      </c>
      <c r="W46">
        <v>117.8</v>
      </c>
      <c r="X46">
        <v>419</v>
      </c>
      <c r="Y46">
        <v>162</v>
      </c>
      <c r="Z46">
        <v>10921</v>
      </c>
      <c r="AA46">
        <v>694</v>
      </c>
      <c r="AB46">
        <v>3.06</v>
      </c>
      <c r="AC46">
        <v>1.39</v>
      </c>
      <c r="AD46">
        <v>0.17</v>
      </c>
      <c r="AE46">
        <v>4.2</v>
      </c>
      <c r="AF46">
        <v>354</v>
      </c>
      <c r="AG46">
        <v>1.1499999999999999</v>
      </c>
      <c r="AH46">
        <v>9.39</v>
      </c>
      <c r="AI46">
        <v>4.1900000000000004</v>
      </c>
      <c r="AJ46">
        <v>3.98</v>
      </c>
      <c r="AK46">
        <v>17.170000000000002</v>
      </c>
      <c r="AL46">
        <v>6.23</v>
      </c>
      <c r="AM46">
        <v>5.62</v>
      </c>
      <c r="AN46">
        <v>6.5</v>
      </c>
      <c r="AO46">
        <v>1.19</v>
      </c>
      <c r="AP46">
        <v>4.55</v>
      </c>
      <c r="AQ46">
        <v>2</v>
      </c>
      <c r="AR46">
        <v>4.41</v>
      </c>
      <c r="AS46">
        <v>7.16</v>
      </c>
      <c r="AT46">
        <v>3.8</v>
      </c>
      <c r="AU46">
        <v>4.54</v>
      </c>
      <c r="AV46">
        <v>2.88</v>
      </c>
      <c r="AW46">
        <v>8.3800000000000008</v>
      </c>
      <c r="AX46">
        <v>6.36</v>
      </c>
      <c r="AY46">
        <v>2497</v>
      </c>
      <c r="AZ46">
        <v>1164</v>
      </c>
      <c r="BA46">
        <v>1667</v>
      </c>
      <c r="BB46">
        <v>171</v>
      </c>
    </row>
    <row r="47" spans="1:58" x14ac:dyDescent="0.25">
      <c r="A47" t="s">
        <v>364</v>
      </c>
      <c r="B47" t="s">
        <v>46</v>
      </c>
      <c r="C47" t="s">
        <v>355</v>
      </c>
      <c r="D47" t="s">
        <v>497</v>
      </c>
      <c r="E47">
        <v>90.18</v>
      </c>
      <c r="F47">
        <v>15</v>
      </c>
      <c r="G47">
        <v>0.64</v>
      </c>
      <c r="H47">
        <v>0.47</v>
      </c>
      <c r="I47">
        <v>1.93</v>
      </c>
      <c r="J47">
        <v>5.73</v>
      </c>
      <c r="K47">
        <v>5.0199999999999996</v>
      </c>
      <c r="L47">
        <v>0.71</v>
      </c>
      <c r="M47">
        <v>1.07</v>
      </c>
      <c r="N47">
        <v>226</v>
      </c>
      <c r="Q47">
        <v>7.0000000000000007E-2</v>
      </c>
      <c r="R47">
        <v>0.7</v>
      </c>
      <c r="S47">
        <v>0.37</v>
      </c>
      <c r="T47">
        <v>0.23</v>
      </c>
      <c r="U47">
        <v>70.11</v>
      </c>
      <c r="V47">
        <v>6.74</v>
      </c>
      <c r="W47">
        <v>96.31</v>
      </c>
      <c r="X47">
        <v>21.93</v>
      </c>
      <c r="Y47">
        <v>41.42</v>
      </c>
      <c r="Z47">
        <v>46.29</v>
      </c>
      <c r="AA47">
        <v>381</v>
      </c>
      <c r="AB47">
        <v>1.25</v>
      </c>
      <c r="AC47">
        <v>2.81</v>
      </c>
      <c r="AD47">
        <v>0.31</v>
      </c>
      <c r="AE47">
        <v>0.66</v>
      </c>
      <c r="AF47">
        <v>18.28</v>
      </c>
      <c r="AG47">
        <v>0.86</v>
      </c>
      <c r="AH47">
        <v>11.43</v>
      </c>
      <c r="AI47">
        <v>4.6500000000000004</v>
      </c>
      <c r="AJ47">
        <v>4.67</v>
      </c>
      <c r="AK47">
        <v>7.68</v>
      </c>
      <c r="AL47">
        <v>5.37</v>
      </c>
      <c r="AM47">
        <v>5.61</v>
      </c>
      <c r="AN47">
        <v>6.17</v>
      </c>
      <c r="AO47">
        <v>0.77</v>
      </c>
      <c r="AP47">
        <v>5.61</v>
      </c>
      <c r="AQ47">
        <v>0.8</v>
      </c>
      <c r="AR47">
        <v>4.74</v>
      </c>
      <c r="AS47">
        <v>8.49</v>
      </c>
      <c r="AT47">
        <v>4.79</v>
      </c>
      <c r="AU47">
        <v>6.08</v>
      </c>
      <c r="AV47">
        <v>2.68</v>
      </c>
      <c r="AW47">
        <v>5.43</v>
      </c>
      <c r="AX47">
        <v>5.98</v>
      </c>
      <c r="AY47">
        <v>140</v>
      </c>
      <c r="AZ47">
        <v>18.059999999999999</v>
      </c>
      <c r="BA47">
        <v>214</v>
      </c>
      <c r="BC47">
        <v>0.65</v>
      </c>
      <c r="BD47">
        <v>1.1399999999999999</v>
      </c>
      <c r="BF47">
        <v>1361</v>
      </c>
    </row>
    <row r="48" spans="1:58" x14ac:dyDescent="0.25">
      <c r="A48" t="s">
        <v>364</v>
      </c>
      <c r="B48" t="s">
        <v>255</v>
      </c>
      <c r="C48" t="s">
        <v>362</v>
      </c>
      <c r="D48" t="s">
        <v>593</v>
      </c>
      <c r="E48">
        <v>65.34</v>
      </c>
      <c r="F48">
        <v>58</v>
      </c>
      <c r="G48">
        <v>7.19</v>
      </c>
      <c r="H48">
        <v>1.04</v>
      </c>
      <c r="I48">
        <v>3.01</v>
      </c>
      <c r="J48">
        <v>18.27</v>
      </c>
      <c r="K48">
        <v>14.39</v>
      </c>
      <c r="L48">
        <v>3.88</v>
      </c>
      <c r="M48">
        <v>5.15</v>
      </c>
      <c r="N48">
        <v>1389</v>
      </c>
      <c r="P48">
        <v>0.09</v>
      </c>
      <c r="Q48">
        <v>0.13</v>
      </c>
      <c r="R48">
        <v>0.75</v>
      </c>
      <c r="S48">
        <v>0.52</v>
      </c>
      <c r="T48">
        <v>0.51</v>
      </c>
      <c r="U48">
        <v>142</v>
      </c>
      <c r="V48">
        <v>4.33</v>
      </c>
      <c r="W48">
        <v>680</v>
      </c>
      <c r="X48">
        <v>64.44</v>
      </c>
      <c r="Y48">
        <v>184</v>
      </c>
      <c r="Z48">
        <v>19.66</v>
      </c>
      <c r="AA48">
        <v>602</v>
      </c>
      <c r="AB48">
        <v>8</v>
      </c>
      <c r="AC48">
        <v>1.4</v>
      </c>
      <c r="AD48">
        <v>0.36</v>
      </c>
      <c r="AE48">
        <v>0.79</v>
      </c>
      <c r="AF48">
        <v>25.17</v>
      </c>
      <c r="AG48">
        <v>1.59</v>
      </c>
      <c r="AH48">
        <v>14.88</v>
      </c>
      <c r="AI48">
        <v>4.1100000000000003</v>
      </c>
      <c r="AJ48">
        <v>6.06</v>
      </c>
      <c r="AK48">
        <v>11.01</v>
      </c>
      <c r="AL48">
        <v>6.51</v>
      </c>
      <c r="AM48">
        <v>6.32</v>
      </c>
      <c r="AN48">
        <v>8.17</v>
      </c>
      <c r="AO48">
        <v>0.69</v>
      </c>
      <c r="AP48">
        <v>3.97</v>
      </c>
      <c r="AQ48">
        <v>0.46</v>
      </c>
      <c r="AR48">
        <v>3.95</v>
      </c>
      <c r="AS48">
        <v>6.68</v>
      </c>
      <c r="AT48">
        <v>2.89</v>
      </c>
      <c r="AU48">
        <v>4</v>
      </c>
      <c r="AV48">
        <v>1.77</v>
      </c>
      <c r="AW48">
        <v>3.79</v>
      </c>
      <c r="AX48">
        <v>4.42</v>
      </c>
      <c r="AY48">
        <v>251</v>
      </c>
      <c r="AZ48">
        <v>43.83</v>
      </c>
      <c r="BA48">
        <v>537</v>
      </c>
      <c r="BC48">
        <v>0.62</v>
      </c>
      <c r="BD48">
        <v>2.94</v>
      </c>
      <c r="BE48">
        <v>146</v>
      </c>
      <c r="BF48">
        <v>8262</v>
      </c>
    </row>
    <row r="49" spans="1:58" x14ac:dyDescent="0.25">
      <c r="A49" t="s">
        <v>364</v>
      </c>
      <c r="B49" t="s">
        <v>28</v>
      </c>
      <c r="C49" t="s">
        <v>355</v>
      </c>
      <c r="D49" t="s">
        <v>828</v>
      </c>
      <c r="E49">
        <v>80.48</v>
      </c>
      <c r="F49">
        <v>64</v>
      </c>
      <c r="G49">
        <v>6.13</v>
      </c>
      <c r="H49">
        <v>1.92</v>
      </c>
      <c r="I49">
        <v>5.37</v>
      </c>
      <c r="J49">
        <v>3.9</v>
      </c>
      <c r="K49">
        <v>3.06</v>
      </c>
      <c r="L49">
        <v>0.85</v>
      </c>
      <c r="M49">
        <v>2.2200000000000002</v>
      </c>
      <c r="N49">
        <v>1374</v>
      </c>
      <c r="Q49">
        <v>0.15</v>
      </c>
      <c r="R49">
        <v>0.99</v>
      </c>
      <c r="S49">
        <v>0.33</v>
      </c>
      <c r="T49">
        <v>0.28000000000000003</v>
      </c>
      <c r="U49">
        <v>78.03</v>
      </c>
      <c r="V49">
        <v>63.72</v>
      </c>
      <c r="W49">
        <v>196</v>
      </c>
      <c r="X49">
        <v>56.63</v>
      </c>
      <c r="Y49">
        <v>26.93</v>
      </c>
      <c r="Z49">
        <v>13.83</v>
      </c>
      <c r="AA49">
        <v>500</v>
      </c>
      <c r="AB49">
        <v>2.79</v>
      </c>
      <c r="AC49">
        <v>3.44</v>
      </c>
      <c r="AD49">
        <v>0.18</v>
      </c>
      <c r="AE49">
        <v>1.73</v>
      </c>
      <c r="AF49">
        <v>8.42</v>
      </c>
      <c r="AG49">
        <v>0.71</v>
      </c>
      <c r="AH49">
        <v>9.33</v>
      </c>
      <c r="AI49">
        <v>4.3600000000000003</v>
      </c>
      <c r="AJ49">
        <v>4.6399999999999997</v>
      </c>
      <c r="AK49">
        <v>11.02</v>
      </c>
      <c r="AL49">
        <v>5.63</v>
      </c>
      <c r="AM49">
        <v>4.95</v>
      </c>
      <c r="AN49">
        <v>5.85</v>
      </c>
      <c r="AO49">
        <v>0.86</v>
      </c>
      <c r="AP49">
        <v>4.71</v>
      </c>
      <c r="AQ49">
        <v>0.95</v>
      </c>
      <c r="AR49">
        <v>4.5199999999999996</v>
      </c>
      <c r="AS49">
        <v>8.3800000000000008</v>
      </c>
      <c r="AT49">
        <v>4.63</v>
      </c>
      <c r="AU49">
        <v>5.43</v>
      </c>
      <c r="AV49">
        <v>2.23</v>
      </c>
      <c r="AW49">
        <v>5.34</v>
      </c>
      <c r="AX49">
        <v>6.01</v>
      </c>
      <c r="BC49">
        <v>0.15</v>
      </c>
      <c r="BD49">
        <v>4.82</v>
      </c>
      <c r="BF49">
        <v>8244</v>
      </c>
    </row>
    <row r="50" spans="1:58" x14ac:dyDescent="0.25">
      <c r="A50" t="s">
        <v>364</v>
      </c>
      <c r="B50" t="s">
        <v>300</v>
      </c>
      <c r="C50" t="s">
        <v>355</v>
      </c>
      <c r="D50" t="s">
        <v>767</v>
      </c>
      <c r="E50">
        <v>86.59</v>
      </c>
      <c r="F50">
        <v>32</v>
      </c>
      <c r="G50">
        <v>3.55</v>
      </c>
      <c r="H50">
        <v>0.72</v>
      </c>
      <c r="I50">
        <v>2.3199999999999998</v>
      </c>
      <c r="J50">
        <v>4.29</v>
      </c>
      <c r="K50">
        <v>3.1</v>
      </c>
      <c r="L50">
        <v>1.19</v>
      </c>
      <c r="M50">
        <v>2.54</v>
      </c>
      <c r="N50">
        <v>1474</v>
      </c>
      <c r="P50">
        <v>0.01</v>
      </c>
      <c r="Q50">
        <v>0.21</v>
      </c>
      <c r="R50">
        <v>0.72</v>
      </c>
      <c r="S50">
        <v>0.41</v>
      </c>
      <c r="T50">
        <v>0.22</v>
      </c>
      <c r="U50">
        <v>74.27</v>
      </c>
      <c r="V50">
        <v>82</v>
      </c>
      <c r="W50">
        <v>258</v>
      </c>
      <c r="X50">
        <v>85.5</v>
      </c>
      <c r="Y50">
        <v>209</v>
      </c>
      <c r="Z50">
        <v>18.91</v>
      </c>
      <c r="AA50">
        <v>623</v>
      </c>
      <c r="AB50">
        <v>3.5</v>
      </c>
      <c r="AC50">
        <v>1.61</v>
      </c>
      <c r="AD50">
        <v>0.33</v>
      </c>
      <c r="AE50">
        <v>1.4</v>
      </c>
      <c r="AF50">
        <v>18.350000000000001</v>
      </c>
      <c r="AG50">
        <v>0.99</v>
      </c>
      <c r="AH50">
        <v>9.65</v>
      </c>
      <c r="AI50">
        <v>3.95</v>
      </c>
      <c r="AJ50">
        <v>4.4400000000000004</v>
      </c>
      <c r="AK50">
        <v>11.81</v>
      </c>
      <c r="AL50">
        <v>4</v>
      </c>
      <c r="AM50">
        <v>5.52</v>
      </c>
      <c r="AN50">
        <v>5.96</v>
      </c>
      <c r="AO50">
        <v>0.97</v>
      </c>
      <c r="AP50">
        <v>5.21</v>
      </c>
      <c r="AQ50">
        <v>1.44</v>
      </c>
      <c r="AR50">
        <v>4.58</v>
      </c>
      <c r="AS50">
        <v>7.5</v>
      </c>
      <c r="AT50">
        <v>3.82</v>
      </c>
      <c r="AU50">
        <v>6.19</v>
      </c>
      <c r="AV50">
        <v>2.0299999999999998</v>
      </c>
      <c r="AW50">
        <v>5.76</v>
      </c>
      <c r="AX50">
        <v>0.99</v>
      </c>
      <c r="AY50">
        <v>189</v>
      </c>
      <c r="AZ50">
        <v>45.84</v>
      </c>
      <c r="BA50">
        <v>339</v>
      </c>
      <c r="BC50">
        <v>0.36</v>
      </c>
      <c r="BD50">
        <v>0.69</v>
      </c>
      <c r="BF50">
        <v>8846</v>
      </c>
    </row>
    <row r="51" spans="1:58" x14ac:dyDescent="0.25">
      <c r="A51" t="s">
        <v>364</v>
      </c>
      <c r="B51" t="s">
        <v>162</v>
      </c>
      <c r="C51" t="s">
        <v>357</v>
      </c>
      <c r="D51" t="s">
        <v>701</v>
      </c>
      <c r="E51">
        <v>73.3</v>
      </c>
      <c r="F51">
        <v>112</v>
      </c>
      <c r="G51">
        <v>20.3</v>
      </c>
      <c r="H51">
        <v>3.37</v>
      </c>
      <c r="M51">
        <v>2.99</v>
      </c>
      <c r="O51">
        <v>15.78</v>
      </c>
      <c r="Q51">
        <v>0.23</v>
      </c>
      <c r="R51">
        <v>0.77</v>
      </c>
      <c r="S51">
        <v>0.38</v>
      </c>
      <c r="T51">
        <v>0.68</v>
      </c>
      <c r="U51">
        <v>59.78</v>
      </c>
      <c r="W51">
        <v>155</v>
      </c>
      <c r="X51">
        <v>240</v>
      </c>
      <c r="Y51">
        <v>33.29</v>
      </c>
      <c r="Z51">
        <v>71.73</v>
      </c>
      <c r="AA51">
        <v>160</v>
      </c>
      <c r="AB51">
        <v>1.94</v>
      </c>
      <c r="AC51">
        <v>0.14000000000000001</v>
      </c>
      <c r="AD51">
        <v>0.28000000000000003</v>
      </c>
      <c r="AE51">
        <v>1.94</v>
      </c>
      <c r="AF51">
        <v>95.8</v>
      </c>
      <c r="AG51">
        <v>0.89</v>
      </c>
      <c r="AH51">
        <v>8.61</v>
      </c>
      <c r="AI51">
        <v>4.5999999999999996</v>
      </c>
      <c r="AJ51">
        <v>3.99</v>
      </c>
      <c r="AK51">
        <v>15</v>
      </c>
      <c r="AL51">
        <v>5.55</v>
      </c>
      <c r="AM51">
        <v>4.95</v>
      </c>
      <c r="AN51">
        <v>6.38</v>
      </c>
      <c r="AO51">
        <v>1.23</v>
      </c>
      <c r="AP51">
        <v>4.79</v>
      </c>
      <c r="AQ51">
        <v>2.31</v>
      </c>
      <c r="AR51">
        <v>4.59</v>
      </c>
      <c r="AS51">
        <v>7.78</v>
      </c>
      <c r="AT51">
        <v>3.76</v>
      </c>
      <c r="AU51">
        <v>4.5199999999999996</v>
      </c>
      <c r="AV51">
        <v>5.92</v>
      </c>
      <c r="AW51">
        <v>8.9600000000000009</v>
      </c>
      <c r="AX51">
        <v>5.81</v>
      </c>
      <c r="AY51">
        <v>1254</v>
      </c>
      <c r="AZ51">
        <v>674</v>
      </c>
      <c r="BA51">
        <v>1104</v>
      </c>
      <c r="BB51">
        <v>31.32</v>
      </c>
    </row>
    <row r="52" spans="1:58" x14ac:dyDescent="0.25">
      <c r="A52" t="s">
        <v>364</v>
      </c>
      <c r="B52" t="s">
        <v>294</v>
      </c>
      <c r="C52" t="s">
        <v>352</v>
      </c>
      <c r="D52" t="s">
        <v>580</v>
      </c>
      <c r="E52">
        <v>9.18</v>
      </c>
      <c r="F52">
        <v>332</v>
      </c>
      <c r="G52">
        <v>9.31</v>
      </c>
      <c r="H52">
        <v>0.42</v>
      </c>
      <c r="I52">
        <v>70.69</v>
      </c>
      <c r="J52">
        <v>9.81</v>
      </c>
      <c r="K52">
        <v>7.84</v>
      </c>
      <c r="L52">
        <v>1.98</v>
      </c>
      <c r="M52">
        <v>0.59</v>
      </c>
      <c r="N52">
        <v>0.33</v>
      </c>
      <c r="P52">
        <v>0.13</v>
      </c>
      <c r="Q52">
        <v>0.01</v>
      </c>
      <c r="R52">
        <v>0.89</v>
      </c>
      <c r="S52">
        <v>0.6</v>
      </c>
      <c r="T52">
        <v>0.03</v>
      </c>
      <c r="U52">
        <v>15.55</v>
      </c>
      <c r="W52">
        <v>21.89</v>
      </c>
      <c r="X52">
        <v>97</v>
      </c>
      <c r="Y52">
        <v>38.71</v>
      </c>
      <c r="Z52">
        <v>3.75</v>
      </c>
      <c r="AA52">
        <v>160</v>
      </c>
      <c r="AB52">
        <v>1.72</v>
      </c>
      <c r="AC52">
        <v>0.78</v>
      </c>
      <c r="AD52">
        <v>0.2</v>
      </c>
      <c r="AE52">
        <v>0.92</v>
      </c>
      <c r="AF52">
        <v>15.3</v>
      </c>
      <c r="AG52">
        <v>1.08</v>
      </c>
      <c r="AH52">
        <v>4.67</v>
      </c>
      <c r="AI52">
        <v>2.12</v>
      </c>
      <c r="AJ52">
        <v>5.57</v>
      </c>
      <c r="AK52">
        <v>32.1</v>
      </c>
      <c r="AL52">
        <v>9.75</v>
      </c>
      <c r="AM52">
        <v>4.38</v>
      </c>
      <c r="AN52">
        <v>3.62</v>
      </c>
      <c r="AO52">
        <v>1.82</v>
      </c>
      <c r="AP52">
        <v>3.45</v>
      </c>
      <c r="AQ52">
        <v>1.19</v>
      </c>
      <c r="AR52">
        <v>1.34</v>
      </c>
      <c r="AS52">
        <v>5.75</v>
      </c>
      <c r="AT52">
        <v>2.3199999999999998</v>
      </c>
      <c r="AU52">
        <v>4.37</v>
      </c>
      <c r="AV52">
        <v>1.7</v>
      </c>
      <c r="AW52">
        <v>1.85</v>
      </c>
      <c r="AX52">
        <v>3.3</v>
      </c>
      <c r="AY52">
        <v>62.2</v>
      </c>
      <c r="AZ52">
        <v>33.799999999999997</v>
      </c>
      <c r="BA52">
        <v>208</v>
      </c>
      <c r="BC52">
        <v>1.68</v>
      </c>
      <c r="BD52">
        <v>53.85</v>
      </c>
      <c r="BF52">
        <v>2.0099999999999998</v>
      </c>
    </row>
    <row r="53" spans="1:58" x14ac:dyDescent="0.25">
      <c r="A53" t="s">
        <v>364</v>
      </c>
      <c r="B53" t="s">
        <v>74</v>
      </c>
      <c r="C53" t="s">
        <v>355</v>
      </c>
      <c r="D53" t="s">
        <v>730</v>
      </c>
      <c r="E53">
        <v>91.01</v>
      </c>
      <c r="F53">
        <v>21</v>
      </c>
      <c r="G53">
        <v>1.84</v>
      </c>
      <c r="H53">
        <v>0.2</v>
      </c>
      <c r="I53">
        <v>2.76</v>
      </c>
      <c r="J53">
        <v>3.78</v>
      </c>
      <c r="K53">
        <v>3.33</v>
      </c>
      <c r="L53">
        <v>0.45</v>
      </c>
      <c r="M53">
        <v>0.43</v>
      </c>
      <c r="N53">
        <v>38.74</v>
      </c>
      <c r="Q53">
        <v>0.08</v>
      </c>
      <c r="R53">
        <v>0.8</v>
      </c>
      <c r="S53">
        <v>0.37</v>
      </c>
      <c r="T53">
        <v>0.4</v>
      </c>
      <c r="U53">
        <v>33.69</v>
      </c>
      <c r="V53">
        <v>19.82</v>
      </c>
      <c r="W53">
        <v>68.239999999999995</v>
      </c>
      <c r="X53">
        <v>38.19</v>
      </c>
      <c r="Y53">
        <v>31.38</v>
      </c>
      <c r="Z53">
        <v>11.48</v>
      </c>
      <c r="AA53">
        <v>318</v>
      </c>
      <c r="AB53">
        <v>1.2</v>
      </c>
      <c r="AC53">
        <v>0.67</v>
      </c>
      <c r="AD53">
        <v>0.35</v>
      </c>
      <c r="AE53">
        <v>0.44</v>
      </c>
      <c r="AF53">
        <v>4</v>
      </c>
      <c r="AG53">
        <v>0.75</v>
      </c>
      <c r="AH53">
        <v>22</v>
      </c>
      <c r="AI53">
        <v>6.44</v>
      </c>
      <c r="AJ53">
        <v>4.96</v>
      </c>
      <c r="AK53">
        <v>11.11</v>
      </c>
      <c r="AL53">
        <v>4.04</v>
      </c>
      <c r="AM53">
        <v>4.0599999999999996</v>
      </c>
      <c r="AN53">
        <v>5.72</v>
      </c>
      <c r="AO53">
        <v>0.59</v>
      </c>
      <c r="AP53">
        <v>5.59</v>
      </c>
      <c r="AQ53">
        <v>0.82</v>
      </c>
      <c r="AR53">
        <v>4.96</v>
      </c>
      <c r="AS53">
        <v>7.01</v>
      </c>
      <c r="AT53">
        <v>3.58</v>
      </c>
      <c r="AU53">
        <v>3.25</v>
      </c>
      <c r="AV53">
        <v>2.62</v>
      </c>
      <c r="AW53">
        <v>5.07</v>
      </c>
      <c r="AX53">
        <v>4.7</v>
      </c>
      <c r="AY53">
        <v>178</v>
      </c>
      <c r="AZ53">
        <v>27.95</v>
      </c>
      <c r="BA53">
        <v>34.729999999999997</v>
      </c>
      <c r="BC53">
        <v>0.91</v>
      </c>
      <c r="BD53">
        <v>1.65</v>
      </c>
      <c r="BF53">
        <v>232</v>
      </c>
    </row>
    <row r="54" spans="1:58" x14ac:dyDescent="0.25">
      <c r="A54" t="s">
        <v>450</v>
      </c>
      <c r="B54" t="s">
        <v>449</v>
      </c>
      <c r="C54" t="s">
        <v>362</v>
      </c>
      <c r="D54" t="s">
        <v>448</v>
      </c>
      <c r="E54">
        <v>7.7</v>
      </c>
      <c r="F54">
        <v>301</v>
      </c>
      <c r="G54">
        <v>7.1</v>
      </c>
      <c r="H54">
        <v>7</v>
      </c>
      <c r="I54">
        <v>52.4</v>
      </c>
      <c r="J54">
        <v>0</v>
      </c>
      <c r="K54">
        <v>0</v>
      </c>
      <c r="L54">
        <v>0</v>
      </c>
      <c r="M54">
        <v>25.8</v>
      </c>
      <c r="P54">
        <v>1.59</v>
      </c>
      <c r="R54">
        <v>1.8</v>
      </c>
      <c r="W54">
        <v>7254</v>
      </c>
      <c r="X54">
        <v>72</v>
      </c>
    </row>
    <row r="55" spans="1:58" x14ac:dyDescent="0.25">
      <c r="A55" t="s">
        <v>364</v>
      </c>
      <c r="B55" t="s">
        <v>173</v>
      </c>
      <c r="C55" t="s">
        <v>357</v>
      </c>
      <c r="D55" t="s">
        <v>824</v>
      </c>
      <c r="E55">
        <v>74.39</v>
      </c>
      <c r="F55">
        <v>104</v>
      </c>
      <c r="G55">
        <v>17.88</v>
      </c>
      <c r="H55">
        <v>3.38</v>
      </c>
      <c r="M55">
        <v>3.91</v>
      </c>
      <c r="O55">
        <v>14.42</v>
      </c>
      <c r="Q55">
        <v>0.32</v>
      </c>
      <c r="R55">
        <v>3.39</v>
      </c>
      <c r="S55">
        <v>0.62</v>
      </c>
      <c r="T55">
        <v>0.32</v>
      </c>
      <c r="U55">
        <v>69.03</v>
      </c>
      <c r="W55">
        <v>43.38</v>
      </c>
      <c r="X55">
        <v>211</v>
      </c>
      <c r="Y55">
        <v>30.89</v>
      </c>
      <c r="Z55">
        <v>85.82</v>
      </c>
      <c r="AA55">
        <v>319</v>
      </c>
      <c r="AB55">
        <v>0.83</v>
      </c>
      <c r="AC55">
        <v>0.47</v>
      </c>
      <c r="AD55">
        <v>0.26</v>
      </c>
      <c r="AE55">
        <v>1.31</v>
      </c>
      <c r="AF55">
        <v>264</v>
      </c>
      <c r="AG55">
        <v>2.21</v>
      </c>
      <c r="AH55">
        <v>9.58</v>
      </c>
      <c r="AI55">
        <v>4.09</v>
      </c>
      <c r="AJ55">
        <v>4.49</v>
      </c>
      <c r="AK55">
        <v>15.14</v>
      </c>
      <c r="AL55">
        <v>5.15</v>
      </c>
      <c r="AM55">
        <v>5.68</v>
      </c>
      <c r="AN55">
        <v>6.85</v>
      </c>
      <c r="AO55">
        <v>1.56</v>
      </c>
      <c r="AP55">
        <v>4.7</v>
      </c>
      <c r="AQ55">
        <v>2.68</v>
      </c>
      <c r="AR55">
        <v>4.9800000000000004</v>
      </c>
      <c r="AS55">
        <v>7.85</v>
      </c>
      <c r="AT55">
        <v>3.41</v>
      </c>
      <c r="AU55">
        <v>4.13</v>
      </c>
      <c r="AV55">
        <v>3.73</v>
      </c>
      <c r="AW55">
        <v>8.31</v>
      </c>
      <c r="AX55">
        <v>5.74</v>
      </c>
      <c r="AY55">
        <v>1704</v>
      </c>
      <c r="AZ55">
        <v>824</v>
      </c>
      <c r="BA55">
        <v>510</v>
      </c>
      <c r="BB55">
        <v>35.409999999999997</v>
      </c>
    </row>
    <row r="56" spans="1:58" x14ac:dyDescent="0.25">
      <c r="A56" t="s">
        <v>364</v>
      </c>
      <c r="B56" t="s">
        <v>54</v>
      </c>
      <c r="C56" t="s">
        <v>355</v>
      </c>
      <c r="D56" t="s">
        <v>713</v>
      </c>
      <c r="E56">
        <v>77.33</v>
      </c>
      <c r="F56">
        <v>76</v>
      </c>
      <c r="G56">
        <v>2.84</v>
      </c>
      <c r="H56">
        <v>0.56000000000000005</v>
      </c>
      <c r="I56">
        <v>14.75</v>
      </c>
      <c r="J56">
        <v>3.93</v>
      </c>
      <c r="K56">
        <v>3.29</v>
      </c>
      <c r="L56">
        <v>0.64</v>
      </c>
      <c r="M56">
        <v>0.6</v>
      </c>
      <c r="N56">
        <v>0.06</v>
      </c>
      <c r="Q56">
        <v>0.02</v>
      </c>
      <c r="R56">
        <v>2.39</v>
      </c>
      <c r="S56">
        <v>0.5</v>
      </c>
      <c r="T56">
        <v>7.0000000000000007E-2</v>
      </c>
      <c r="U56">
        <v>6.82</v>
      </c>
      <c r="V56">
        <v>4.49</v>
      </c>
      <c r="W56">
        <v>5.19</v>
      </c>
      <c r="X56">
        <v>19.649999999999999</v>
      </c>
      <c r="Y56">
        <v>22.55</v>
      </c>
      <c r="Z56">
        <v>13.25</v>
      </c>
      <c r="AA56">
        <v>271</v>
      </c>
      <c r="AB56">
        <v>0.39</v>
      </c>
      <c r="AC56">
        <v>0.3</v>
      </c>
      <c r="AD56">
        <v>0.16</v>
      </c>
      <c r="AE56">
        <v>0.21</v>
      </c>
      <c r="AF56">
        <v>1.37</v>
      </c>
      <c r="AG56">
        <v>0.73</v>
      </c>
      <c r="AH56">
        <v>13.9</v>
      </c>
      <c r="AI56">
        <v>2.88</v>
      </c>
      <c r="AJ56">
        <v>4.54</v>
      </c>
      <c r="AK56">
        <v>22.94</v>
      </c>
      <c r="AL56">
        <v>4.04</v>
      </c>
      <c r="AM56">
        <v>4.24</v>
      </c>
      <c r="AN56">
        <v>3.77</v>
      </c>
      <c r="AO56">
        <v>0.89</v>
      </c>
      <c r="AP56">
        <v>5.03</v>
      </c>
      <c r="AQ56">
        <v>1.1399999999999999</v>
      </c>
      <c r="AR56">
        <v>3.59</v>
      </c>
      <c r="AS56">
        <v>4.6399999999999997</v>
      </c>
      <c r="AT56">
        <v>3.15</v>
      </c>
      <c r="AU56">
        <v>3.45</v>
      </c>
      <c r="AV56">
        <v>3.55</v>
      </c>
      <c r="AW56">
        <v>4.2</v>
      </c>
      <c r="AX56">
        <v>4.95</v>
      </c>
      <c r="AY56">
        <v>374</v>
      </c>
      <c r="AZ56">
        <v>55.99</v>
      </c>
      <c r="BA56">
        <v>139</v>
      </c>
      <c r="BC56">
        <v>0.77</v>
      </c>
      <c r="BD56">
        <v>13.31</v>
      </c>
      <c r="BF56">
        <v>0.37</v>
      </c>
    </row>
    <row r="57" spans="1:58" x14ac:dyDescent="0.25">
      <c r="A57" t="s">
        <v>364</v>
      </c>
      <c r="B57" t="s">
        <v>25</v>
      </c>
      <c r="C57" t="s">
        <v>354</v>
      </c>
      <c r="D57" t="s">
        <v>753</v>
      </c>
      <c r="E57">
        <v>10.11</v>
      </c>
      <c r="F57">
        <v>290</v>
      </c>
      <c r="G57">
        <v>21.97</v>
      </c>
      <c r="H57">
        <v>0.93</v>
      </c>
      <c r="I57">
        <v>46.57</v>
      </c>
      <c r="J57">
        <v>17.28</v>
      </c>
      <c r="K57">
        <v>15.06</v>
      </c>
      <c r="L57">
        <v>2.2200000000000002</v>
      </c>
      <c r="M57">
        <v>3.15</v>
      </c>
      <c r="N57">
        <v>19.5</v>
      </c>
      <c r="P57">
        <v>0.42</v>
      </c>
      <c r="Q57">
        <v>0.28000000000000003</v>
      </c>
      <c r="R57">
        <v>2.21</v>
      </c>
      <c r="S57">
        <v>2.06</v>
      </c>
      <c r="T57">
        <v>0.33</v>
      </c>
      <c r="U57">
        <v>135</v>
      </c>
      <c r="W57">
        <v>98.96</v>
      </c>
      <c r="X57">
        <v>338</v>
      </c>
      <c r="Y57">
        <v>146</v>
      </c>
      <c r="Z57">
        <v>12.47</v>
      </c>
      <c r="AA57">
        <v>1127</v>
      </c>
      <c r="AB57">
        <v>4.1500000000000004</v>
      </c>
      <c r="AC57">
        <v>1.02</v>
      </c>
      <c r="AD57">
        <v>0.83</v>
      </c>
      <c r="AE57">
        <v>2.86</v>
      </c>
      <c r="AF57">
        <v>26.05</v>
      </c>
      <c r="AG57">
        <v>1.17</v>
      </c>
      <c r="AH57">
        <v>10.4</v>
      </c>
      <c r="AI57">
        <v>3.3</v>
      </c>
      <c r="AJ57">
        <v>5.08</v>
      </c>
      <c r="AK57">
        <v>17.399999999999999</v>
      </c>
      <c r="AL57">
        <v>4.03</v>
      </c>
      <c r="AM57">
        <v>3.68</v>
      </c>
      <c r="AN57">
        <v>4.78</v>
      </c>
      <c r="AO57">
        <v>0.71</v>
      </c>
      <c r="AP57">
        <v>5.48</v>
      </c>
      <c r="AQ57">
        <v>1.2</v>
      </c>
      <c r="AR57">
        <v>4.1399999999999997</v>
      </c>
      <c r="AS57">
        <v>7.93</v>
      </c>
      <c r="AT57">
        <v>2.86</v>
      </c>
      <c r="AU57">
        <v>5.56</v>
      </c>
      <c r="AV57">
        <v>2.67</v>
      </c>
      <c r="AW57">
        <v>6.52</v>
      </c>
      <c r="AX57">
        <v>6.61</v>
      </c>
      <c r="AY57">
        <v>260</v>
      </c>
      <c r="AZ57">
        <v>21.69</v>
      </c>
      <c r="BA57">
        <v>633</v>
      </c>
      <c r="BC57">
        <v>0.63</v>
      </c>
      <c r="BD57">
        <v>44.98</v>
      </c>
      <c r="BF57">
        <v>117</v>
      </c>
    </row>
    <row r="58" spans="1:58" x14ac:dyDescent="0.25">
      <c r="A58" t="s">
        <v>364</v>
      </c>
      <c r="B58" t="s">
        <v>56</v>
      </c>
      <c r="C58" t="s">
        <v>355</v>
      </c>
      <c r="D58" t="s">
        <v>715</v>
      </c>
      <c r="E58">
        <v>89.88</v>
      </c>
      <c r="F58">
        <v>19</v>
      </c>
      <c r="G58">
        <v>1.36</v>
      </c>
      <c r="H58">
        <v>0.63</v>
      </c>
      <c r="I58">
        <v>1.79</v>
      </c>
      <c r="J58">
        <v>5.12</v>
      </c>
      <c r="K58">
        <v>4.58</v>
      </c>
      <c r="L58">
        <v>0.53</v>
      </c>
      <c r="M58">
        <v>1.22</v>
      </c>
      <c r="N58">
        <v>4.2699999999999996</v>
      </c>
      <c r="P58">
        <v>0.02</v>
      </c>
      <c r="Q58">
        <v>0.02</v>
      </c>
      <c r="R58">
        <v>0.27</v>
      </c>
      <c r="S58">
        <v>0.24</v>
      </c>
      <c r="T58">
        <v>0.12</v>
      </c>
      <c r="U58">
        <v>40.51</v>
      </c>
      <c r="V58">
        <v>8.16</v>
      </c>
      <c r="W58">
        <v>35.090000000000003</v>
      </c>
      <c r="X58">
        <v>41.77</v>
      </c>
      <c r="Y58">
        <v>31.43</v>
      </c>
      <c r="Z58">
        <v>7.44</v>
      </c>
      <c r="AA58">
        <v>422</v>
      </c>
      <c r="AB58">
        <v>0.38</v>
      </c>
      <c r="AC58">
        <v>1.1100000000000001</v>
      </c>
      <c r="AD58">
        <v>0.09</v>
      </c>
      <c r="AE58">
        <v>0.39</v>
      </c>
      <c r="AF58">
        <v>3.35</v>
      </c>
      <c r="AG58">
        <v>0.69</v>
      </c>
      <c r="AH58">
        <v>10.199999999999999</v>
      </c>
      <c r="AI58">
        <v>4.62</v>
      </c>
      <c r="AJ58">
        <v>5.54</v>
      </c>
      <c r="AK58">
        <v>24.08</v>
      </c>
      <c r="AL58">
        <v>3.93</v>
      </c>
      <c r="AM58">
        <v>5.22</v>
      </c>
      <c r="AN58">
        <v>6.52</v>
      </c>
      <c r="AO58">
        <v>0.72</v>
      </c>
      <c r="AP58">
        <v>4.97</v>
      </c>
      <c r="AQ58">
        <v>1</v>
      </c>
      <c r="AR58">
        <v>3.88</v>
      </c>
      <c r="AS58">
        <v>7.21</v>
      </c>
      <c r="AT58">
        <v>2.52</v>
      </c>
      <c r="AU58">
        <v>3.67</v>
      </c>
      <c r="AV58">
        <v>2.2400000000000002</v>
      </c>
      <c r="AW58">
        <v>2.56</v>
      </c>
      <c r="AX58">
        <v>0.69</v>
      </c>
      <c r="AY58">
        <v>373</v>
      </c>
      <c r="AZ58">
        <v>32.51</v>
      </c>
      <c r="BA58">
        <v>192</v>
      </c>
      <c r="BC58">
        <v>0.16</v>
      </c>
      <c r="BD58">
        <v>1.66</v>
      </c>
      <c r="BF58">
        <v>25.64</v>
      </c>
    </row>
    <row r="59" spans="1:58" x14ac:dyDescent="0.25">
      <c r="A59" t="s">
        <v>364</v>
      </c>
      <c r="B59" t="s">
        <v>64</v>
      </c>
      <c r="C59" t="s">
        <v>355</v>
      </c>
      <c r="D59" t="s">
        <v>720</v>
      </c>
      <c r="E59">
        <v>95.08</v>
      </c>
      <c r="F59">
        <v>12</v>
      </c>
      <c r="G59">
        <v>0.86</v>
      </c>
      <c r="H59">
        <v>0.15</v>
      </c>
      <c r="I59">
        <v>1.63</v>
      </c>
      <c r="J59">
        <v>1.85</v>
      </c>
      <c r="K59">
        <v>1.38</v>
      </c>
      <c r="L59">
        <v>0.47</v>
      </c>
      <c r="M59">
        <v>0.43</v>
      </c>
      <c r="N59">
        <v>59.33</v>
      </c>
      <c r="P59">
        <v>0.02</v>
      </c>
      <c r="Q59">
        <v>0.01</v>
      </c>
      <c r="R59">
        <v>0.22</v>
      </c>
      <c r="S59">
        <v>0.32</v>
      </c>
      <c r="T59">
        <v>7.0000000000000007E-2</v>
      </c>
      <c r="U59">
        <v>25.48</v>
      </c>
      <c r="V59">
        <v>6.41</v>
      </c>
      <c r="W59">
        <v>14.67</v>
      </c>
      <c r="X59">
        <v>31.42</v>
      </c>
      <c r="Y59">
        <v>14.01</v>
      </c>
      <c r="Z59">
        <v>4.6900000000000004</v>
      </c>
      <c r="AA59">
        <v>121</v>
      </c>
      <c r="AB59">
        <v>4.42</v>
      </c>
      <c r="AC59">
        <v>0.54</v>
      </c>
      <c r="AD59">
        <v>0.28999999999999998</v>
      </c>
      <c r="AE59">
        <v>0.45</v>
      </c>
      <c r="AG59">
        <v>0.85</v>
      </c>
      <c r="AH59">
        <v>11.04</v>
      </c>
      <c r="AI59">
        <v>3.82</v>
      </c>
      <c r="AJ59">
        <v>4.42</v>
      </c>
      <c r="AK59">
        <v>20.68</v>
      </c>
      <c r="AL59">
        <v>4.26</v>
      </c>
      <c r="AM59">
        <v>5.47</v>
      </c>
      <c r="AN59">
        <v>7.13</v>
      </c>
      <c r="AO59">
        <v>0.56999999999999995</v>
      </c>
      <c r="AP59">
        <v>6.46</v>
      </c>
      <c r="AQ59">
        <v>1.08</v>
      </c>
      <c r="AR59">
        <v>4.4000000000000004</v>
      </c>
      <c r="AS59">
        <v>5.32</v>
      </c>
      <c r="AT59">
        <v>2.87</v>
      </c>
      <c r="AU59">
        <v>4.7300000000000004</v>
      </c>
      <c r="AV59">
        <v>1.98</v>
      </c>
      <c r="AW59">
        <v>4.67</v>
      </c>
      <c r="AX59">
        <v>0.85</v>
      </c>
      <c r="AY59">
        <v>154</v>
      </c>
      <c r="AZ59">
        <v>2.76</v>
      </c>
      <c r="BA59">
        <v>57.1</v>
      </c>
      <c r="BC59">
        <v>0.68</v>
      </c>
      <c r="BD59">
        <v>0.69</v>
      </c>
      <c r="BF59">
        <v>356</v>
      </c>
    </row>
    <row r="60" spans="1:58" x14ac:dyDescent="0.25">
      <c r="A60" t="s">
        <v>364</v>
      </c>
      <c r="B60" t="s">
        <v>229</v>
      </c>
      <c r="C60" t="s">
        <v>359</v>
      </c>
      <c r="D60" t="s">
        <v>612</v>
      </c>
      <c r="E60">
        <v>70.010000000000005</v>
      </c>
      <c r="F60">
        <v>161</v>
      </c>
      <c r="G60">
        <v>18.829999999999998</v>
      </c>
      <c r="H60">
        <v>9.5</v>
      </c>
      <c r="M60">
        <v>0.63</v>
      </c>
      <c r="P60">
        <v>0.33</v>
      </c>
      <c r="Q60">
        <v>0.09</v>
      </c>
      <c r="R60">
        <v>4.38</v>
      </c>
      <c r="S60">
        <v>0.78</v>
      </c>
      <c r="T60">
        <v>0.28000000000000003</v>
      </c>
      <c r="U60">
        <v>8.15</v>
      </c>
      <c r="W60">
        <v>6.58</v>
      </c>
      <c r="X60">
        <v>143</v>
      </c>
      <c r="Y60">
        <v>8.9</v>
      </c>
      <c r="Z60">
        <v>40.33</v>
      </c>
      <c r="AA60">
        <v>243</v>
      </c>
      <c r="AB60">
        <v>0.79</v>
      </c>
      <c r="AC60">
        <v>0.02</v>
      </c>
      <c r="AD60">
        <v>0.21</v>
      </c>
      <c r="AE60">
        <v>0.8</v>
      </c>
      <c r="AG60">
        <v>1.27</v>
      </c>
      <c r="AH60">
        <v>8.7899999999999991</v>
      </c>
      <c r="AI60">
        <v>4.71</v>
      </c>
      <c r="AJ60">
        <v>4.12</v>
      </c>
      <c r="AK60">
        <v>13.85</v>
      </c>
      <c r="AL60">
        <v>5.15</v>
      </c>
      <c r="AM60">
        <v>5.3</v>
      </c>
      <c r="AN60">
        <v>5.39</v>
      </c>
      <c r="AO60">
        <v>1.46</v>
      </c>
      <c r="AP60">
        <v>4.57</v>
      </c>
      <c r="AQ60">
        <v>2.82</v>
      </c>
      <c r="AR60">
        <v>4.37</v>
      </c>
      <c r="AS60">
        <v>8.4700000000000006</v>
      </c>
      <c r="AT60">
        <v>2.65</v>
      </c>
      <c r="AU60">
        <v>4.3499999999999996</v>
      </c>
      <c r="AV60">
        <v>4.4800000000000004</v>
      </c>
      <c r="AW60">
        <v>5.61</v>
      </c>
      <c r="AX60">
        <v>5.84</v>
      </c>
      <c r="AY60">
        <v>8284</v>
      </c>
      <c r="AZ60">
        <v>8200</v>
      </c>
      <c r="BA60">
        <v>1189</v>
      </c>
      <c r="BB60">
        <v>45.1</v>
      </c>
    </row>
    <row r="61" spans="1:58" x14ac:dyDescent="0.25">
      <c r="A61" t="s">
        <v>364</v>
      </c>
      <c r="B61" t="s">
        <v>60</v>
      </c>
      <c r="C61" t="s">
        <v>355</v>
      </c>
      <c r="D61" t="s">
        <v>868</v>
      </c>
      <c r="E61">
        <v>89.82</v>
      </c>
      <c r="F61">
        <v>31</v>
      </c>
      <c r="G61">
        <v>0.86</v>
      </c>
      <c r="H61">
        <v>0.3</v>
      </c>
      <c r="I61">
        <v>5.82</v>
      </c>
      <c r="J61">
        <v>1.6</v>
      </c>
      <c r="K61">
        <v>1.6</v>
      </c>
      <c r="L61">
        <v>1.01</v>
      </c>
      <c r="M61">
        <v>0.6</v>
      </c>
      <c r="N61">
        <v>30.41</v>
      </c>
      <c r="Q61">
        <v>0.02</v>
      </c>
      <c r="R61">
        <v>0.62</v>
      </c>
      <c r="S61">
        <v>0.2</v>
      </c>
      <c r="T61">
        <v>0.09</v>
      </c>
      <c r="U61">
        <v>17.72</v>
      </c>
      <c r="V61">
        <v>8.73</v>
      </c>
      <c r="W61">
        <v>18.75</v>
      </c>
      <c r="X61">
        <v>24.57</v>
      </c>
      <c r="Y61">
        <v>9.93</v>
      </c>
      <c r="Z61">
        <v>5.57</v>
      </c>
      <c r="AA61">
        <v>244</v>
      </c>
      <c r="AB61">
        <v>0.49</v>
      </c>
      <c r="AC61">
        <v>0.15</v>
      </c>
      <c r="AD61">
        <v>0.15</v>
      </c>
      <c r="AE61">
        <v>0.25</v>
      </c>
      <c r="AF61">
        <v>3.3</v>
      </c>
      <c r="AG61">
        <v>0.57999999999999996</v>
      </c>
      <c r="AH61">
        <v>12.44</v>
      </c>
      <c r="AI61">
        <v>4.05</v>
      </c>
      <c r="AJ61">
        <v>5.39</v>
      </c>
      <c r="AK61">
        <v>16.12</v>
      </c>
      <c r="AL61">
        <v>3.89</v>
      </c>
      <c r="AM61">
        <v>5.23</v>
      </c>
      <c r="AN61">
        <v>8.91</v>
      </c>
      <c r="AO61">
        <v>1.06</v>
      </c>
      <c r="AP61">
        <v>5.37</v>
      </c>
      <c r="AQ61">
        <v>1.22</v>
      </c>
      <c r="AR61">
        <v>5.57</v>
      </c>
      <c r="AS61">
        <v>7.35</v>
      </c>
      <c r="AT61">
        <v>3.98</v>
      </c>
      <c r="AU61">
        <v>3.57</v>
      </c>
      <c r="AV61">
        <v>3.25</v>
      </c>
      <c r="AW61">
        <v>3.76</v>
      </c>
      <c r="AX61">
        <v>3.96</v>
      </c>
      <c r="AY61">
        <v>258</v>
      </c>
      <c r="AZ61">
        <v>66.45</v>
      </c>
      <c r="BA61">
        <v>99.29</v>
      </c>
      <c r="BC61">
        <v>1.98</v>
      </c>
      <c r="BD61">
        <v>2.64</v>
      </c>
      <c r="BE61">
        <v>83.83</v>
      </c>
      <c r="BF61">
        <v>140</v>
      </c>
    </row>
    <row r="62" spans="1:58" x14ac:dyDescent="0.25">
      <c r="A62" t="s">
        <v>364</v>
      </c>
      <c r="B62" t="s">
        <v>98</v>
      </c>
      <c r="C62" t="s">
        <v>355</v>
      </c>
      <c r="D62" t="s">
        <v>794</v>
      </c>
      <c r="E62">
        <v>90.97</v>
      </c>
      <c r="F62">
        <v>27</v>
      </c>
      <c r="G62">
        <v>1.83</v>
      </c>
      <c r="H62">
        <v>0.46</v>
      </c>
      <c r="I62">
        <v>3.63</v>
      </c>
      <c r="J62">
        <v>2.27</v>
      </c>
      <c r="K62">
        <v>1.59</v>
      </c>
      <c r="L62">
        <v>0.68</v>
      </c>
      <c r="M62">
        <v>0.84</v>
      </c>
      <c r="N62">
        <v>51.83</v>
      </c>
      <c r="P62">
        <v>0.16</v>
      </c>
      <c r="Q62">
        <v>0.04</v>
      </c>
      <c r="R62">
        <v>0.41</v>
      </c>
      <c r="S62">
        <v>0.28999999999999998</v>
      </c>
      <c r="V62">
        <v>120</v>
      </c>
      <c r="W62">
        <v>15.73</v>
      </c>
      <c r="X62">
        <v>37.97</v>
      </c>
      <c r="Y62">
        <v>27.07</v>
      </c>
      <c r="Z62">
        <v>1.74</v>
      </c>
      <c r="AA62">
        <v>188</v>
      </c>
      <c r="AB62">
        <v>0.36</v>
      </c>
      <c r="AC62">
        <v>0.3</v>
      </c>
      <c r="AD62">
        <v>0.08</v>
      </c>
      <c r="AE62">
        <v>0.32</v>
      </c>
      <c r="AY62">
        <v>85.41</v>
      </c>
      <c r="AZ62">
        <v>47.99</v>
      </c>
      <c r="BA62">
        <v>217</v>
      </c>
      <c r="BC62">
        <v>0.88</v>
      </c>
      <c r="BD62">
        <v>0.09</v>
      </c>
      <c r="BF62">
        <v>311</v>
      </c>
    </row>
    <row r="63" spans="1:58" x14ac:dyDescent="0.25">
      <c r="A63" t="s">
        <v>364</v>
      </c>
      <c r="B63" t="s">
        <v>316</v>
      </c>
      <c r="C63" t="s">
        <v>355</v>
      </c>
      <c r="D63" t="s">
        <v>781</v>
      </c>
      <c r="E63">
        <v>95.2</v>
      </c>
      <c r="F63">
        <v>10</v>
      </c>
      <c r="G63">
        <v>0.46</v>
      </c>
      <c r="H63">
        <v>0.15</v>
      </c>
      <c r="I63">
        <v>1.64</v>
      </c>
      <c r="J63">
        <v>2.15</v>
      </c>
      <c r="K63">
        <v>1.72</v>
      </c>
      <c r="L63">
        <v>0.43</v>
      </c>
      <c r="M63">
        <v>0.41</v>
      </c>
      <c r="N63">
        <v>4.5999999999999996</v>
      </c>
      <c r="P63">
        <v>0.03</v>
      </c>
      <c r="Q63">
        <v>0.01</v>
      </c>
      <c r="R63">
        <v>0.13</v>
      </c>
      <c r="S63">
        <v>0.46</v>
      </c>
      <c r="T63">
        <v>0.01</v>
      </c>
      <c r="U63">
        <v>38.64</v>
      </c>
      <c r="V63">
        <v>5.55</v>
      </c>
      <c r="W63">
        <v>18.57</v>
      </c>
      <c r="X63">
        <v>14.27</v>
      </c>
      <c r="Y63">
        <v>10.64</v>
      </c>
      <c r="Z63">
        <v>1.51</v>
      </c>
      <c r="AA63">
        <v>141</v>
      </c>
      <c r="AB63">
        <v>0.28999999999999998</v>
      </c>
      <c r="AG63">
        <v>1.75</v>
      </c>
      <c r="AH63">
        <v>10.49</v>
      </c>
      <c r="AI63">
        <v>4.4000000000000004</v>
      </c>
      <c r="AJ63">
        <v>5.45</v>
      </c>
      <c r="AK63">
        <v>16.14</v>
      </c>
      <c r="AL63">
        <v>4.57</v>
      </c>
      <c r="AM63">
        <v>4.8499999999999996</v>
      </c>
      <c r="AN63">
        <v>8.07</v>
      </c>
      <c r="AO63">
        <v>0.5</v>
      </c>
      <c r="AP63">
        <v>6.13</v>
      </c>
      <c r="AQ63">
        <v>1.1200000000000001</v>
      </c>
      <c r="AR63">
        <v>4.95</v>
      </c>
      <c r="AS63">
        <v>7.51</v>
      </c>
      <c r="AT63">
        <v>3.42</v>
      </c>
      <c r="AU63">
        <v>4.25</v>
      </c>
      <c r="AV63">
        <v>1.4</v>
      </c>
      <c r="AW63">
        <v>3.92</v>
      </c>
      <c r="AX63">
        <v>1.75</v>
      </c>
      <c r="AY63">
        <v>46.04</v>
      </c>
      <c r="AZ63">
        <v>4.08</v>
      </c>
      <c r="BA63">
        <v>69.260000000000005</v>
      </c>
      <c r="BC63">
        <v>0.42</v>
      </c>
      <c r="BD63">
        <v>0.66</v>
      </c>
      <c r="BF63">
        <v>27.64</v>
      </c>
    </row>
    <row r="64" spans="1:58" x14ac:dyDescent="0.25">
      <c r="A64" t="s">
        <v>364</v>
      </c>
      <c r="B64" t="s">
        <v>84</v>
      </c>
      <c r="C64" t="s">
        <v>355</v>
      </c>
      <c r="D64" t="s">
        <v>779</v>
      </c>
      <c r="E64">
        <v>91.1</v>
      </c>
      <c r="F64">
        <v>19</v>
      </c>
      <c r="G64">
        <v>1.47</v>
      </c>
      <c r="H64">
        <v>0.23</v>
      </c>
      <c r="I64">
        <v>2.5099999999999998</v>
      </c>
      <c r="J64">
        <v>3.87</v>
      </c>
      <c r="K64">
        <v>3.15</v>
      </c>
      <c r="L64">
        <v>0.72</v>
      </c>
      <c r="M64">
        <v>0.82</v>
      </c>
      <c r="N64">
        <v>55.08</v>
      </c>
      <c r="P64">
        <v>0.06</v>
      </c>
      <c r="Q64">
        <v>0.05</v>
      </c>
      <c r="R64">
        <v>0.3</v>
      </c>
      <c r="S64">
        <v>0.33</v>
      </c>
      <c r="T64">
        <v>0.06</v>
      </c>
      <c r="U64">
        <v>53.1</v>
      </c>
      <c r="V64">
        <v>46.89</v>
      </c>
      <c r="W64">
        <v>25.19</v>
      </c>
      <c r="X64">
        <v>41.42</v>
      </c>
      <c r="Y64">
        <v>35.81</v>
      </c>
      <c r="Z64">
        <v>12.98</v>
      </c>
      <c r="AA64">
        <v>323</v>
      </c>
      <c r="AB64">
        <v>1.75</v>
      </c>
      <c r="AC64">
        <v>0.25</v>
      </c>
      <c r="AD64">
        <v>0.08</v>
      </c>
      <c r="AE64">
        <v>0.26</v>
      </c>
      <c r="AF64">
        <v>6.22</v>
      </c>
      <c r="AG64">
        <v>1.26</v>
      </c>
      <c r="AH64">
        <v>8.3699999999999992</v>
      </c>
      <c r="AI64">
        <v>4.88</v>
      </c>
      <c r="AJ64">
        <v>4.41</v>
      </c>
      <c r="AK64">
        <v>8.68</v>
      </c>
      <c r="AL64">
        <v>4.7699999999999996</v>
      </c>
      <c r="AM64">
        <v>5.71</v>
      </c>
      <c r="AN64">
        <v>5.04</v>
      </c>
      <c r="AO64">
        <v>1.0900000000000001</v>
      </c>
      <c r="AP64">
        <v>6.94</v>
      </c>
      <c r="AQ64">
        <v>1.52</v>
      </c>
      <c r="AR64">
        <v>5.09</v>
      </c>
      <c r="AS64">
        <v>7.78</v>
      </c>
      <c r="AT64">
        <v>4.6100000000000003</v>
      </c>
      <c r="AU64">
        <v>3.09</v>
      </c>
      <c r="AV64">
        <v>3.16</v>
      </c>
      <c r="AW64">
        <v>6.25</v>
      </c>
      <c r="AX64">
        <v>1.26</v>
      </c>
      <c r="AY64">
        <v>137</v>
      </c>
      <c r="AZ64">
        <v>7.16</v>
      </c>
      <c r="BA64">
        <v>39.94</v>
      </c>
      <c r="BC64">
        <v>0.04</v>
      </c>
      <c r="BD64">
        <v>0.84</v>
      </c>
      <c r="BE64">
        <v>413</v>
      </c>
      <c r="BF64">
        <v>124</v>
      </c>
    </row>
    <row r="65" spans="1:58" x14ac:dyDescent="0.25">
      <c r="A65" t="s">
        <v>364</v>
      </c>
      <c r="B65" t="s">
        <v>22</v>
      </c>
      <c r="C65" t="s">
        <v>354</v>
      </c>
      <c r="D65" t="s">
        <v>749</v>
      </c>
      <c r="E65">
        <v>9.18</v>
      </c>
      <c r="F65">
        <v>323</v>
      </c>
      <c r="G65">
        <v>22.43</v>
      </c>
      <c r="H65">
        <v>1.69</v>
      </c>
      <c r="I65">
        <v>51.61</v>
      </c>
      <c r="J65">
        <v>11.91</v>
      </c>
      <c r="K65">
        <v>7.65</v>
      </c>
      <c r="L65">
        <v>4.26</v>
      </c>
      <c r="M65">
        <v>3.19</v>
      </c>
      <c r="N65">
        <v>1.68</v>
      </c>
      <c r="P65">
        <v>0.2</v>
      </c>
      <c r="Q65">
        <v>0.09</v>
      </c>
      <c r="R65">
        <v>1.72</v>
      </c>
      <c r="S65">
        <v>3.3</v>
      </c>
      <c r="T65">
        <v>0.18</v>
      </c>
      <c r="U65">
        <v>87.86</v>
      </c>
      <c r="W65">
        <v>46.58</v>
      </c>
      <c r="X65">
        <v>326</v>
      </c>
      <c r="Y65">
        <v>174</v>
      </c>
      <c r="Z65">
        <v>21.59</v>
      </c>
      <c r="AA65">
        <v>1169</v>
      </c>
      <c r="AB65">
        <v>5.15</v>
      </c>
      <c r="AC65">
        <v>1.43</v>
      </c>
      <c r="AD65">
        <v>0.5</v>
      </c>
      <c r="AE65">
        <v>3.19</v>
      </c>
      <c r="AF65">
        <v>21.06</v>
      </c>
      <c r="AG65">
        <v>1.1599999999999999</v>
      </c>
      <c r="AH65">
        <v>11.1</v>
      </c>
      <c r="AI65">
        <v>3.13</v>
      </c>
      <c r="AJ65">
        <v>5.0199999999999996</v>
      </c>
      <c r="AK65">
        <v>17.5</v>
      </c>
      <c r="AL65">
        <v>3.89</v>
      </c>
      <c r="AM65">
        <v>3.31</v>
      </c>
      <c r="AN65">
        <v>4.54</v>
      </c>
      <c r="AO65">
        <v>0.44</v>
      </c>
      <c r="AP65">
        <v>5.81</v>
      </c>
      <c r="AQ65">
        <v>1.85</v>
      </c>
      <c r="AR65">
        <v>4.72</v>
      </c>
      <c r="AS65">
        <v>8.57</v>
      </c>
      <c r="AT65">
        <v>3.27</v>
      </c>
      <c r="AU65">
        <v>7.29</v>
      </c>
      <c r="AV65">
        <v>2.75</v>
      </c>
      <c r="AW65">
        <v>6.47</v>
      </c>
      <c r="AX65">
        <v>6.02</v>
      </c>
      <c r="AY65">
        <v>284</v>
      </c>
      <c r="AZ65">
        <v>185</v>
      </c>
      <c r="BA65">
        <v>748</v>
      </c>
      <c r="BC65">
        <v>1.04</v>
      </c>
      <c r="BD65">
        <v>49.51</v>
      </c>
      <c r="BF65">
        <v>10.119999999999999</v>
      </c>
    </row>
    <row r="66" spans="1:58" x14ac:dyDescent="0.25">
      <c r="A66" t="s">
        <v>364</v>
      </c>
      <c r="B66" t="s">
        <v>68</v>
      </c>
      <c r="C66" t="s">
        <v>355</v>
      </c>
      <c r="D66" t="s">
        <v>724</v>
      </c>
      <c r="E66">
        <v>85.58</v>
      </c>
      <c r="F66">
        <v>47</v>
      </c>
      <c r="G66">
        <v>2.13</v>
      </c>
      <c r="H66">
        <v>0.5</v>
      </c>
      <c r="I66">
        <v>8.4600000000000009</v>
      </c>
      <c r="J66">
        <v>3.14</v>
      </c>
      <c r="K66">
        <v>2.8</v>
      </c>
      <c r="L66">
        <v>0.35</v>
      </c>
      <c r="M66">
        <v>0.2</v>
      </c>
      <c r="N66">
        <v>18.03</v>
      </c>
      <c r="Q66">
        <v>0.04</v>
      </c>
      <c r="R66">
        <v>0.26</v>
      </c>
      <c r="S66">
        <v>0.4</v>
      </c>
      <c r="T66">
        <v>0.12</v>
      </c>
      <c r="U66">
        <v>21.51</v>
      </c>
      <c r="V66">
        <v>51.27</v>
      </c>
      <c r="W66">
        <v>38.83</v>
      </c>
      <c r="X66">
        <v>52.33</v>
      </c>
      <c r="Y66">
        <v>40.81</v>
      </c>
      <c r="Z66">
        <v>4.82</v>
      </c>
      <c r="AA66">
        <v>146</v>
      </c>
      <c r="AB66">
        <v>0.77</v>
      </c>
      <c r="AC66">
        <v>0.48</v>
      </c>
      <c r="AD66">
        <v>0.11</v>
      </c>
      <c r="AE66">
        <v>0.44</v>
      </c>
      <c r="AF66">
        <v>3.53</v>
      </c>
      <c r="AG66">
        <v>0.97</v>
      </c>
      <c r="AH66">
        <v>8.99</v>
      </c>
      <c r="AI66">
        <v>2.63</v>
      </c>
      <c r="AJ66">
        <v>4.66</v>
      </c>
      <c r="AK66">
        <v>10.87</v>
      </c>
      <c r="AL66">
        <v>5.68</v>
      </c>
      <c r="AM66">
        <v>5.23</v>
      </c>
      <c r="AN66">
        <v>7.06</v>
      </c>
      <c r="AO66">
        <v>1.25</v>
      </c>
      <c r="AP66">
        <v>6.33</v>
      </c>
      <c r="AQ66">
        <v>0.84</v>
      </c>
      <c r="AR66">
        <v>5</v>
      </c>
      <c r="AS66">
        <v>7.68</v>
      </c>
      <c r="AT66">
        <v>5.28</v>
      </c>
      <c r="AU66">
        <v>3.91</v>
      </c>
      <c r="AV66">
        <v>2.44</v>
      </c>
      <c r="AW66">
        <v>7.27</v>
      </c>
      <c r="AX66">
        <v>7.96</v>
      </c>
      <c r="AY66">
        <v>42.07</v>
      </c>
      <c r="AZ66">
        <v>24.91</v>
      </c>
      <c r="BA66">
        <v>201</v>
      </c>
      <c r="BC66">
        <v>0.84</v>
      </c>
      <c r="BD66">
        <v>7.2</v>
      </c>
      <c r="BF66">
        <v>108</v>
      </c>
    </row>
    <row r="67" spans="1:58" x14ac:dyDescent="0.25">
      <c r="A67" t="s">
        <v>364</v>
      </c>
      <c r="B67" t="s">
        <v>271</v>
      </c>
      <c r="C67" t="s">
        <v>353</v>
      </c>
      <c r="D67" t="s">
        <v>869</v>
      </c>
      <c r="E67">
        <v>69.58</v>
      </c>
      <c r="F67">
        <v>108</v>
      </c>
      <c r="G67">
        <v>1.27</v>
      </c>
      <c r="H67">
        <v>0.33</v>
      </c>
      <c r="I67">
        <v>23.93</v>
      </c>
      <c r="J67">
        <v>3.94</v>
      </c>
      <c r="K67">
        <v>2.5299999999999998</v>
      </c>
      <c r="L67">
        <v>1.41</v>
      </c>
      <c r="M67">
        <v>0.95</v>
      </c>
      <c r="N67">
        <v>1.85</v>
      </c>
      <c r="P67">
        <v>0.06</v>
      </c>
      <c r="Q67">
        <v>0.04</v>
      </c>
      <c r="R67">
        <v>0.69</v>
      </c>
      <c r="S67">
        <v>0.56000000000000005</v>
      </c>
      <c r="T67">
        <v>0.09</v>
      </c>
      <c r="U67">
        <v>14.44</v>
      </c>
      <c r="V67">
        <v>22.2</v>
      </c>
      <c r="W67">
        <v>28.93</v>
      </c>
      <c r="X67">
        <v>37.6</v>
      </c>
      <c r="Y67">
        <v>21.05</v>
      </c>
      <c r="Z67">
        <v>29.04</v>
      </c>
      <c r="AA67">
        <v>329</v>
      </c>
      <c r="AB67">
        <v>0.51</v>
      </c>
      <c r="AC67">
        <v>0.2</v>
      </c>
      <c r="AD67">
        <v>0.15</v>
      </c>
      <c r="AE67">
        <v>0.14000000000000001</v>
      </c>
      <c r="AG67">
        <v>1.46</v>
      </c>
      <c r="AH67">
        <v>14.2</v>
      </c>
      <c r="AI67">
        <v>5.21</v>
      </c>
      <c r="AJ67">
        <v>5.26</v>
      </c>
      <c r="AK67">
        <v>10.6</v>
      </c>
      <c r="AL67">
        <v>3.98</v>
      </c>
      <c r="AM67">
        <v>5.46</v>
      </c>
      <c r="AN67">
        <v>8.18</v>
      </c>
      <c r="AO67">
        <v>1.1200000000000001</v>
      </c>
      <c r="AP67">
        <v>5.72</v>
      </c>
      <c r="AQ67">
        <v>1.67</v>
      </c>
      <c r="AR67">
        <v>4.42</v>
      </c>
      <c r="AS67">
        <v>7.23</v>
      </c>
      <c r="AT67">
        <v>2.69</v>
      </c>
      <c r="AU67">
        <v>5.35</v>
      </c>
      <c r="AV67">
        <v>1.86</v>
      </c>
      <c r="AW67">
        <v>4</v>
      </c>
      <c r="AX67">
        <v>3.19</v>
      </c>
      <c r="AY67">
        <v>101</v>
      </c>
      <c r="AZ67">
        <v>9.35</v>
      </c>
      <c r="BA67">
        <v>180</v>
      </c>
      <c r="BC67">
        <v>4.03</v>
      </c>
      <c r="BD67">
        <v>19.88</v>
      </c>
      <c r="BF67">
        <v>11.12</v>
      </c>
    </row>
    <row r="68" spans="1:58" x14ac:dyDescent="0.25">
      <c r="A68" t="s">
        <v>379</v>
      </c>
      <c r="B68" t="s">
        <v>475</v>
      </c>
      <c r="C68" t="s">
        <v>354</v>
      </c>
      <c r="D68" t="s">
        <v>473</v>
      </c>
      <c r="E68">
        <v>9.1999999999999993</v>
      </c>
      <c r="F68">
        <v>330.78</v>
      </c>
      <c r="G68">
        <v>21.7</v>
      </c>
      <c r="H68">
        <v>1.56</v>
      </c>
      <c r="I68">
        <v>55.23</v>
      </c>
      <c r="J68">
        <v>9.06</v>
      </c>
      <c r="K68">
        <v>6.67</v>
      </c>
      <c r="L68">
        <v>2.39</v>
      </c>
      <c r="M68">
        <v>3.26</v>
      </c>
      <c r="N68">
        <v>3</v>
      </c>
      <c r="P68">
        <v>0.45</v>
      </c>
      <c r="Q68">
        <v>0.11</v>
      </c>
      <c r="R68">
        <v>2.09</v>
      </c>
      <c r="S68">
        <v>1.27</v>
      </c>
      <c r="T68">
        <v>0.24</v>
      </c>
      <c r="U68">
        <v>108</v>
      </c>
      <c r="W68">
        <v>71.73</v>
      </c>
      <c r="X68">
        <v>328</v>
      </c>
      <c r="Y68">
        <v>119</v>
      </c>
      <c r="Z68">
        <v>18.010000000000002</v>
      </c>
      <c r="AA68">
        <v>1395</v>
      </c>
      <c r="AB68">
        <v>3.9</v>
      </c>
      <c r="AC68">
        <v>1.1200000000000001</v>
      </c>
      <c r="AD68">
        <v>1.1399999999999999</v>
      </c>
      <c r="AE68">
        <v>2.63</v>
      </c>
      <c r="AF68">
        <v>14.36</v>
      </c>
      <c r="AY68">
        <v>257</v>
      </c>
      <c r="AZ68">
        <v>89.94</v>
      </c>
      <c r="BA68">
        <v>651</v>
      </c>
      <c r="BC68">
        <v>2.08</v>
      </c>
      <c r="BD68">
        <v>48.53</v>
      </c>
      <c r="BF68">
        <v>127</v>
      </c>
    </row>
    <row r="69" spans="1:58" x14ac:dyDescent="0.25">
      <c r="A69" t="s">
        <v>364</v>
      </c>
      <c r="B69" t="s">
        <v>182</v>
      </c>
      <c r="C69" t="s">
        <v>357</v>
      </c>
      <c r="D69" t="s">
        <v>812</v>
      </c>
      <c r="E69">
        <v>82.41</v>
      </c>
      <c r="F69">
        <v>65</v>
      </c>
      <c r="G69">
        <v>14.85</v>
      </c>
      <c r="H69">
        <v>0.56000000000000005</v>
      </c>
      <c r="M69">
        <v>0.94</v>
      </c>
      <c r="O69">
        <v>1.24</v>
      </c>
      <c r="P69">
        <v>0.01</v>
      </c>
      <c r="Q69">
        <v>0.03</v>
      </c>
      <c r="R69">
        <v>1.03</v>
      </c>
      <c r="S69">
        <v>1.68</v>
      </c>
      <c r="T69">
        <v>0.1</v>
      </c>
      <c r="U69">
        <v>15.37</v>
      </c>
      <c r="W69">
        <v>37.81</v>
      </c>
      <c r="X69">
        <v>189</v>
      </c>
      <c r="Y69">
        <v>45.93</v>
      </c>
      <c r="Z69">
        <v>188</v>
      </c>
      <c r="AA69">
        <v>141</v>
      </c>
      <c r="AB69">
        <v>0.73</v>
      </c>
      <c r="AC69">
        <v>0.03</v>
      </c>
      <c r="AD69">
        <v>0.32</v>
      </c>
      <c r="AE69">
        <v>1.1000000000000001</v>
      </c>
      <c r="AF69">
        <v>46.95</v>
      </c>
      <c r="AG69">
        <v>0.87</v>
      </c>
      <c r="AH69">
        <v>8.84</v>
      </c>
      <c r="AI69">
        <v>4.9000000000000004</v>
      </c>
      <c r="AJ69">
        <v>4.16</v>
      </c>
      <c r="AK69">
        <v>14.31</v>
      </c>
      <c r="AL69">
        <v>3.52</v>
      </c>
      <c r="AM69">
        <v>5.94</v>
      </c>
      <c r="AN69">
        <v>5.25</v>
      </c>
      <c r="AO69">
        <v>1.77</v>
      </c>
      <c r="AP69">
        <v>5.0599999999999996</v>
      </c>
      <c r="AQ69">
        <v>3.43</v>
      </c>
      <c r="AR69">
        <v>4.55</v>
      </c>
      <c r="AS69">
        <v>7.72</v>
      </c>
      <c r="AT69">
        <v>3.79</v>
      </c>
      <c r="AU69">
        <v>4.5999999999999996</v>
      </c>
      <c r="AV69">
        <v>2.0299999999999998</v>
      </c>
      <c r="AW69">
        <v>7.49</v>
      </c>
      <c r="AX69">
        <v>7.69</v>
      </c>
      <c r="AY69">
        <v>121</v>
      </c>
      <c r="AZ69">
        <v>76.53</v>
      </c>
      <c r="BA69">
        <v>101</v>
      </c>
      <c r="BB69">
        <v>70.8</v>
      </c>
    </row>
    <row r="70" spans="1:58" x14ac:dyDescent="0.25">
      <c r="A70" t="s">
        <v>364</v>
      </c>
      <c r="B70" t="s">
        <v>262</v>
      </c>
      <c r="C70" t="s">
        <v>362</v>
      </c>
      <c r="D70" t="s">
        <v>603</v>
      </c>
      <c r="E70">
        <v>10.14</v>
      </c>
      <c r="F70">
        <v>281</v>
      </c>
      <c r="G70">
        <v>7.46</v>
      </c>
      <c r="H70">
        <v>5.04</v>
      </c>
      <c r="I70">
        <v>49.65</v>
      </c>
      <c r="J70">
        <v>21.76</v>
      </c>
      <c r="K70">
        <v>19.13</v>
      </c>
      <c r="L70">
        <v>2.63</v>
      </c>
      <c r="M70">
        <v>5.95</v>
      </c>
      <c r="N70">
        <v>9.1300000000000008</v>
      </c>
      <c r="P70">
        <v>0.05</v>
      </c>
      <c r="Q70">
        <v>0.01</v>
      </c>
      <c r="R70">
        <v>1.58</v>
      </c>
      <c r="S70">
        <v>0.11</v>
      </c>
      <c r="T70">
        <v>0.13</v>
      </c>
      <c r="U70">
        <v>14.31</v>
      </c>
      <c r="W70">
        <v>110</v>
      </c>
      <c r="X70">
        <v>296</v>
      </c>
      <c r="Y70">
        <v>238</v>
      </c>
      <c r="Z70">
        <v>26.01</v>
      </c>
      <c r="AA70">
        <v>2445</v>
      </c>
      <c r="AB70">
        <v>46</v>
      </c>
      <c r="AC70">
        <v>6.91</v>
      </c>
      <c r="AD70">
        <v>0.45</v>
      </c>
      <c r="AE70">
        <v>2.52</v>
      </c>
      <c r="AF70">
        <v>5.28</v>
      </c>
      <c r="AG70">
        <v>1.86</v>
      </c>
      <c r="AH70">
        <v>15.08</v>
      </c>
      <c r="AI70">
        <v>4.25</v>
      </c>
      <c r="AJ70">
        <v>3.98</v>
      </c>
      <c r="AK70">
        <v>13.67</v>
      </c>
      <c r="AL70">
        <v>2.5299999999999998</v>
      </c>
      <c r="AM70">
        <v>4.7300000000000004</v>
      </c>
      <c r="AN70">
        <v>3.7</v>
      </c>
      <c r="AO70">
        <v>0.9</v>
      </c>
      <c r="AP70">
        <v>5.91</v>
      </c>
      <c r="AQ70">
        <v>0.89</v>
      </c>
      <c r="AR70">
        <v>4.8499999999999996</v>
      </c>
      <c r="AS70">
        <v>8.77</v>
      </c>
      <c r="AT70">
        <v>3.41</v>
      </c>
      <c r="AU70">
        <v>6.12</v>
      </c>
      <c r="AV70">
        <v>1.91</v>
      </c>
      <c r="AW70">
        <v>4.01</v>
      </c>
      <c r="AX70">
        <v>5.59</v>
      </c>
      <c r="AY70">
        <v>1703</v>
      </c>
      <c r="AZ70">
        <v>375</v>
      </c>
      <c r="BA70">
        <v>1954</v>
      </c>
      <c r="BC70">
        <v>1.2</v>
      </c>
      <c r="BD70">
        <v>42.78</v>
      </c>
      <c r="BF70">
        <v>54.82</v>
      </c>
    </row>
    <row r="71" spans="1:58" x14ac:dyDescent="0.25">
      <c r="A71" t="s">
        <v>366</v>
      </c>
      <c r="B71">
        <v>11020003</v>
      </c>
      <c r="C71" t="s">
        <v>352</v>
      </c>
      <c r="D71" t="s">
        <v>378</v>
      </c>
      <c r="E71">
        <v>31.3</v>
      </c>
      <c r="F71">
        <v>302</v>
      </c>
      <c r="G71">
        <v>8</v>
      </c>
      <c r="H71">
        <v>9.9</v>
      </c>
      <c r="I71">
        <v>48.4</v>
      </c>
      <c r="P71">
        <v>0.16</v>
      </c>
      <c r="Q71">
        <v>0.02</v>
      </c>
      <c r="R71">
        <v>1.3</v>
      </c>
      <c r="T71">
        <v>0.08</v>
      </c>
      <c r="U71">
        <v>25.5</v>
      </c>
      <c r="V71">
        <v>0.7</v>
      </c>
      <c r="W71">
        <v>91.4</v>
      </c>
      <c r="AB71">
        <v>1.8</v>
      </c>
      <c r="AE71">
        <v>0.7</v>
      </c>
    </row>
    <row r="72" spans="1:58" x14ac:dyDescent="0.25">
      <c r="A72" t="s">
        <v>364</v>
      </c>
      <c r="B72" t="s">
        <v>175</v>
      </c>
      <c r="C72" t="s">
        <v>357</v>
      </c>
      <c r="D72" t="s">
        <v>735</v>
      </c>
      <c r="E72">
        <v>77.760000000000005</v>
      </c>
      <c r="F72">
        <v>96</v>
      </c>
      <c r="G72">
        <v>21.28</v>
      </c>
      <c r="H72">
        <v>1.1200000000000001</v>
      </c>
      <c r="M72">
        <v>0.87</v>
      </c>
      <c r="O72">
        <v>21.01</v>
      </c>
      <c r="P72">
        <v>7.0000000000000007E-2</v>
      </c>
      <c r="Q72">
        <v>0.15</v>
      </c>
      <c r="R72">
        <v>5.04</v>
      </c>
      <c r="S72">
        <v>1.27</v>
      </c>
      <c r="T72">
        <v>0.12</v>
      </c>
      <c r="U72">
        <v>7.89</v>
      </c>
      <c r="W72">
        <v>6.45</v>
      </c>
      <c r="X72">
        <v>209</v>
      </c>
      <c r="Y72">
        <v>26.02</v>
      </c>
      <c r="Z72">
        <v>22.6</v>
      </c>
      <c r="AA72">
        <v>273</v>
      </c>
      <c r="AB72">
        <v>0.68</v>
      </c>
      <c r="AC72">
        <v>0.02</v>
      </c>
      <c r="AD72">
        <v>0.11</v>
      </c>
      <c r="AE72">
        <v>0.46</v>
      </c>
      <c r="AF72">
        <v>23.85</v>
      </c>
      <c r="AG72">
        <v>1.63</v>
      </c>
      <c r="AH72">
        <v>8.0399999999999991</v>
      </c>
      <c r="AI72">
        <v>5.4</v>
      </c>
      <c r="AJ72">
        <v>4.5</v>
      </c>
      <c r="AK72">
        <v>14.2</v>
      </c>
      <c r="AL72">
        <v>3.46</v>
      </c>
      <c r="AM72">
        <v>5.24</v>
      </c>
      <c r="AN72">
        <v>5.97</v>
      </c>
      <c r="AO72">
        <v>1.79</v>
      </c>
      <c r="AP72">
        <v>6.03</v>
      </c>
      <c r="AQ72">
        <v>3.93</v>
      </c>
      <c r="AR72">
        <v>4.96</v>
      </c>
      <c r="AS72">
        <v>8.16</v>
      </c>
      <c r="AT72">
        <v>5.72</v>
      </c>
      <c r="AU72">
        <v>4.29</v>
      </c>
      <c r="AV72">
        <v>2.7</v>
      </c>
      <c r="AW72">
        <v>7.11</v>
      </c>
      <c r="AX72">
        <v>7.02</v>
      </c>
      <c r="AY72">
        <v>424</v>
      </c>
      <c r="AZ72">
        <v>168</v>
      </c>
      <c r="BA72">
        <v>306</v>
      </c>
      <c r="BB72">
        <v>64.06</v>
      </c>
    </row>
    <row r="73" spans="1:58" x14ac:dyDescent="0.25">
      <c r="A73" t="s">
        <v>366</v>
      </c>
      <c r="B73">
        <v>19060012</v>
      </c>
      <c r="C73" t="s">
        <v>362</v>
      </c>
      <c r="D73" t="s">
        <v>376</v>
      </c>
      <c r="E73">
        <v>11.2</v>
      </c>
      <c r="F73">
        <v>327</v>
      </c>
      <c r="G73">
        <v>1.9</v>
      </c>
      <c r="H73">
        <v>0.16</v>
      </c>
      <c r="I73">
        <v>84.9</v>
      </c>
      <c r="P73">
        <v>0.04</v>
      </c>
      <c r="Q73">
        <v>0.01</v>
      </c>
      <c r="R73">
        <v>0.02</v>
      </c>
      <c r="T73">
        <v>0.71</v>
      </c>
      <c r="U73">
        <v>14.4</v>
      </c>
      <c r="V73">
        <v>0</v>
      </c>
      <c r="W73">
        <v>107</v>
      </c>
      <c r="AB73">
        <v>4.5999999999999996</v>
      </c>
      <c r="AE73">
        <v>0.45</v>
      </c>
    </row>
    <row r="74" spans="1:58" x14ac:dyDescent="0.25">
      <c r="A74" t="s">
        <v>364</v>
      </c>
      <c r="B74" t="s">
        <v>270</v>
      </c>
      <c r="C74" t="s">
        <v>353</v>
      </c>
      <c r="D74" t="s">
        <v>757</v>
      </c>
      <c r="E74">
        <v>87.79</v>
      </c>
      <c r="F74">
        <v>31</v>
      </c>
      <c r="G74">
        <v>2.12</v>
      </c>
      <c r="H74">
        <v>0.15</v>
      </c>
      <c r="I74">
        <v>5.01</v>
      </c>
      <c r="J74">
        <v>3.46</v>
      </c>
      <c r="K74">
        <v>2.65</v>
      </c>
      <c r="L74">
        <v>0.8</v>
      </c>
      <c r="M74">
        <v>1.48</v>
      </c>
      <c r="N74">
        <v>1.52</v>
      </c>
      <c r="P74">
        <v>0.01</v>
      </c>
      <c r="Q74">
        <v>0.01</v>
      </c>
      <c r="R74">
        <v>0.21</v>
      </c>
      <c r="S74">
        <v>0.25</v>
      </c>
      <c r="T74">
        <v>0.09</v>
      </c>
      <c r="U74">
        <v>108</v>
      </c>
      <c r="V74">
        <v>4.51</v>
      </c>
      <c r="W74">
        <v>20.29</v>
      </c>
      <c r="X74">
        <v>41.51</v>
      </c>
      <c r="Y74">
        <v>34.880000000000003</v>
      </c>
      <c r="Z74">
        <v>70.11</v>
      </c>
      <c r="AA74">
        <v>298</v>
      </c>
      <c r="AB74">
        <v>0.77</v>
      </c>
      <c r="AC74">
        <v>0.52</v>
      </c>
      <c r="AD74">
        <v>0.13</v>
      </c>
      <c r="AE74">
        <v>0.28999999999999998</v>
      </c>
      <c r="AF74">
        <v>0.22</v>
      </c>
      <c r="AG74">
        <v>1.05</v>
      </c>
      <c r="AH74">
        <v>6.37</v>
      </c>
      <c r="AI74">
        <v>2.85</v>
      </c>
      <c r="AJ74">
        <v>3.83</v>
      </c>
      <c r="AK74">
        <v>27.9</v>
      </c>
      <c r="AL74">
        <v>3.23</v>
      </c>
      <c r="AM74">
        <v>2.82</v>
      </c>
      <c r="AN74">
        <v>7.82</v>
      </c>
      <c r="AO74">
        <v>0.51</v>
      </c>
      <c r="AP74">
        <v>6.23</v>
      </c>
      <c r="AQ74">
        <v>0.59</v>
      </c>
      <c r="AR74">
        <v>3.28</v>
      </c>
      <c r="AS74">
        <v>4.75</v>
      </c>
      <c r="AT74">
        <v>2.12</v>
      </c>
      <c r="AU74">
        <v>2.7</v>
      </c>
      <c r="AV74">
        <v>1.87</v>
      </c>
      <c r="AW74">
        <v>4.79</v>
      </c>
      <c r="AX74">
        <v>3.59</v>
      </c>
      <c r="AY74">
        <v>30.06</v>
      </c>
      <c r="AZ74">
        <v>20.81</v>
      </c>
      <c r="BA74">
        <v>69.13</v>
      </c>
      <c r="BC74">
        <v>4.33</v>
      </c>
      <c r="BD74">
        <v>1.65</v>
      </c>
      <c r="BF74">
        <v>9.1199999999999992</v>
      </c>
    </row>
    <row r="75" spans="1:58" x14ac:dyDescent="0.25">
      <c r="A75" t="s">
        <v>364</v>
      </c>
      <c r="B75" t="s">
        <v>2</v>
      </c>
      <c r="C75" t="s">
        <v>352</v>
      </c>
      <c r="D75" t="s">
        <v>570</v>
      </c>
      <c r="E75">
        <v>74.510000000000005</v>
      </c>
      <c r="F75">
        <v>94</v>
      </c>
      <c r="G75">
        <v>3.86</v>
      </c>
      <c r="H75">
        <v>1.43</v>
      </c>
      <c r="I75">
        <v>15.92</v>
      </c>
      <c r="J75">
        <v>3.93</v>
      </c>
      <c r="K75">
        <v>3.29</v>
      </c>
      <c r="L75">
        <v>0.64</v>
      </c>
      <c r="M75">
        <v>0.36</v>
      </c>
      <c r="N75">
        <v>11.52</v>
      </c>
      <c r="P75">
        <v>0.1</v>
      </c>
      <c r="Q75">
        <v>0.14000000000000001</v>
      </c>
      <c r="R75">
        <v>1.1299999999999999</v>
      </c>
      <c r="S75">
        <v>0.34</v>
      </c>
      <c r="T75">
        <v>0.31</v>
      </c>
      <c r="U75">
        <v>64.260000000000005</v>
      </c>
      <c r="V75">
        <v>6.73</v>
      </c>
      <c r="W75">
        <v>6.52</v>
      </c>
      <c r="X75">
        <v>111</v>
      </c>
      <c r="Y75">
        <v>34.71</v>
      </c>
      <c r="Z75">
        <v>2.19</v>
      </c>
      <c r="AA75">
        <v>298</v>
      </c>
      <c r="AB75">
        <v>0.46</v>
      </c>
      <c r="AC75">
        <v>0.32</v>
      </c>
      <c r="AD75">
        <v>0.14000000000000001</v>
      </c>
      <c r="AE75">
        <v>0.68</v>
      </c>
      <c r="AF75">
        <v>3.75</v>
      </c>
      <c r="AG75">
        <v>0.7</v>
      </c>
      <c r="AH75">
        <v>7.5</v>
      </c>
      <c r="AI75">
        <v>3.02</v>
      </c>
      <c r="AJ75">
        <v>5.45</v>
      </c>
      <c r="AK75">
        <v>19.399999999999999</v>
      </c>
      <c r="AL75">
        <v>8.68</v>
      </c>
      <c r="AM75">
        <v>4.43</v>
      </c>
      <c r="AN75">
        <v>7.61</v>
      </c>
      <c r="AO75">
        <v>1.26</v>
      </c>
      <c r="AP75">
        <v>3.78</v>
      </c>
      <c r="AQ75">
        <v>1.79</v>
      </c>
      <c r="AR75">
        <v>3.34</v>
      </c>
      <c r="AS75">
        <v>10.9</v>
      </c>
      <c r="AT75">
        <v>2.93</v>
      </c>
      <c r="AU75">
        <v>2.76</v>
      </c>
      <c r="AV75">
        <v>1.91</v>
      </c>
      <c r="AW75">
        <v>2.25</v>
      </c>
      <c r="AX75">
        <v>3.53</v>
      </c>
      <c r="AY75">
        <v>122</v>
      </c>
      <c r="AZ75">
        <v>175</v>
      </c>
      <c r="BA75">
        <v>290</v>
      </c>
      <c r="BC75">
        <v>4.68</v>
      </c>
      <c r="BD75">
        <v>7.96</v>
      </c>
      <c r="BF75">
        <v>43.21</v>
      </c>
    </row>
    <row r="76" spans="1:58" x14ac:dyDescent="0.25">
      <c r="A76" t="s">
        <v>364</v>
      </c>
      <c r="B76" t="s">
        <v>292</v>
      </c>
      <c r="C76" t="s">
        <v>352</v>
      </c>
      <c r="D76" t="s">
        <v>571</v>
      </c>
      <c r="E76">
        <v>10.43</v>
      </c>
      <c r="F76">
        <v>322</v>
      </c>
      <c r="G76">
        <v>7.11</v>
      </c>
      <c r="H76">
        <v>1.77</v>
      </c>
      <c r="I76">
        <v>67.45</v>
      </c>
      <c r="J76">
        <v>11.16</v>
      </c>
      <c r="K76">
        <v>9.24</v>
      </c>
      <c r="L76">
        <v>1.91</v>
      </c>
      <c r="M76">
        <v>2.08</v>
      </c>
      <c r="N76">
        <v>0.22</v>
      </c>
      <c r="P76">
        <v>0.39</v>
      </c>
      <c r="Q76">
        <v>0.17</v>
      </c>
      <c r="R76">
        <v>1.34</v>
      </c>
      <c r="S76">
        <v>0.15</v>
      </c>
      <c r="T76">
        <v>0.04</v>
      </c>
      <c r="U76">
        <v>30.8</v>
      </c>
      <c r="W76">
        <v>419</v>
      </c>
      <c r="X76">
        <v>246</v>
      </c>
      <c r="Y76">
        <v>148</v>
      </c>
      <c r="Z76">
        <v>4.72</v>
      </c>
      <c r="AA76">
        <v>418</v>
      </c>
      <c r="AB76">
        <v>4.78</v>
      </c>
      <c r="AC76">
        <v>2.0499999999999998</v>
      </c>
      <c r="AD76">
        <v>0.54</v>
      </c>
      <c r="AE76">
        <v>2.4700000000000002</v>
      </c>
      <c r="AF76">
        <v>20.350000000000001</v>
      </c>
      <c r="AG76">
        <v>0.46</v>
      </c>
      <c r="AH76">
        <v>6.13</v>
      </c>
      <c r="AI76">
        <v>3.31</v>
      </c>
      <c r="AJ76">
        <v>3.97</v>
      </c>
      <c r="AK76">
        <v>19.600000000000001</v>
      </c>
      <c r="AL76">
        <v>4.83</v>
      </c>
      <c r="AM76">
        <v>3.23</v>
      </c>
      <c r="AN76">
        <v>5.57</v>
      </c>
      <c r="AO76">
        <v>1.29</v>
      </c>
      <c r="AP76">
        <v>5.77</v>
      </c>
      <c r="AQ76">
        <v>2.42</v>
      </c>
      <c r="AR76">
        <v>3.86</v>
      </c>
      <c r="AS76">
        <v>8.16</v>
      </c>
      <c r="AT76">
        <v>4.1900000000000004</v>
      </c>
      <c r="AU76">
        <v>6.66</v>
      </c>
      <c r="AV76">
        <v>2.62</v>
      </c>
      <c r="AW76">
        <v>2.4700000000000002</v>
      </c>
      <c r="AX76">
        <v>3.84</v>
      </c>
      <c r="AY76">
        <v>297</v>
      </c>
      <c r="AZ76">
        <v>595</v>
      </c>
      <c r="BA76">
        <v>455</v>
      </c>
      <c r="BC76">
        <v>0.32</v>
      </c>
      <c r="BD76">
        <v>63.42</v>
      </c>
      <c r="BF76">
        <v>1.34</v>
      </c>
    </row>
    <row r="77" spans="1:58" x14ac:dyDescent="0.25">
      <c r="A77" t="s">
        <v>364</v>
      </c>
      <c r="B77" t="s">
        <v>66</v>
      </c>
      <c r="C77" t="s">
        <v>355</v>
      </c>
      <c r="D77" t="s">
        <v>722</v>
      </c>
      <c r="E77">
        <v>94.92</v>
      </c>
      <c r="F77">
        <v>11</v>
      </c>
      <c r="G77">
        <v>0.89</v>
      </c>
      <c r="H77">
        <v>0.25</v>
      </c>
      <c r="I77">
        <v>1.23</v>
      </c>
      <c r="J77">
        <v>2.27</v>
      </c>
      <c r="K77">
        <v>1.69</v>
      </c>
      <c r="L77">
        <v>0.57999999999999996</v>
      </c>
      <c r="M77">
        <v>0.45</v>
      </c>
      <c r="N77">
        <v>5.14</v>
      </c>
      <c r="P77">
        <v>0.03</v>
      </c>
      <c r="Q77">
        <v>0.03</v>
      </c>
      <c r="R77">
        <v>0.33</v>
      </c>
      <c r="S77">
        <v>0.27</v>
      </c>
      <c r="T77">
        <v>7.0000000000000007E-2</v>
      </c>
      <c r="U77">
        <v>16.52</v>
      </c>
      <c r="V77">
        <v>2.85</v>
      </c>
      <c r="W77">
        <v>27.11</v>
      </c>
      <c r="X77">
        <v>31.03</v>
      </c>
      <c r="Y77">
        <v>21.7</v>
      </c>
      <c r="Z77">
        <v>5.04</v>
      </c>
      <c r="AA77">
        <v>104</v>
      </c>
      <c r="AB77">
        <v>0.47</v>
      </c>
      <c r="AC77">
        <v>0.19</v>
      </c>
      <c r="AD77">
        <v>0.11</v>
      </c>
      <c r="AE77">
        <v>0.2</v>
      </c>
      <c r="AG77">
        <v>0.63</v>
      </c>
      <c r="AH77">
        <v>10.16</v>
      </c>
      <c r="AI77">
        <v>3.86</v>
      </c>
      <c r="AJ77">
        <v>4.72</v>
      </c>
      <c r="AK77">
        <v>20.07</v>
      </c>
      <c r="AL77">
        <v>4.18</v>
      </c>
      <c r="AM77">
        <v>4.9800000000000004</v>
      </c>
      <c r="AN77">
        <v>6.59</v>
      </c>
      <c r="AO77">
        <v>0.64</v>
      </c>
      <c r="AP77">
        <v>5.27</v>
      </c>
      <c r="AQ77">
        <v>0.93</v>
      </c>
      <c r="AR77">
        <v>4.8499999999999996</v>
      </c>
      <c r="AS77">
        <v>5.71</v>
      </c>
      <c r="AT77">
        <v>2.99</v>
      </c>
      <c r="AU77">
        <v>3.95</v>
      </c>
      <c r="AV77">
        <v>1.85</v>
      </c>
      <c r="AW77">
        <v>5.64</v>
      </c>
      <c r="AX77">
        <v>0.63</v>
      </c>
      <c r="AY77">
        <v>263</v>
      </c>
      <c r="AZ77">
        <v>25.17</v>
      </c>
      <c r="BA77">
        <v>65.510000000000005</v>
      </c>
      <c r="BC77">
        <v>0.45</v>
      </c>
      <c r="BD77">
        <v>0.74</v>
      </c>
      <c r="BE77">
        <v>61.64</v>
      </c>
    </row>
    <row r="78" spans="1:58" x14ac:dyDescent="0.25">
      <c r="A78" t="s">
        <v>470</v>
      </c>
      <c r="B78" t="s">
        <v>469</v>
      </c>
      <c r="C78" t="s">
        <v>467</v>
      </c>
      <c r="D78" t="s">
        <v>468</v>
      </c>
      <c r="F78">
        <v>103</v>
      </c>
      <c r="G78">
        <v>1.1000000000000001</v>
      </c>
      <c r="H78">
        <v>0.2</v>
      </c>
      <c r="I78">
        <v>27.1</v>
      </c>
      <c r="J78">
        <v>4.9000000000000004</v>
      </c>
      <c r="N78">
        <v>4</v>
      </c>
      <c r="P78">
        <v>0.1</v>
      </c>
      <c r="Q78">
        <v>0</v>
      </c>
      <c r="R78">
        <v>0.8</v>
      </c>
      <c r="S78">
        <v>0.6</v>
      </c>
      <c r="T78">
        <v>0.3</v>
      </c>
      <c r="U78">
        <v>10</v>
      </c>
      <c r="V78">
        <v>29</v>
      </c>
      <c r="W78">
        <v>17</v>
      </c>
      <c r="X78">
        <v>30</v>
      </c>
      <c r="Y78">
        <v>25</v>
      </c>
      <c r="Z78">
        <v>2</v>
      </c>
      <c r="AA78">
        <v>490</v>
      </c>
      <c r="AB78">
        <v>0.5</v>
      </c>
      <c r="AC78">
        <v>0.1</v>
      </c>
      <c r="AD78">
        <v>0.1</v>
      </c>
      <c r="AE78">
        <v>0.1</v>
      </c>
      <c r="AG78">
        <v>107</v>
      </c>
      <c r="AI78">
        <v>1.7</v>
      </c>
      <c r="AO78">
        <v>0.1</v>
      </c>
      <c r="AP78">
        <v>0</v>
      </c>
      <c r="AQ78">
        <v>25.5</v>
      </c>
      <c r="AR78">
        <v>0</v>
      </c>
      <c r="AS78">
        <v>0</v>
      </c>
      <c r="AT78">
        <v>0.1</v>
      </c>
      <c r="AU78">
        <v>0</v>
      </c>
      <c r="AV78">
        <v>3.1</v>
      </c>
      <c r="AW78">
        <v>0.5</v>
      </c>
      <c r="AX78">
        <v>1.5</v>
      </c>
      <c r="AY78">
        <v>0</v>
      </c>
      <c r="AZ78">
        <v>0</v>
      </c>
      <c r="BA78">
        <v>0.1</v>
      </c>
      <c r="BB78">
        <v>0</v>
      </c>
    </row>
    <row r="79" spans="1:58" x14ac:dyDescent="0.25">
      <c r="A79" t="s">
        <v>364</v>
      </c>
      <c r="B79" t="s">
        <v>149</v>
      </c>
      <c r="C79" t="s">
        <v>357</v>
      </c>
      <c r="D79" t="s">
        <v>684</v>
      </c>
      <c r="E79">
        <v>75.66</v>
      </c>
      <c r="F79">
        <v>108</v>
      </c>
      <c r="G79">
        <v>22.45</v>
      </c>
      <c r="H79">
        <v>1.92</v>
      </c>
      <c r="M79">
        <v>1.26</v>
      </c>
      <c r="O79">
        <v>3.16</v>
      </c>
      <c r="P79">
        <v>0.12</v>
      </c>
      <c r="Q79">
        <v>0.02</v>
      </c>
      <c r="R79">
        <v>2.82</v>
      </c>
      <c r="S79">
        <v>0.28999999999999998</v>
      </c>
      <c r="T79">
        <v>7.0000000000000007E-2</v>
      </c>
      <c r="U79">
        <v>8.2799999999999994</v>
      </c>
      <c r="W79">
        <v>6.65</v>
      </c>
      <c r="X79">
        <v>249</v>
      </c>
      <c r="Y79">
        <v>31.12</v>
      </c>
      <c r="Z79">
        <v>30.53</v>
      </c>
      <c r="AA79">
        <v>467</v>
      </c>
      <c r="AB79">
        <v>0.28000000000000003</v>
      </c>
      <c r="AC79">
        <v>0.01</v>
      </c>
      <c r="AD79">
        <v>0.02</v>
      </c>
      <c r="AE79">
        <v>0.35</v>
      </c>
      <c r="AF79">
        <v>12.35</v>
      </c>
      <c r="AG79">
        <v>1</v>
      </c>
      <c r="AH79">
        <v>9.92</v>
      </c>
      <c r="AI79">
        <v>4.75</v>
      </c>
      <c r="AJ79">
        <v>4.2300000000000004</v>
      </c>
      <c r="AK79">
        <v>14.07</v>
      </c>
      <c r="AL79">
        <v>3.73</v>
      </c>
      <c r="AM79">
        <v>5.38</v>
      </c>
      <c r="AN79">
        <v>5.61</v>
      </c>
      <c r="AO79">
        <v>1.75</v>
      </c>
      <c r="AP79">
        <v>5.7</v>
      </c>
      <c r="AQ79">
        <v>3.79</v>
      </c>
      <c r="AR79">
        <v>4.63</v>
      </c>
      <c r="AS79">
        <v>8.25</v>
      </c>
      <c r="AT79">
        <v>4.18</v>
      </c>
      <c r="AU79">
        <v>4.4000000000000004</v>
      </c>
      <c r="AV79">
        <v>3.58</v>
      </c>
      <c r="AW79">
        <v>6.72</v>
      </c>
      <c r="AX79">
        <v>6.42</v>
      </c>
      <c r="AY79">
        <v>837</v>
      </c>
      <c r="AZ79">
        <v>519</v>
      </c>
      <c r="BA79">
        <v>294</v>
      </c>
      <c r="BB79">
        <v>19.98</v>
      </c>
    </row>
    <row r="80" spans="1:58" x14ac:dyDescent="0.25">
      <c r="A80" t="s">
        <v>364</v>
      </c>
      <c r="B80" t="s">
        <v>73</v>
      </c>
      <c r="C80" t="s">
        <v>355</v>
      </c>
      <c r="D80" t="s">
        <v>729</v>
      </c>
      <c r="E80">
        <v>91.37</v>
      </c>
      <c r="F80">
        <v>15</v>
      </c>
      <c r="G80">
        <v>0.47</v>
      </c>
      <c r="H80">
        <v>0.37</v>
      </c>
      <c r="I80">
        <v>2.4300000000000002</v>
      </c>
      <c r="J80">
        <v>4.46</v>
      </c>
      <c r="K80">
        <v>4.24</v>
      </c>
      <c r="L80">
        <v>0.22</v>
      </c>
      <c r="M80">
        <v>0.92</v>
      </c>
      <c r="N80">
        <v>1614</v>
      </c>
      <c r="Q80">
        <v>7.0000000000000007E-2</v>
      </c>
      <c r="R80">
        <v>1.98</v>
      </c>
      <c r="S80">
        <v>0.4</v>
      </c>
      <c r="T80">
        <v>0.41</v>
      </c>
      <c r="U80">
        <v>134</v>
      </c>
      <c r="V80">
        <v>2.95</v>
      </c>
      <c r="W80">
        <v>49.21</v>
      </c>
      <c r="X80">
        <v>21.61</v>
      </c>
      <c r="Y80">
        <v>18.350000000000001</v>
      </c>
      <c r="Z80">
        <v>35.340000000000003</v>
      </c>
      <c r="AA80">
        <v>271</v>
      </c>
      <c r="AB80">
        <v>1.32</v>
      </c>
      <c r="AC80">
        <v>3.23</v>
      </c>
      <c r="AD80">
        <v>0.19</v>
      </c>
      <c r="AE80">
        <v>0.44</v>
      </c>
      <c r="AF80">
        <v>18.23</v>
      </c>
      <c r="AG80">
        <v>0.97</v>
      </c>
      <c r="AH80">
        <v>11.19</v>
      </c>
      <c r="AI80">
        <v>4.0999999999999996</v>
      </c>
      <c r="AJ80">
        <v>4.07</v>
      </c>
      <c r="AK80">
        <v>11.34</v>
      </c>
      <c r="AL80">
        <v>4.75</v>
      </c>
      <c r="AM80">
        <v>4.16</v>
      </c>
      <c r="AN80">
        <v>5.03</v>
      </c>
      <c r="AO80">
        <v>0.66</v>
      </c>
      <c r="AP80">
        <v>4.58</v>
      </c>
      <c r="AQ80">
        <v>1.33</v>
      </c>
      <c r="AR80">
        <v>4.49</v>
      </c>
      <c r="AS80">
        <v>7.3</v>
      </c>
      <c r="AT80">
        <v>3.78</v>
      </c>
      <c r="AU80">
        <v>5.58</v>
      </c>
      <c r="AV80">
        <v>2.21</v>
      </c>
      <c r="AW80">
        <v>4.29</v>
      </c>
      <c r="AX80">
        <v>5.66</v>
      </c>
      <c r="AY80">
        <v>328</v>
      </c>
      <c r="AZ80">
        <v>6.43</v>
      </c>
      <c r="BA80">
        <v>107</v>
      </c>
      <c r="BC80">
        <v>0.15</v>
      </c>
      <c r="BD80">
        <v>2.12</v>
      </c>
      <c r="BF80">
        <v>9685</v>
      </c>
    </row>
    <row r="81" spans="1:58" x14ac:dyDescent="0.25">
      <c r="A81" t="s">
        <v>364</v>
      </c>
      <c r="B81" t="s">
        <v>120</v>
      </c>
      <c r="C81" t="s">
        <v>356</v>
      </c>
      <c r="D81" t="s">
        <v>640</v>
      </c>
      <c r="E81">
        <v>91.7</v>
      </c>
      <c r="F81">
        <v>26</v>
      </c>
      <c r="G81">
        <v>0.66</v>
      </c>
      <c r="H81">
        <v>0.26</v>
      </c>
      <c r="I81">
        <v>4.99</v>
      </c>
      <c r="J81">
        <v>1.92</v>
      </c>
      <c r="K81">
        <v>1.3</v>
      </c>
      <c r="L81">
        <v>0.62</v>
      </c>
      <c r="M81">
        <v>0.47</v>
      </c>
      <c r="N81">
        <v>0.36</v>
      </c>
      <c r="P81">
        <v>0.06</v>
      </c>
      <c r="Q81">
        <v>0.01</v>
      </c>
      <c r="R81">
        <v>0.21</v>
      </c>
      <c r="S81">
        <v>0.25</v>
      </c>
      <c r="T81">
        <v>0.05</v>
      </c>
      <c r="U81">
        <v>12.1</v>
      </c>
      <c r="V81">
        <v>38.049999999999997</v>
      </c>
      <c r="W81">
        <v>26</v>
      </c>
      <c r="X81">
        <v>19.46</v>
      </c>
      <c r="Y81">
        <v>15.25</v>
      </c>
      <c r="Z81">
        <v>0.81</v>
      </c>
      <c r="AA81">
        <v>200</v>
      </c>
      <c r="AB81">
        <v>0.12</v>
      </c>
      <c r="AC81">
        <v>0.05</v>
      </c>
      <c r="AD81">
        <v>0.03</v>
      </c>
      <c r="AE81">
        <v>0.05</v>
      </c>
      <c r="AF81">
        <v>0.41</v>
      </c>
      <c r="AY81">
        <v>81.650000000000006</v>
      </c>
      <c r="AZ81">
        <v>38.11</v>
      </c>
      <c r="BA81">
        <v>88.23</v>
      </c>
      <c r="BC81">
        <v>3.41</v>
      </c>
      <c r="BD81">
        <v>0.56000000000000005</v>
      </c>
      <c r="BF81">
        <v>2.21</v>
      </c>
    </row>
    <row r="82" spans="1:58" x14ac:dyDescent="0.25">
      <c r="A82" t="s">
        <v>364</v>
      </c>
      <c r="B82" t="s">
        <v>48</v>
      </c>
      <c r="C82" t="s">
        <v>355</v>
      </c>
      <c r="D82" t="s">
        <v>847</v>
      </c>
      <c r="E82">
        <v>90.85</v>
      </c>
      <c r="F82">
        <v>22</v>
      </c>
      <c r="G82">
        <v>2.2000000000000002</v>
      </c>
      <c r="H82">
        <v>0.47</v>
      </c>
      <c r="I82">
        <v>2.0499999999999998</v>
      </c>
      <c r="J82">
        <v>2.31</v>
      </c>
      <c r="K82">
        <v>1.88</v>
      </c>
      <c r="L82">
        <v>0.44</v>
      </c>
      <c r="M82">
        <v>2.13</v>
      </c>
      <c r="N82">
        <v>959</v>
      </c>
      <c r="Q82">
        <v>0.06</v>
      </c>
      <c r="R82">
        <v>0.93</v>
      </c>
      <c r="S82">
        <v>0.28999999999999998</v>
      </c>
      <c r="T82">
        <v>0.11</v>
      </c>
      <c r="U82">
        <v>74.05</v>
      </c>
      <c r="V82">
        <v>10.26</v>
      </c>
      <c r="W82">
        <v>163</v>
      </c>
      <c r="X82">
        <v>44.79</v>
      </c>
      <c r="Y82">
        <v>61.37</v>
      </c>
      <c r="Z82">
        <v>64.510000000000005</v>
      </c>
      <c r="AA82">
        <v>409</v>
      </c>
      <c r="AB82">
        <v>1.49</v>
      </c>
      <c r="AC82">
        <v>0.83</v>
      </c>
      <c r="AD82">
        <v>0.1</v>
      </c>
      <c r="AE82">
        <v>0.67</v>
      </c>
      <c r="AF82">
        <v>17.170000000000002</v>
      </c>
      <c r="AG82">
        <v>0.88</v>
      </c>
      <c r="AH82">
        <v>8.0399999999999991</v>
      </c>
      <c r="AI82">
        <v>4.47</v>
      </c>
      <c r="AJ82">
        <v>4.49</v>
      </c>
      <c r="AK82">
        <v>13.1</v>
      </c>
      <c r="AL82">
        <v>5.13</v>
      </c>
      <c r="AM82">
        <v>4.93</v>
      </c>
      <c r="AN82">
        <v>5.76</v>
      </c>
      <c r="AO82">
        <v>0.91</v>
      </c>
      <c r="AP82">
        <v>4.82</v>
      </c>
      <c r="AQ82">
        <v>0.88</v>
      </c>
      <c r="AR82">
        <v>4.6399999999999997</v>
      </c>
      <c r="AS82">
        <v>8.09</v>
      </c>
      <c r="AT82">
        <v>3.77</v>
      </c>
      <c r="AU82">
        <v>5.9</v>
      </c>
      <c r="AV82">
        <v>2.42</v>
      </c>
      <c r="AW82">
        <v>5.27</v>
      </c>
      <c r="AX82">
        <v>6.09</v>
      </c>
      <c r="AY82">
        <v>123</v>
      </c>
      <c r="AZ82">
        <v>170</v>
      </c>
      <c r="BA82">
        <v>79.22</v>
      </c>
      <c r="BC82">
        <v>0.14000000000000001</v>
      </c>
      <c r="BD82">
        <v>1.74</v>
      </c>
      <c r="BF82">
        <v>5760</v>
      </c>
    </row>
    <row r="83" spans="1:58" x14ac:dyDescent="0.25">
      <c r="A83" t="s">
        <v>364</v>
      </c>
      <c r="B83" t="s">
        <v>59</v>
      </c>
      <c r="C83" t="s">
        <v>355</v>
      </c>
      <c r="D83" t="s">
        <v>718</v>
      </c>
      <c r="E83">
        <v>86.49</v>
      </c>
      <c r="F83">
        <v>41</v>
      </c>
      <c r="G83">
        <v>3.85</v>
      </c>
      <c r="H83">
        <v>0.72</v>
      </c>
      <c r="I83">
        <v>4.53</v>
      </c>
      <c r="J83">
        <v>2.25</v>
      </c>
      <c r="K83">
        <v>1.47</v>
      </c>
      <c r="L83">
        <v>0.78</v>
      </c>
      <c r="M83">
        <v>2.16</v>
      </c>
      <c r="N83">
        <v>239</v>
      </c>
      <c r="P83">
        <v>0.06</v>
      </c>
      <c r="Q83">
        <v>0.12</v>
      </c>
      <c r="R83">
        <v>1.39</v>
      </c>
      <c r="S83">
        <v>0.35</v>
      </c>
      <c r="T83">
        <v>0.14000000000000001</v>
      </c>
      <c r="U83">
        <v>40.6</v>
      </c>
      <c r="V83">
        <v>12.22</v>
      </c>
      <c r="W83">
        <v>255</v>
      </c>
      <c r="X83">
        <v>67.36</v>
      </c>
      <c r="Y83">
        <v>87.62</v>
      </c>
      <c r="Z83">
        <v>12.32</v>
      </c>
      <c r="AA83">
        <v>481</v>
      </c>
      <c r="AB83">
        <v>5.12</v>
      </c>
      <c r="AC83">
        <v>0.59</v>
      </c>
      <c r="AD83">
        <v>0.34</v>
      </c>
      <c r="AE83">
        <v>0.66</v>
      </c>
      <c r="AF83">
        <v>1.43</v>
      </c>
      <c r="AG83">
        <v>1.72</v>
      </c>
      <c r="AH83">
        <v>10.99</v>
      </c>
      <c r="AI83">
        <v>4.74</v>
      </c>
      <c r="AJ83">
        <v>4.51</v>
      </c>
      <c r="AK83">
        <v>14.33</v>
      </c>
      <c r="AL83">
        <v>5.65</v>
      </c>
      <c r="AM83">
        <v>5.76</v>
      </c>
      <c r="AN83">
        <v>6.42</v>
      </c>
      <c r="AO83">
        <v>0.76</v>
      </c>
      <c r="AP83">
        <v>5.91</v>
      </c>
      <c r="AQ83">
        <v>1.38</v>
      </c>
      <c r="AR83">
        <v>5.22</v>
      </c>
      <c r="AS83">
        <v>9.01</v>
      </c>
      <c r="AT83">
        <v>3.62</v>
      </c>
      <c r="AU83">
        <v>6.32</v>
      </c>
      <c r="AV83">
        <v>1.24</v>
      </c>
      <c r="AW83">
        <v>5.13</v>
      </c>
      <c r="AX83">
        <v>1.72</v>
      </c>
      <c r="AY83">
        <v>26.35</v>
      </c>
      <c r="AZ83">
        <v>16.53</v>
      </c>
      <c r="BA83">
        <v>310</v>
      </c>
      <c r="BC83">
        <v>0.11</v>
      </c>
      <c r="BD83">
        <v>2.09</v>
      </c>
      <c r="BF83">
        <v>1431</v>
      </c>
    </row>
    <row r="84" spans="1:58" x14ac:dyDescent="0.25">
      <c r="A84" t="s">
        <v>364</v>
      </c>
      <c r="B84" t="s">
        <v>318</v>
      </c>
      <c r="C84" t="s">
        <v>356</v>
      </c>
      <c r="D84" t="s">
        <v>662</v>
      </c>
      <c r="E84">
        <v>20.32</v>
      </c>
      <c r="F84">
        <v>289</v>
      </c>
      <c r="G84">
        <v>2.48</v>
      </c>
      <c r="H84">
        <v>0.15</v>
      </c>
      <c r="I84">
        <v>67.98</v>
      </c>
      <c r="J84">
        <v>5.73</v>
      </c>
      <c r="K84">
        <v>4.05</v>
      </c>
      <c r="L84">
        <v>1.68</v>
      </c>
      <c r="M84">
        <v>3.33</v>
      </c>
      <c r="N84">
        <v>0.24</v>
      </c>
      <c r="P84">
        <v>0.28999999999999998</v>
      </c>
      <c r="Q84">
        <v>7.0000000000000007E-2</v>
      </c>
      <c r="R84">
        <v>1.46</v>
      </c>
      <c r="S84">
        <v>0.19</v>
      </c>
      <c r="T84">
        <v>0.06</v>
      </c>
      <c r="U84">
        <v>9.15</v>
      </c>
      <c r="V84">
        <v>5.12</v>
      </c>
      <c r="W84">
        <v>154</v>
      </c>
      <c r="X84">
        <v>98</v>
      </c>
      <c r="Y84">
        <v>92.59</v>
      </c>
      <c r="Z84">
        <v>27.18</v>
      </c>
      <c r="AA84">
        <v>839</v>
      </c>
      <c r="AB84">
        <v>11.35</v>
      </c>
      <c r="AC84">
        <v>0.45</v>
      </c>
      <c r="AD84">
        <v>0.46</v>
      </c>
      <c r="AE84">
        <v>0.59</v>
      </c>
      <c r="AF84">
        <v>2.25</v>
      </c>
      <c r="AG84">
        <v>0.75</v>
      </c>
      <c r="AH84">
        <v>13.22</v>
      </c>
      <c r="AI84">
        <v>3.52</v>
      </c>
      <c r="AJ84">
        <v>3.08</v>
      </c>
      <c r="AK84">
        <v>15.6</v>
      </c>
      <c r="AL84">
        <v>4.41</v>
      </c>
      <c r="AM84">
        <v>4.1900000000000004</v>
      </c>
      <c r="AN84">
        <v>4.13</v>
      </c>
      <c r="AO84">
        <v>0.87</v>
      </c>
      <c r="AP84">
        <v>4.5</v>
      </c>
      <c r="AQ84">
        <v>1.03</v>
      </c>
      <c r="AR84">
        <v>3.91</v>
      </c>
      <c r="AS84">
        <v>5.76</v>
      </c>
      <c r="AT84">
        <v>3.28</v>
      </c>
      <c r="AU84">
        <v>6.45</v>
      </c>
      <c r="AV84">
        <v>2.3199999999999998</v>
      </c>
      <c r="AW84">
        <v>5.1100000000000003</v>
      </c>
      <c r="AX84">
        <v>3.99</v>
      </c>
      <c r="AY84">
        <v>28.18</v>
      </c>
      <c r="AZ84">
        <v>34.630000000000003</v>
      </c>
      <c r="BA84">
        <v>17.190000000000001</v>
      </c>
      <c r="BC84">
        <v>51.5</v>
      </c>
      <c r="BF84">
        <v>1.45</v>
      </c>
    </row>
    <row r="85" spans="1:58" x14ac:dyDescent="0.25">
      <c r="A85" t="s">
        <v>364</v>
      </c>
      <c r="B85" t="s">
        <v>226</v>
      </c>
      <c r="C85" t="s">
        <v>359</v>
      </c>
      <c r="D85" t="s">
        <v>227</v>
      </c>
      <c r="E85">
        <v>75.260000000000005</v>
      </c>
      <c r="F85">
        <v>112</v>
      </c>
      <c r="G85">
        <v>20.079999999999998</v>
      </c>
      <c r="H85">
        <v>3.54</v>
      </c>
      <c r="M85">
        <v>1.04</v>
      </c>
      <c r="P85">
        <v>0.18</v>
      </c>
      <c r="Q85">
        <v>0.31</v>
      </c>
      <c r="R85">
        <v>13.89</v>
      </c>
      <c r="W85">
        <v>4.99</v>
      </c>
      <c r="X85">
        <v>326</v>
      </c>
      <c r="Y85">
        <v>17.440000000000001</v>
      </c>
      <c r="Z85">
        <v>51.32</v>
      </c>
      <c r="AA85">
        <v>286</v>
      </c>
      <c r="AB85">
        <v>17.95</v>
      </c>
      <c r="AC85">
        <v>0.26</v>
      </c>
      <c r="AD85">
        <v>3.63</v>
      </c>
      <c r="AE85">
        <v>6.72</v>
      </c>
      <c r="AF85">
        <v>29.18</v>
      </c>
      <c r="AG85">
        <v>1.27</v>
      </c>
      <c r="AH85">
        <v>8.58</v>
      </c>
      <c r="AI85">
        <v>4.8499999999999996</v>
      </c>
      <c r="AJ85">
        <v>4.7300000000000004</v>
      </c>
      <c r="AK85">
        <v>12.25</v>
      </c>
      <c r="AL85">
        <v>4.47</v>
      </c>
      <c r="AM85">
        <v>5.35</v>
      </c>
      <c r="AN85">
        <v>5.56</v>
      </c>
      <c r="AO85">
        <v>1.25</v>
      </c>
      <c r="AP85">
        <v>6.47</v>
      </c>
      <c r="AQ85">
        <v>2.98</v>
      </c>
      <c r="AR85">
        <v>4.47</v>
      </c>
      <c r="AS85">
        <v>9.02</v>
      </c>
      <c r="AT85">
        <v>3.77</v>
      </c>
      <c r="AU85">
        <v>5.13</v>
      </c>
      <c r="AV85">
        <v>2.78</v>
      </c>
      <c r="AW85">
        <v>6.71</v>
      </c>
      <c r="AX85">
        <v>5.85</v>
      </c>
      <c r="AY85">
        <v>1394</v>
      </c>
      <c r="AZ85">
        <v>596</v>
      </c>
      <c r="BA85">
        <v>636</v>
      </c>
      <c r="BB85">
        <v>263</v>
      </c>
    </row>
    <row r="86" spans="1:58" x14ac:dyDescent="0.25">
      <c r="A86" t="s">
        <v>364</v>
      </c>
      <c r="B86" t="s">
        <v>24</v>
      </c>
      <c r="C86" t="s">
        <v>354</v>
      </c>
      <c r="D86" t="s">
        <v>752</v>
      </c>
      <c r="E86">
        <v>9.16</v>
      </c>
      <c r="F86">
        <v>326</v>
      </c>
      <c r="G86">
        <v>23.4</v>
      </c>
      <c r="H86">
        <v>1.39</v>
      </c>
      <c r="I86">
        <v>53.31</v>
      </c>
      <c r="J86">
        <v>9.7100000000000009</v>
      </c>
      <c r="K86">
        <v>8.3800000000000008</v>
      </c>
      <c r="L86">
        <v>1.33</v>
      </c>
      <c r="M86">
        <v>3.04</v>
      </c>
      <c r="N86">
        <v>20.16</v>
      </c>
      <c r="P86">
        <v>0.35</v>
      </c>
      <c r="Q86">
        <v>0.12</v>
      </c>
      <c r="R86">
        <v>1.7</v>
      </c>
      <c r="S86">
        <v>1.81</v>
      </c>
      <c r="T86">
        <v>0.2</v>
      </c>
      <c r="U86">
        <v>85.59</v>
      </c>
      <c r="W86">
        <v>38.869999999999997</v>
      </c>
      <c r="X86">
        <v>380</v>
      </c>
      <c r="Y86">
        <v>147</v>
      </c>
      <c r="Z86">
        <v>10.28</v>
      </c>
      <c r="AA86">
        <v>1215</v>
      </c>
      <c r="AB86">
        <v>3.88</v>
      </c>
      <c r="AC86">
        <v>0.97</v>
      </c>
      <c r="AD86">
        <v>0.85</v>
      </c>
      <c r="AE86">
        <v>2.62</v>
      </c>
      <c r="AF86">
        <v>38.69</v>
      </c>
      <c r="AG86">
        <v>1.43</v>
      </c>
      <c r="AH86">
        <v>11.3</v>
      </c>
      <c r="AI86">
        <v>3.21</v>
      </c>
      <c r="AJ86">
        <v>4.4800000000000004</v>
      </c>
      <c r="AK86">
        <v>18.600000000000001</v>
      </c>
      <c r="AL86">
        <v>3.98</v>
      </c>
      <c r="AM86">
        <v>3.65</v>
      </c>
      <c r="AN86">
        <v>4.45</v>
      </c>
      <c r="AO86">
        <v>0.5</v>
      </c>
      <c r="AP86">
        <v>5.83</v>
      </c>
      <c r="AQ86">
        <v>1.42</v>
      </c>
      <c r="AR86">
        <v>4.78</v>
      </c>
      <c r="AS86">
        <v>8.2100000000000009</v>
      </c>
      <c r="AT86">
        <v>3</v>
      </c>
      <c r="AU86">
        <v>6.47</v>
      </c>
      <c r="AV86">
        <v>2.76</v>
      </c>
      <c r="AW86">
        <v>7.06</v>
      </c>
      <c r="AX86">
        <v>6.71</v>
      </c>
      <c r="AY86">
        <v>244</v>
      </c>
      <c r="AZ86">
        <v>42.48</v>
      </c>
      <c r="BA86">
        <v>570</v>
      </c>
      <c r="BC86">
        <v>1.25</v>
      </c>
      <c r="BD86">
        <v>41.04</v>
      </c>
      <c r="BF86">
        <v>121</v>
      </c>
    </row>
    <row r="87" spans="1:58" x14ac:dyDescent="0.25">
      <c r="A87" t="s">
        <v>364</v>
      </c>
      <c r="B87" t="s">
        <v>312</v>
      </c>
      <c r="C87" t="s">
        <v>355</v>
      </c>
      <c r="D87" t="s">
        <v>802</v>
      </c>
      <c r="E87">
        <v>84.75</v>
      </c>
      <c r="F87">
        <v>50</v>
      </c>
      <c r="G87">
        <v>0.75</v>
      </c>
      <c r="H87">
        <v>0.09</v>
      </c>
      <c r="I87">
        <v>10.8</v>
      </c>
      <c r="J87">
        <v>3.08</v>
      </c>
      <c r="K87">
        <v>1.59</v>
      </c>
      <c r="L87">
        <v>1.49</v>
      </c>
      <c r="M87">
        <v>0.54</v>
      </c>
      <c r="N87">
        <v>14.5</v>
      </c>
      <c r="P87">
        <v>0.01</v>
      </c>
      <c r="Q87">
        <v>0.02</v>
      </c>
      <c r="R87">
        <v>0.27</v>
      </c>
      <c r="S87">
        <v>0.12</v>
      </c>
      <c r="T87">
        <v>0.14000000000000001</v>
      </c>
      <c r="U87">
        <v>34.89</v>
      </c>
      <c r="V87">
        <v>91.63</v>
      </c>
      <c r="W87">
        <v>28.56</v>
      </c>
      <c r="X87">
        <v>13.59</v>
      </c>
      <c r="Y87">
        <v>17.739999999999998</v>
      </c>
      <c r="Z87">
        <v>33.08</v>
      </c>
      <c r="AA87">
        <v>165</v>
      </c>
      <c r="AB87">
        <v>0.5</v>
      </c>
      <c r="AC87">
        <v>0.19</v>
      </c>
      <c r="AD87">
        <v>7.0000000000000007E-2</v>
      </c>
      <c r="AE87">
        <v>0.09</v>
      </c>
      <c r="AG87">
        <v>1.49</v>
      </c>
      <c r="AH87">
        <v>10.039999999999999</v>
      </c>
      <c r="AI87">
        <v>4.53</v>
      </c>
      <c r="AJ87">
        <v>4.7699999999999996</v>
      </c>
      <c r="AK87">
        <v>13.24</v>
      </c>
      <c r="AL87">
        <v>4.6900000000000004</v>
      </c>
      <c r="AM87">
        <v>5.3</v>
      </c>
      <c r="AN87">
        <v>8.33</v>
      </c>
      <c r="AO87">
        <v>0.75</v>
      </c>
      <c r="AP87">
        <v>6.17</v>
      </c>
      <c r="AQ87">
        <v>1.31</v>
      </c>
      <c r="AR87">
        <v>4.79</v>
      </c>
      <c r="AS87">
        <v>8.1999999999999993</v>
      </c>
      <c r="AT87">
        <v>3.57</v>
      </c>
      <c r="AU87">
        <v>3.69</v>
      </c>
      <c r="AV87">
        <v>2.95</v>
      </c>
      <c r="AW87">
        <v>5.62</v>
      </c>
      <c r="AX87">
        <v>1.49</v>
      </c>
      <c r="AY87">
        <v>29.87</v>
      </c>
      <c r="AZ87">
        <v>9.92</v>
      </c>
      <c r="BA87">
        <v>32.21</v>
      </c>
      <c r="BC87">
        <v>2.74</v>
      </c>
      <c r="BD87">
        <v>5.3</v>
      </c>
      <c r="BF87">
        <v>81.08</v>
      </c>
    </row>
    <row r="88" spans="1:58" x14ac:dyDescent="0.25">
      <c r="A88" t="s">
        <v>364</v>
      </c>
      <c r="B88" t="s">
        <v>163</v>
      </c>
      <c r="C88" t="s">
        <v>357</v>
      </c>
      <c r="D88" t="s">
        <v>702</v>
      </c>
      <c r="E88">
        <v>78.59</v>
      </c>
      <c r="F88">
        <v>86</v>
      </c>
      <c r="G88">
        <v>15.69</v>
      </c>
      <c r="H88">
        <v>2.67</v>
      </c>
      <c r="M88">
        <v>3.04</v>
      </c>
      <c r="O88">
        <v>2.65</v>
      </c>
      <c r="Q88">
        <v>0.12</v>
      </c>
      <c r="R88">
        <v>2.06</v>
      </c>
      <c r="S88">
        <v>0.46</v>
      </c>
      <c r="T88">
        <v>1.55</v>
      </c>
      <c r="U88">
        <v>157</v>
      </c>
      <c r="W88">
        <v>193</v>
      </c>
      <c r="X88">
        <v>225</v>
      </c>
      <c r="Y88">
        <v>30.74</v>
      </c>
      <c r="Z88">
        <v>65.900000000000006</v>
      </c>
      <c r="AA88">
        <v>236</v>
      </c>
      <c r="AB88">
        <v>1.31</v>
      </c>
      <c r="AC88">
        <v>0.06</v>
      </c>
      <c r="AD88">
        <v>0.09</v>
      </c>
      <c r="AE88">
        <v>1.1100000000000001</v>
      </c>
      <c r="AF88">
        <v>85.6</v>
      </c>
      <c r="AG88">
        <v>1.01</v>
      </c>
      <c r="AH88">
        <v>9.4600000000000009</v>
      </c>
      <c r="AI88">
        <v>5.52</v>
      </c>
      <c r="AJ88">
        <v>5.22</v>
      </c>
      <c r="AK88">
        <v>14.4</v>
      </c>
      <c r="AL88">
        <v>6.93</v>
      </c>
      <c r="AM88">
        <v>5.05</v>
      </c>
      <c r="AN88">
        <v>6.62</v>
      </c>
      <c r="AO88">
        <v>1.17</v>
      </c>
      <c r="AP88">
        <v>4.88</v>
      </c>
      <c r="AQ88">
        <v>2.4900000000000002</v>
      </c>
      <c r="AR88">
        <v>3.73</v>
      </c>
      <c r="AS88">
        <v>7.35</v>
      </c>
      <c r="AT88">
        <v>3.76</v>
      </c>
      <c r="AU88">
        <v>4.28</v>
      </c>
      <c r="AV88">
        <v>3.77</v>
      </c>
      <c r="AW88">
        <v>7.55</v>
      </c>
      <c r="AX88">
        <v>6.6</v>
      </c>
      <c r="AY88">
        <v>1131</v>
      </c>
      <c r="AZ88">
        <v>565</v>
      </c>
      <c r="BA88">
        <v>707</v>
      </c>
      <c r="BB88">
        <v>35.25</v>
      </c>
    </row>
    <row r="89" spans="1:58" x14ac:dyDescent="0.25">
      <c r="A89" t="s">
        <v>364</v>
      </c>
      <c r="B89" t="s">
        <v>36</v>
      </c>
      <c r="C89" t="s">
        <v>355</v>
      </c>
      <c r="D89" t="s">
        <v>832</v>
      </c>
      <c r="E89">
        <v>92.99</v>
      </c>
      <c r="F89">
        <v>19</v>
      </c>
      <c r="G89">
        <v>0.98</v>
      </c>
      <c r="H89">
        <v>0.24</v>
      </c>
      <c r="I89">
        <v>3.01</v>
      </c>
      <c r="J89">
        <v>2.2599999999999998</v>
      </c>
      <c r="K89">
        <v>1.86</v>
      </c>
      <c r="L89">
        <v>0.4</v>
      </c>
      <c r="M89">
        <v>0.53</v>
      </c>
      <c r="N89">
        <v>0.57999999999999996</v>
      </c>
      <c r="P89">
        <v>0.02</v>
      </c>
      <c r="Q89">
        <v>0.01</v>
      </c>
      <c r="R89">
        <v>0.31</v>
      </c>
      <c r="S89">
        <v>0.44</v>
      </c>
      <c r="T89">
        <v>0.08</v>
      </c>
      <c r="U89">
        <v>19.66</v>
      </c>
      <c r="V89">
        <v>4.08</v>
      </c>
      <c r="W89">
        <v>22.1</v>
      </c>
      <c r="X89">
        <v>29.51</v>
      </c>
      <c r="Y89">
        <v>18.22</v>
      </c>
      <c r="Z89">
        <v>6.13</v>
      </c>
      <c r="AA89">
        <v>266</v>
      </c>
      <c r="AB89">
        <v>0.67</v>
      </c>
      <c r="AC89">
        <v>0.1</v>
      </c>
      <c r="AD89">
        <v>0.06</v>
      </c>
      <c r="AE89">
        <v>0.21</v>
      </c>
      <c r="AF89">
        <v>0.32</v>
      </c>
      <c r="AG89">
        <v>0.74</v>
      </c>
      <c r="AH89">
        <v>7.08</v>
      </c>
      <c r="AI89">
        <v>3</v>
      </c>
      <c r="AJ89">
        <v>4.4400000000000004</v>
      </c>
      <c r="AK89">
        <v>20.21</v>
      </c>
      <c r="AL89">
        <v>3.91</v>
      </c>
      <c r="AM89">
        <v>5.34</v>
      </c>
      <c r="AN89">
        <v>7.49</v>
      </c>
      <c r="AO89">
        <v>0.86</v>
      </c>
      <c r="AP89">
        <v>5.23</v>
      </c>
      <c r="AQ89">
        <v>0.72</v>
      </c>
      <c r="AR89">
        <v>4.05</v>
      </c>
      <c r="AS89">
        <v>6.38</v>
      </c>
      <c r="AT89">
        <v>3.02</v>
      </c>
      <c r="AU89">
        <v>4.1500000000000004</v>
      </c>
      <c r="AV89">
        <v>2.2000000000000002</v>
      </c>
      <c r="AW89">
        <v>3.09</v>
      </c>
      <c r="AX89">
        <v>0.74</v>
      </c>
      <c r="AY89">
        <v>70.05</v>
      </c>
      <c r="AZ89">
        <v>8.57</v>
      </c>
      <c r="BA89">
        <v>57.39</v>
      </c>
      <c r="BC89">
        <v>0.15</v>
      </c>
      <c r="BD89">
        <v>0.57999999999999996</v>
      </c>
      <c r="BF89">
        <v>3.52</v>
      </c>
    </row>
    <row r="90" spans="1:58" x14ac:dyDescent="0.25">
      <c r="A90" t="s">
        <v>364</v>
      </c>
      <c r="B90" t="s">
        <v>222</v>
      </c>
      <c r="C90" t="s">
        <v>359</v>
      </c>
      <c r="D90" t="s">
        <v>606</v>
      </c>
      <c r="E90">
        <v>67.459999999999994</v>
      </c>
      <c r="F90">
        <v>189</v>
      </c>
      <c r="G90">
        <v>18.29</v>
      </c>
      <c r="H90">
        <v>12.82</v>
      </c>
      <c r="M90">
        <v>1.23</v>
      </c>
      <c r="P90">
        <v>0.11</v>
      </c>
      <c r="Q90">
        <v>0.13</v>
      </c>
      <c r="R90">
        <v>3.62</v>
      </c>
      <c r="S90">
        <v>0.89</v>
      </c>
      <c r="T90">
        <v>0.42</v>
      </c>
      <c r="U90">
        <v>10.42</v>
      </c>
      <c r="W90">
        <v>20.12</v>
      </c>
      <c r="X90">
        <v>232</v>
      </c>
      <c r="Y90">
        <v>23.54</v>
      </c>
      <c r="Z90">
        <v>51.14</v>
      </c>
      <c r="AA90">
        <v>330</v>
      </c>
      <c r="AB90">
        <v>1.4</v>
      </c>
      <c r="AC90">
        <v>0.02</v>
      </c>
      <c r="AD90">
        <v>0.4</v>
      </c>
      <c r="AE90">
        <v>2.16</v>
      </c>
      <c r="AF90">
        <v>18.329999999999998</v>
      </c>
      <c r="AG90">
        <v>1.26</v>
      </c>
      <c r="AH90">
        <v>8.86</v>
      </c>
      <c r="AI90">
        <v>5.21</v>
      </c>
      <c r="AJ90">
        <v>4.96</v>
      </c>
      <c r="AK90">
        <v>15.54</v>
      </c>
      <c r="AL90">
        <v>4.87</v>
      </c>
      <c r="AM90">
        <v>4.76</v>
      </c>
      <c r="AN90">
        <v>6.19</v>
      </c>
      <c r="AO90">
        <v>1.08</v>
      </c>
      <c r="AP90">
        <v>5.01</v>
      </c>
      <c r="AQ90">
        <v>2.63</v>
      </c>
      <c r="AR90">
        <v>5.04</v>
      </c>
      <c r="AS90">
        <v>9.2899999999999991</v>
      </c>
      <c r="AT90">
        <v>3.99</v>
      </c>
      <c r="AU90">
        <v>5.01</v>
      </c>
      <c r="AV90">
        <v>2.87</v>
      </c>
      <c r="AW90">
        <v>7.65</v>
      </c>
      <c r="AX90">
        <v>7.32</v>
      </c>
      <c r="AY90">
        <v>610</v>
      </c>
      <c r="AZ90">
        <v>750</v>
      </c>
      <c r="BA90">
        <v>360</v>
      </c>
      <c r="BB90">
        <v>91.81</v>
      </c>
    </row>
    <row r="91" spans="1:58" x14ac:dyDescent="0.25">
      <c r="A91" t="s">
        <v>364</v>
      </c>
      <c r="B91" t="s">
        <v>191</v>
      </c>
      <c r="C91" t="s">
        <v>357</v>
      </c>
      <c r="D91" t="s">
        <v>808</v>
      </c>
      <c r="E91">
        <v>16.84</v>
      </c>
      <c r="F91">
        <v>303</v>
      </c>
      <c r="G91">
        <v>61.32</v>
      </c>
      <c r="H91">
        <v>6.26</v>
      </c>
      <c r="M91">
        <v>15.31</v>
      </c>
      <c r="O91">
        <v>22.29</v>
      </c>
      <c r="Q91">
        <v>0.18</v>
      </c>
      <c r="R91">
        <v>3.19</v>
      </c>
      <c r="S91">
        <v>0.31</v>
      </c>
      <c r="T91">
        <v>2.99</v>
      </c>
      <c r="U91">
        <v>352</v>
      </c>
      <c r="W91">
        <v>51.12</v>
      </c>
      <c r="X91">
        <v>461</v>
      </c>
      <c r="Y91">
        <v>133</v>
      </c>
      <c r="Z91">
        <v>10612</v>
      </c>
      <c r="AA91">
        <v>804</v>
      </c>
      <c r="AB91">
        <v>3.44</v>
      </c>
      <c r="AC91">
        <v>0.25</v>
      </c>
      <c r="AD91">
        <v>0.45</v>
      </c>
      <c r="AE91">
        <v>3.02</v>
      </c>
      <c r="AF91">
        <v>811</v>
      </c>
      <c r="AG91">
        <v>1.19</v>
      </c>
      <c r="AH91">
        <v>9.2200000000000006</v>
      </c>
      <c r="AI91">
        <v>4.8499999999999996</v>
      </c>
      <c r="AJ91">
        <v>4.1500000000000004</v>
      </c>
      <c r="AK91">
        <v>15.57</v>
      </c>
      <c r="AL91">
        <v>5.0999999999999996</v>
      </c>
      <c r="AM91">
        <v>5.04</v>
      </c>
      <c r="AN91">
        <v>6.25</v>
      </c>
      <c r="AO91">
        <v>1.03</v>
      </c>
      <c r="AP91">
        <v>4.6399999999999997</v>
      </c>
      <c r="AQ91">
        <v>1.82</v>
      </c>
      <c r="AR91">
        <v>4.8</v>
      </c>
      <c r="AS91">
        <v>7.19</v>
      </c>
      <c r="AT91">
        <v>3.91</v>
      </c>
      <c r="AU91">
        <v>4.45</v>
      </c>
      <c r="AV91">
        <v>5.15</v>
      </c>
      <c r="AW91">
        <v>8.1199999999999992</v>
      </c>
      <c r="AX91">
        <v>6.48</v>
      </c>
      <c r="AY91">
        <v>2713</v>
      </c>
      <c r="AZ91">
        <v>1537</v>
      </c>
      <c r="BA91">
        <v>1379</v>
      </c>
      <c r="BB91">
        <v>98.44</v>
      </c>
    </row>
    <row r="92" spans="1:58" x14ac:dyDescent="0.25">
      <c r="A92" t="s">
        <v>364</v>
      </c>
      <c r="B92" t="s">
        <v>88</v>
      </c>
      <c r="C92" t="s">
        <v>355</v>
      </c>
      <c r="D92" t="s">
        <v>784</v>
      </c>
      <c r="E92">
        <v>91.15</v>
      </c>
      <c r="F92">
        <v>21</v>
      </c>
      <c r="G92">
        <v>1.28</v>
      </c>
      <c r="H92">
        <v>0.39</v>
      </c>
      <c r="I92">
        <v>2.64</v>
      </c>
      <c r="J92">
        <v>3.94</v>
      </c>
      <c r="K92">
        <v>3.06</v>
      </c>
      <c r="L92">
        <v>0.88</v>
      </c>
      <c r="M92">
        <v>0.61</v>
      </c>
      <c r="N92">
        <v>24.33</v>
      </c>
      <c r="P92">
        <v>0.04</v>
      </c>
      <c r="Q92">
        <v>0.12</v>
      </c>
      <c r="R92">
        <v>0.48</v>
      </c>
      <c r="S92">
        <v>0.28000000000000003</v>
      </c>
      <c r="T92">
        <v>0.09</v>
      </c>
      <c r="U92">
        <v>38.630000000000003</v>
      </c>
      <c r="V92">
        <v>2.4</v>
      </c>
      <c r="W92">
        <v>12.38</v>
      </c>
      <c r="X92">
        <v>31.85</v>
      </c>
      <c r="Y92">
        <v>19.62</v>
      </c>
      <c r="Z92">
        <v>3.07</v>
      </c>
      <c r="AA92">
        <v>247</v>
      </c>
      <c r="AB92">
        <v>0.31</v>
      </c>
      <c r="AC92">
        <v>0.12</v>
      </c>
      <c r="AD92">
        <v>7.0000000000000007E-2</v>
      </c>
      <c r="AE92">
        <v>0.22</v>
      </c>
      <c r="AG92">
        <v>0.79</v>
      </c>
      <c r="AH92">
        <v>16.97</v>
      </c>
      <c r="AI92">
        <v>3.22</v>
      </c>
      <c r="AJ92">
        <v>3.73</v>
      </c>
      <c r="AK92">
        <v>21.04</v>
      </c>
      <c r="AL92">
        <v>4.59</v>
      </c>
      <c r="AM92">
        <v>4.13</v>
      </c>
      <c r="AN92">
        <v>5.09</v>
      </c>
      <c r="AO92">
        <v>0.96</v>
      </c>
      <c r="AP92">
        <v>5.75</v>
      </c>
      <c r="AQ92">
        <v>0.95</v>
      </c>
      <c r="AR92">
        <v>4.18</v>
      </c>
      <c r="AS92">
        <v>5.64</v>
      </c>
      <c r="AT92">
        <v>2.4500000000000002</v>
      </c>
      <c r="AU92">
        <v>4.38</v>
      </c>
      <c r="AV92">
        <v>1.91</v>
      </c>
      <c r="AW92">
        <v>3.81</v>
      </c>
      <c r="AX92">
        <v>0.79</v>
      </c>
      <c r="AY92">
        <v>26.96</v>
      </c>
      <c r="AZ92">
        <v>10.51</v>
      </c>
      <c r="BA92">
        <v>63</v>
      </c>
      <c r="BC92">
        <v>1.01</v>
      </c>
      <c r="BD92">
        <v>1.71</v>
      </c>
      <c r="BF92">
        <v>146</v>
      </c>
    </row>
    <row r="93" spans="1:58" x14ac:dyDescent="0.25">
      <c r="A93" t="s">
        <v>364</v>
      </c>
      <c r="B93" t="s">
        <v>228</v>
      </c>
      <c r="C93" t="s">
        <v>359</v>
      </c>
      <c r="D93" t="s">
        <v>611</v>
      </c>
      <c r="E93">
        <v>72.19</v>
      </c>
      <c r="F93">
        <v>138</v>
      </c>
      <c r="G93">
        <v>20.37</v>
      </c>
      <c r="H93">
        <v>6.23</v>
      </c>
      <c r="M93">
        <v>1</v>
      </c>
      <c r="P93">
        <v>0.08</v>
      </c>
      <c r="Q93">
        <v>0.13</v>
      </c>
      <c r="R93">
        <v>6.19</v>
      </c>
      <c r="S93">
        <v>1.03</v>
      </c>
      <c r="T93">
        <v>0.28000000000000003</v>
      </c>
      <c r="U93">
        <v>1.73</v>
      </c>
      <c r="W93">
        <v>7.58</v>
      </c>
      <c r="X93">
        <v>178</v>
      </c>
      <c r="Y93">
        <v>19.5</v>
      </c>
      <c r="Z93">
        <v>55.71</v>
      </c>
      <c r="AA93">
        <v>333</v>
      </c>
      <c r="AB93">
        <v>1.62</v>
      </c>
      <c r="AD93">
        <v>0.06</v>
      </c>
      <c r="AE93">
        <v>5.05</v>
      </c>
      <c r="AF93">
        <v>23.41</v>
      </c>
      <c r="AG93">
        <v>1.7</v>
      </c>
      <c r="AH93">
        <v>9.52</v>
      </c>
      <c r="AI93">
        <v>5</v>
      </c>
      <c r="AJ93">
        <v>4.24</v>
      </c>
      <c r="AK93">
        <v>14.49</v>
      </c>
      <c r="AL93">
        <v>4.43</v>
      </c>
      <c r="AM93">
        <v>6.75</v>
      </c>
      <c r="AN93">
        <v>5.62</v>
      </c>
      <c r="AO93">
        <v>1.43</v>
      </c>
      <c r="AP93">
        <v>5.22</v>
      </c>
      <c r="AQ93">
        <v>3.35</v>
      </c>
      <c r="AR93">
        <v>4.5</v>
      </c>
      <c r="AS93">
        <v>7.24</v>
      </c>
      <c r="AT93">
        <v>3.63</v>
      </c>
      <c r="AU93">
        <v>4.26</v>
      </c>
      <c r="AV93">
        <v>4</v>
      </c>
      <c r="AW93">
        <v>6.35</v>
      </c>
      <c r="AX93">
        <v>5.71</v>
      </c>
      <c r="AY93">
        <v>3129</v>
      </c>
      <c r="AZ93">
        <v>2228</v>
      </c>
      <c r="BA93">
        <v>353</v>
      </c>
      <c r="BB93">
        <v>87.55</v>
      </c>
    </row>
    <row r="94" spans="1:58" x14ac:dyDescent="0.25">
      <c r="A94" t="s">
        <v>364</v>
      </c>
      <c r="B94" t="s">
        <v>193</v>
      </c>
      <c r="C94" t="s">
        <v>357</v>
      </c>
      <c r="D94" t="s">
        <v>814</v>
      </c>
      <c r="E94">
        <v>26.09</v>
      </c>
      <c r="F94">
        <v>267</v>
      </c>
      <c r="G94">
        <v>55.03</v>
      </c>
      <c r="H94">
        <v>5.25</v>
      </c>
      <c r="M94">
        <v>13.79</v>
      </c>
      <c r="O94">
        <v>10.31</v>
      </c>
      <c r="Q94">
        <v>0.04</v>
      </c>
      <c r="R94">
        <v>3.27</v>
      </c>
      <c r="S94">
        <v>0.81</v>
      </c>
      <c r="T94">
        <v>0.32</v>
      </c>
      <c r="U94">
        <v>187</v>
      </c>
      <c r="W94">
        <v>42.24</v>
      </c>
      <c r="X94">
        <v>146</v>
      </c>
      <c r="Y94">
        <v>92.94</v>
      </c>
      <c r="Z94">
        <v>10585</v>
      </c>
      <c r="AA94">
        <v>837</v>
      </c>
      <c r="AB94">
        <v>1.48</v>
      </c>
      <c r="AC94">
        <v>0.15</v>
      </c>
      <c r="AD94">
        <v>0.08</v>
      </c>
      <c r="AE94">
        <v>0.66</v>
      </c>
      <c r="AF94">
        <v>143</v>
      </c>
      <c r="AG94">
        <v>1.05</v>
      </c>
      <c r="AH94">
        <v>10.14</v>
      </c>
      <c r="AI94">
        <v>5.0199999999999996</v>
      </c>
      <c r="AJ94">
        <v>4.18</v>
      </c>
      <c r="AK94">
        <v>17.649999999999999</v>
      </c>
      <c r="AL94">
        <v>4.2699999999999996</v>
      </c>
      <c r="AM94">
        <v>4.5599999999999996</v>
      </c>
      <c r="AN94">
        <v>5.66</v>
      </c>
      <c r="AO94">
        <v>1.08</v>
      </c>
      <c r="AP94">
        <v>4.57</v>
      </c>
      <c r="AQ94">
        <v>1.89</v>
      </c>
      <c r="AR94">
        <v>5.22</v>
      </c>
      <c r="AS94">
        <v>7.99</v>
      </c>
      <c r="AT94">
        <v>4.0199999999999996</v>
      </c>
      <c r="AU94">
        <v>4.45</v>
      </c>
      <c r="AV94">
        <v>2.48</v>
      </c>
      <c r="AW94">
        <v>8.4</v>
      </c>
      <c r="AX94">
        <v>6.4</v>
      </c>
      <c r="AY94">
        <v>1157</v>
      </c>
      <c r="AZ94">
        <v>830</v>
      </c>
      <c r="BA94">
        <v>852</v>
      </c>
      <c r="BB94">
        <v>39.82</v>
      </c>
    </row>
    <row r="95" spans="1:58" x14ac:dyDescent="0.25">
      <c r="A95" t="s">
        <v>364</v>
      </c>
      <c r="B95" t="s">
        <v>177</v>
      </c>
      <c r="C95" t="s">
        <v>357</v>
      </c>
      <c r="D95" t="s">
        <v>827</v>
      </c>
      <c r="E95">
        <v>77.25</v>
      </c>
      <c r="F95">
        <v>97</v>
      </c>
      <c r="G95">
        <v>21.8</v>
      </c>
      <c r="H95">
        <v>1.06</v>
      </c>
      <c r="M95">
        <v>1.27</v>
      </c>
      <c r="O95">
        <v>1.25</v>
      </c>
      <c r="P95">
        <v>0.13</v>
      </c>
      <c r="Q95">
        <v>0.02</v>
      </c>
      <c r="R95">
        <v>0.86</v>
      </c>
      <c r="S95">
        <v>0.61</v>
      </c>
      <c r="T95">
        <v>0.1</v>
      </c>
      <c r="U95">
        <v>14.38</v>
      </c>
      <c r="W95">
        <v>37.06</v>
      </c>
      <c r="X95">
        <v>229</v>
      </c>
      <c r="Y95">
        <v>39.049999999999997</v>
      </c>
      <c r="Z95">
        <v>91.91</v>
      </c>
      <c r="AA95">
        <v>365</v>
      </c>
      <c r="AB95">
        <v>0.24</v>
      </c>
      <c r="AC95">
        <v>0.02</v>
      </c>
      <c r="AD95">
        <v>0.03</v>
      </c>
      <c r="AE95">
        <v>0.42</v>
      </c>
      <c r="AF95">
        <v>32.020000000000003</v>
      </c>
      <c r="AG95">
        <v>1.0900000000000001</v>
      </c>
      <c r="AH95">
        <v>10.14</v>
      </c>
      <c r="AI95">
        <v>5.26</v>
      </c>
      <c r="AJ95">
        <v>4.9000000000000004</v>
      </c>
      <c r="AL95">
        <v>3.3</v>
      </c>
      <c r="AM95">
        <v>4.41</v>
      </c>
      <c r="AN95">
        <v>5.6</v>
      </c>
      <c r="AO95">
        <v>1.52</v>
      </c>
      <c r="AP95">
        <v>5.71</v>
      </c>
      <c r="AQ95">
        <v>3.65</v>
      </c>
      <c r="AR95">
        <v>4.9400000000000004</v>
      </c>
      <c r="AS95">
        <v>8.32</v>
      </c>
      <c r="AT95">
        <v>4.21</v>
      </c>
      <c r="AU95">
        <v>4.6500000000000004</v>
      </c>
      <c r="AV95">
        <v>3.14</v>
      </c>
      <c r="AW95">
        <v>7.62</v>
      </c>
      <c r="AX95">
        <v>5.0199999999999996</v>
      </c>
      <c r="AY95">
        <v>403</v>
      </c>
      <c r="AZ95">
        <v>107</v>
      </c>
      <c r="BA95">
        <v>336</v>
      </c>
      <c r="BB95">
        <v>15.6</v>
      </c>
    </row>
    <row r="96" spans="1:58" x14ac:dyDescent="0.25">
      <c r="A96" t="s">
        <v>364</v>
      </c>
      <c r="B96" t="s">
        <v>197</v>
      </c>
      <c r="C96" t="s">
        <v>358</v>
      </c>
      <c r="D96" t="s">
        <v>737</v>
      </c>
      <c r="E96">
        <v>40.299999999999997</v>
      </c>
      <c r="F96">
        <v>346</v>
      </c>
      <c r="G96">
        <v>24.6</v>
      </c>
      <c r="H96">
        <v>25.1</v>
      </c>
      <c r="I96">
        <v>5.4</v>
      </c>
      <c r="M96">
        <v>4.5999999999999996</v>
      </c>
      <c r="N96">
        <v>205</v>
      </c>
      <c r="P96">
        <v>0.02</v>
      </c>
      <c r="Q96">
        <v>0.47</v>
      </c>
      <c r="R96">
        <v>6.5</v>
      </c>
      <c r="U96">
        <v>40</v>
      </c>
      <c r="W96">
        <v>790</v>
      </c>
      <c r="X96">
        <v>414</v>
      </c>
      <c r="Y96">
        <v>22</v>
      </c>
      <c r="Z96">
        <v>509</v>
      </c>
      <c r="AA96">
        <v>83</v>
      </c>
      <c r="AB96">
        <v>0.3</v>
      </c>
      <c r="AD96">
        <v>0.03</v>
      </c>
      <c r="AE96">
        <v>3.55</v>
      </c>
      <c r="AG96">
        <v>1.42</v>
      </c>
      <c r="AH96">
        <v>7.69</v>
      </c>
      <c r="AI96">
        <v>4.37</v>
      </c>
      <c r="AJ96">
        <v>5.27</v>
      </c>
      <c r="AK96">
        <v>20.239999999999998</v>
      </c>
      <c r="AL96">
        <v>10.45</v>
      </c>
      <c r="AM96">
        <v>2.1800000000000002</v>
      </c>
      <c r="AN96">
        <v>3.39</v>
      </c>
      <c r="AO96">
        <v>0.72</v>
      </c>
      <c r="AP96">
        <v>5.68</v>
      </c>
      <c r="AQ96">
        <v>2.2799999999999998</v>
      </c>
      <c r="AR96">
        <v>4.79</v>
      </c>
      <c r="AS96">
        <v>9.76</v>
      </c>
      <c r="AT96">
        <v>5.36</v>
      </c>
      <c r="AU96">
        <v>5.08</v>
      </c>
      <c r="AV96">
        <v>2.04</v>
      </c>
      <c r="AW96">
        <v>5.79</v>
      </c>
      <c r="AX96">
        <v>3.56</v>
      </c>
      <c r="AY96">
        <v>8851</v>
      </c>
      <c r="AZ96">
        <v>4300</v>
      </c>
      <c r="BA96">
        <v>439</v>
      </c>
    </row>
    <row r="97" spans="1:58" x14ac:dyDescent="0.25">
      <c r="A97" t="s">
        <v>364</v>
      </c>
      <c r="B97" t="s">
        <v>261</v>
      </c>
      <c r="C97" t="s">
        <v>362</v>
      </c>
      <c r="D97" t="s">
        <v>602</v>
      </c>
      <c r="E97">
        <v>12.94</v>
      </c>
      <c r="F97">
        <v>218</v>
      </c>
      <c r="G97">
        <v>10.17</v>
      </c>
      <c r="H97">
        <v>2.76</v>
      </c>
      <c r="I97">
        <v>36.35</v>
      </c>
      <c r="J97">
        <v>33.11</v>
      </c>
      <c r="K97">
        <v>30.41</v>
      </c>
      <c r="L97">
        <v>2.69</v>
      </c>
      <c r="M97">
        <v>4.68</v>
      </c>
      <c r="N97">
        <v>157</v>
      </c>
      <c r="P97">
        <v>0.06</v>
      </c>
      <c r="Q97">
        <v>7.0000000000000007E-2</v>
      </c>
      <c r="R97">
        <v>0.85</v>
      </c>
      <c r="S97">
        <v>0.27</v>
      </c>
      <c r="T97">
        <v>0.27</v>
      </c>
      <c r="U97">
        <v>24.17</v>
      </c>
      <c r="W97">
        <v>456</v>
      </c>
      <c r="X97">
        <v>127</v>
      </c>
      <c r="Y97">
        <v>154</v>
      </c>
      <c r="Z97">
        <v>28.94</v>
      </c>
      <c r="AA97">
        <v>1768</v>
      </c>
      <c r="AB97">
        <v>8.6</v>
      </c>
      <c r="AC97">
        <v>5.82</v>
      </c>
      <c r="AD97">
        <v>1.52</v>
      </c>
      <c r="AE97">
        <v>0.95</v>
      </c>
      <c r="AF97">
        <v>12.23</v>
      </c>
      <c r="AY97">
        <v>670</v>
      </c>
      <c r="AZ97">
        <v>465</v>
      </c>
      <c r="BA97">
        <v>1072</v>
      </c>
      <c r="BC97">
        <v>0.32</v>
      </c>
      <c r="BD97">
        <v>35.049999999999997</v>
      </c>
      <c r="BE97">
        <v>162</v>
      </c>
      <c r="BF97">
        <v>777</v>
      </c>
    </row>
    <row r="98" spans="1:58" x14ac:dyDescent="0.25">
      <c r="A98" t="s">
        <v>364</v>
      </c>
      <c r="B98" t="s">
        <v>279</v>
      </c>
      <c r="C98" t="s">
        <v>358</v>
      </c>
      <c r="D98" t="s">
        <v>195</v>
      </c>
      <c r="E98">
        <v>15.9</v>
      </c>
      <c r="F98">
        <v>733</v>
      </c>
      <c r="G98">
        <v>0.9</v>
      </c>
      <c r="H98">
        <v>81</v>
      </c>
      <c r="I98">
        <v>0.2</v>
      </c>
      <c r="M98">
        <v>2.1</v>
      </c>
      <c r="N98">
        <v>633</v>
      </c>
      <c r="P98">
        <v>0.01</v>
      </c>
      <c r="Q98">
        <v>0.03</v>
      </c>
      <c r="R98">
        <v>0.04</v>
      </c>
      <c r="T98">
        <v>3.0000000000000001E-3</v>
      </c>
      <c r="U98">
        <v>3</v>
      </c>
      <c r="W98">
        <v>24</v>
      </c>
      <c r="X98">
        <v>24</v>
      </c>
      <c r="Y98">
        <v>2</v>
      </c>
      <c r="Z98">
        <v>714</v>
      </c>
      <c r="AA98">
        <v>24</v>
      </c>
      <c r="AE98">
        <v>0.09</v>
      </c>
    </row>
    <row r="99" spans="1:58" x14ac:dyDescent="0.25">
      <c r="A99" t="s">
        <v>364</v>
      </c>
      <c r="B99" t="s">
        <v>180</v>
      </c>
      <c r="C99" t="s">
        <v>357</v>
      </c>
      <c r="D99" t="s">
        <v>819</v>
      </c>
      <c r="E99">
        <v>80.849999999999994</v>
      </c>
      <c r="F99">
        <v>78</v>
      </c>
      <c r="G99">
        <v>16.25</v>
      </c>
      <c r="H99">
        <v>1.44</v>
      </c>
      <c r="M99">
        <v>1.1499999999999999</v>
      </c>
      <c r="O99">
        <v>4.72</v>
      </c>
      <c r="P99">
        <v>0.03</v>
      </c>
      <c r="Q99">
        <v>0.02</v>
      </c>
      <c r="R99">
        <v>0.71</v>
      </c>
      <c r="S99">
        <v>0.95</v>
      </c>
      <c r="T99">
        <v>0.1</v>
      </c>
      <c r="U99">
        <v>13</v>
      </c>
      <c r="W99">
        <v>14.15</v>
      </c>
      <c r="X99">
        <v>167</v>
      </c>
      <c r="Y99">
        <v>35.74</v>
      </c>
      <c r="Z99">
        <v>121</v>
      </c>
      <c r="AA99">
        <v>134</v>
      </c>
      <c r="AB99">
        <v>0.26</v>
      </c>
      <c r="AC99">
        <v>0.02</v>
      </c>
      <c r="AD99">
        <v>0.15</v>
      </c>
      <c r="AE99">
        <v>0.95</v>
      </c>
      <c r="AF99">
        <v>47.43</v>
      </c>
      <c r="AG99">
        <v>1.24</v>
      </c>
      <c r="AH99">
        <v>8.86</v>
      </c>
      <c r="AI99">
        <v>7.18</v>
      </c>
      <c r="AJ99">
        <v>5.79</v>
      </c>
      <c r="AK99">
        <v>12.38</v>
      </c>
      <c r="AL99">
        <v>3.27</v>
      </c>
      <c r="AM99">
        <v>5.48</v>
      </c>
      <c r="AN99">
        <v>5.71</v>
      </c>
      <c r="AO99">
        <v>1.52</v>
      </c>
      <c r="AP99">
        <v>5.0999999999999996</v>
      </c>
      <c r="AQ99">
        <v>3.77</v>
      </c>
      <c r="AR99">
        <v>5.34</v>
      </c>
      <c r="AS99">
        <v>7.84</v>
      </c>
      <c r="AT99">
        <v>5.63</v>
      </c>
      <c r="AU99">
        <v>6.47</v>
      </c>
      <c r="AV99">
        <v>3.54</v>
      </c>
      <c r="AW99">
        <v>5.58</v>
      </c>
      <c r="AX99">
        <v>6.75</v>
      </c>
      <c r="AY99">
        <v>448</v>
      </c>
      <c r="AZ99">
        <v>83.36</v>
      </c>
      <c r="BA99">
        <v>545</v>
      </c>
      <c r="BB99">
        <v>126</v>
      </c>
    </row>
    <row r="100" spans="1:58" x14ac:dyDescent="0.25">
      <c r="A100" t="s">
        <v>364</v>
      </c>
      <c r="B100" t="s">
        <v>288</v>
      </c>
      <c r="C100" t="s">
        <v>362</v>
      </c>
      <c r="D100" t="s">
        <v>585</v>
      </c>
      <c r="E100">
        <v>10.54</v>
      </c>
      <c r="F100">
        <v>260</v>
      </c>
      <c r="G100">
        <v>8.25</v>
      </c>
      <c r="H100">
        <v>2.75</v>
      </c>
      <c r="I100">
        <v>48.59</v>
      </c>
      <c r="J100">
        <v>23.1</v>
      </c>
      <c r="K100">
        <v>20.54</v>
      </c>
      <c r="L100">
        <v>2.56</v>
      </c>
      <c r="M100">
        <v>6.78</v>
      </c>
      <c r="N100">
        <v>3.95</v>
      </c>
      <c r="P100">
        <v>0.12</v>
      </c>
      <c r="Q100">
        <v>0.06</v>
      </c>
      <c r="R100">
        <v>0.95</v>
      </c>
      <c r="S100">
        <v>0.22</v>
      </c>
      <c r="T100">
        <v>0.14000000000000001</v>
      </c>
      <c r="U100">
        <v>3.41</v>
      </c>
      <c r="W100">
        <v>329</v>
      </c>
      <c r="X100">
        <v>135</v>
      </c>
      <c r="Y100">
        <v>259</v>
      </c>
      <c r="Z100">
        <v>14.78</v>
      </c>
      <c r="AA100">
        <v>1251</v>
      </c>
      <c r="AB100">
        <v>9.16</v>
      </c>
      <c r="AC100">
        <v>39.200000000000003</v>
      </c>
      <c r="AD100">
        <v>0.75</v>
      </c>
      <c r="AE100">
        <v>3.37</v>
      </c>
      <c r="AF100">
        <v>10</v>
      </c>
      <c r="AG100">
        <v>1.02</v>
      </c>
      <c r="AH100">
        <v>11.93</v>
      </c>
      <c r="AI100">
        <v>3.69</v>
      </c>
      <c r="AJ100">
        <v>6.48</v>
      </c>
      <c r="AK100">
        <v>19.82</v>
      </c>
      <c r="AL100">
        <v>3.3</v>
      </c>
      <c r="AM100">
        <v>6.46</v>
      </c>
      <c r="AN100">
        <v>7.27</v>
      </c>
      <c r="AO100">
        <v>0.82</v>
      </c>
      <c r="AP100">
        <v>2.98</v>
      </c>
      <c r="AQ100">
        <v>1.17</v>
      </c>
      <c r="AR100">
        <v>2.2799999999999998</v>
      </c>
      <c r="AS100">
        <v>7.03</v>
      </c>
      <c r="AT100">
        <v>1.75</v>
      </c>
      <c r="AU100">
        <v>3</v>
      </c>
      <c r="AV100">
        <v>2.14</v>
      </c>
      <c r="AW100">
        <v>2.85</v>
      </c>
      <c r="AX100">
        <v>8.5</v>
      </c>
      <c r="AY100">
        <v>638</v>
      </c>
      <c r="AZ100">
        <v>975</v>
      </c>
      <c r="BA100">
        <v>587</v>
      </c>
      <c r="BC100">
        <v>4.28</v>
      </c>
      <c r="BD100">
        <v>28.74</v>
      </c>
      <c r="BF100">
        <v>23.75</v>
      </c>
    </row>
    <row r="101" spans="1:58" x14ac:dyDescent="0.25">
      <c r="A101" t="s">
        <v>364</v>
      </c>
      <c r="B101" t="s">
        <v>45</v>
      </c>
      <c r="C101" t="s">
        <v>355</v>
      </c>
      <c r="D101" t="s">
        <v>840</v>
      </c>
      <c r="E101">
        <v>74.430000000000007</v>
      </c>
      <c r="F101">
        <v>70</v>
      </c>
      <c r="G101">
        <v>8.01</v>
      </c>
      <c r="H101">
        <v>1.35</v>
      </c>
      <c r="I101">
        <v>5.21</v>
      </c>
      <c r="J101">
        <v>8.6</v>
      </c>
      <c r="K101">
        <v>6</v>
      </c>
      <c r="L101">
        <v>2.6</v>
      </c>
      <c r="M101">
        <v>2.42</v>
      </c>
      <c r="N101">
        <v>2097</v>
      </c>
      <c r="P101">
        <v>0.26</v>
      </c>
      <c r="Q101">
        <v>0.33</v>
      </c>
      <c r="R101">
        <v>1.18</v>
      </c>
      <c r="S101">
        <v>0.53</v>
      </c>
      <c r="T101">
        <v>0.22</v>
      </c>
      <c r="U101">
        <v>120</v>
      </c>
      <c r="V101">
        <v>121</v>
      </c>
      <c r="W101">
        <v>901</v>
      </c>
      <c r="X101">
        <v>52.52</v>
      </c>
      <c r="Y101">
        <v>96.64</v>
      </c>
      <c r="Z101">
        <v>18.12</v>
      </c>
      <c r="AA101">
        <v>674</v>
      </c>
      <c r="AB101">
        <v>4.3600000000000003</v>
      </c>
      <c r="AC101">
        <v>1.24</v>
      </c>
      <c r="AD101">
        <v>0.25</v>
      </c>
      <c r="AE101">
        <v>0.53</v>
      </c>
      <c r="AF101">
        <v>30.7</v>
      </c>
      <c r="AG101">
        <v>1.77</v>
      </c>
      <c r="AH101">
        <v>10.61</v>
      </c>
      <c r="AI101">
        <v>5.39</v>
      </c>
      <c r="AJ101">
        <v>4.4400000000000004</v>
      </c>
      <c r="AK101">
        <v>15.78</v>
      </c>
      <c r="AL101">
        <v>4.63</v>
      </c>
      <c r="AM101">
        <v>5.47</v>
      </c>
      <c r="AN101">
        <v>7.22</v>
      </c>
      <c r="AO101">
        <v>0.85</v>
      </c>
      <c r="AP101">
        <v>5.99</v>
      </c>
      <c r="AQ101">
        <v>1.28</v>
      </c>
      <c r="AR101">
        <v>2.8</v>
      </c>
      <c r="AS101">
        <v>7.58</v>
      </c>
      <c r="AT101">
        <v>3.76</v>
      </c>
      <c r="AU101">
        <v>6.03</v>
      </c>
      <c r="AV101">
        <v>2.39</v>
      </c>
      <c r="AW101">
        <v>7.62</v>
      </c>
      <c r="AX101">
        <v>1.77</v>
      </c>
      <c r="AY101">
        <v>490</v>
      </c>
      <c r="AZ101">
        <v>57.67</v>
      </c>
      <c r="BA101">
        <v>532</v>
      </c>
      <c r="BC101">
        <v>0.23</v>
      </c>
      <c r="BD101">
        <v>3.72</v>
      </c>
      <c r="BF101">
        <v>12582</v>
      </c>
    </row>
    <row r="102" spans="1:58" x14ac:dyDescent="0.25">
      <c r="A102" t="s">
        <v>364</v>
      </c>
      <c r="B102" t="s">
        <v>281</v>
      </c>
      <c r="C102" t="s">
        <v>358</v>
      </c>
      <c r="D102" t="s">
        <v>743</v>
      </c>
      <c r="E102">
        <v>3.2</v>
      </c>
      <c r="F102">
        <v>497</v>
      </c>
      <c r="G102">
        <v>26.6</v>
      </c>
      <c r="H102">
        <v>26.7</v>
      </c>
      <c r="I102">
        <v>37.5</v>
      </c>
      <c r="M102">
        <v>5.9</v>
      </c>
      <c r="N102">
        <v>238</v>
      </c>
      <c r="P102">
        <v>0.31</v>
      </c>
      <c r="Q102">
        <v>1.37</v>
      </c>
      <c r="R102">
        <v>6.8</v>
      </c>
      <c r="T102">
        <v>0.27</v>
      </c>
      <c r="U102">
        <v>38</v>
      </c>
      <c r="V102">
        <v>10.7</v>
      </c>
      <c r="W102">
        <v>959</v>
      </c>
      <c r="X102">
        <v>758</v>
      </c>
      <c r="Y102">
        <v>92</v>
      </c>
      <c r="Z102">
        <v>365</v>
      </c>
      <c r="AA102">
        <v>1180</v>
      </c>
      <c r="AB102">
        <v>0.7</v>
      </c>
      <c r="AD102">
        <v>0.06</v>
      </c>
      <c r="AE102">
        <v>3.71</v>
      </c>
    </row>
    <row r="103" spans="1:58" x14ac:dyDescent="0.25">
      <c r="A103" t="s">
        <v>364</v>
      </c>
      <c r="B103" t="s">
        <v>156</v>
      </c>
      <c r="C103" t="s">
        <v>357</v>
      </c>
      <c r="D103" t="s">
        <v>695</v>
      </c>
      <c r="E103">
        <v>77.61</v>
      </c>
      <c r="F103">
        <v>98</v>
      </c>
      <c r="G103">
        <v>23.07</v>
      </c>
      <c r="H103">
        <v>0.56000000000000005</v>
      </c>
      <c r="M103">
        <v>1.5</v>
      </c>
      <c r="O103">
        <v>1.52</v>
      </c>
      <c r="P103">
        <v>0.04</v>
      </c>
      <c r="Q103">
        <v>7.0000000000000007E-2</v>
      </c>
      <c r="R103">
        <v>2.5</v>
      </c>
      <c r="S103">
        <v>0.45</v>
      </c>
      <c r="T103">
        <v>0.13</v>
      </c>
      <c r="U103">
        <v>13.34</v>
      </c>
      <c r="W103">
        <v>11.02</v>
      </c>
      <c r="X103">
        <v>231</v>
      </c>
      <c r="Y103">
        <v>28.46</v>
      </c>
      <c r="Z103">
        <v>59.03</v>
      </c>
      <c r="AA103">
        <v>387</v>
      </c>
      <c r="AB103">
        <v>1.38</v>
      </c>
      <c r="AC103">
        <v>0.01</v>
      </c>
      <c r="AD103">
        <v>0.04</v>
      </c>
      <c r="AE103">
        <v>0.55000000000000004</v>
      </c>
      <c r="AF103">
        <v>15.69</v>
      </c>
      <c r="AG103">
        <v>1.56</v>
      </c>
      <c r="AH103">
        <v>10.35</v>
      </c>
      <c r="AI103">
        <v>5.66</v>
      </c>
      <c r="AJ103">
        <v>4.47</v>
      </c>
      <c r="AK103">
        <v>14.85</v>
      </c>
      <c r="AL103">
        <v>3.57</v>
      </c>
      <c r="AM103">
        <v>6.3</v>
      </c>
      <c r="AN103">
        <v>5.25</v>
      </c>
      <c r="AO103">
        <v>1.31</v>
      </c>
      <c r="AP103">
        <v>4.9800000000000004</v>
      </c>
      <c r="AQ103">
        <v>3.1</v>
      </c>
      <c r="AR103">
        <v>4.67</v>
      </c>
      <c r="AS103">
        <v>8.18</v>
      </c>
      <c r="AT103">
        <v>4.96</v>
      </c>
      <c r="AU103">
        <v>4.97</v>
      </c>
      <c r="AV103">
        <v>3.07</v>
      </c>
      <c r="AW103">
        <v>5.8</v>
      </c>
      <c r="AX103">
        <v>6.7</v>
      </c>
      <c r="AY103">
        <v>169</v>
      </c>
      <c r="AZ103">
        <v>67.62</v>
      </c>
      <c r="BA103">
        <v>143</v>
      </c>
      <c r="BB103">
        <v>15.01</v>
      </c>
    </row>
    <row r="104" spans="1:58" x14ac:dyDescent="0.25">
      <c r="A104" t="s">
        <v>364</v>
      </c>
      <c r="B104" t="s">
        <v>340</v>
      </c>
      <c r="C104" t="s">
        <v>361</v>
      </c>
      <c r="D104" t="s">
        <v>239</v>
      </c>
      <c r="F104">
        <v>900</v>
      </c>
      <c r="H104">
        <v>100</v>
      </c>
      <c r="AY104">
        <v>6.84</v>
      </c>
      <c r="AZ104">
        <v>63.31</v>
      </c>
      <c r="BA104">
        <v>28.96</v>
      </c>
    </row>
    <row r="105" spans="1:58" x14ac:dyDescent="0.25">
      <c r="A105" t="s">
        <v>364</v>
      </c>
      <c r="B105" t="s">
        <v>39</v>
      </c>
      <c r="C105" t="s">
        <v>355</v>
      </c>
      <c r="D105" t="s">
        <v>835</v>
      </c>
      <c r="E105">
        <v>84.94</v>
      </c>
      <c r="F105">
        <v>30</v>
      </c>
      <c r="G105">
        <v>2.48</v>
      </c>
      <c r="H105">
        <v>0.12</v>
      </c>
      <c r="I105">
        <v>4.1399999999999997</v>
      </c>
      <c r="J105">
        <v>7.12</v>
      </c>
      <c r="K105">
        <v>5.92</v>
      </c>
      <c r="L105">
        <v>1.2</v>
      </c>
      <c r="M105">
        <v>1.21</v>
      </c>
      <c r="N105">
        <v>3.13</v>
      </c>
      <c r="P105">
        <v>0.05</v>
      </c>
      <c r="Q105">
        <v>0.06</v>
      </c>
      <c r="R105">
        <v>0.63</v>
      </c>
      <c r="S105">
        <v>0.57999999999999996</v>
      </c>
      <c r="T105">
        <v>0.12</v>
      </c>
      <c r="U105">
        <v>60.48</v>
      </c>
      <c r="V105">
        <v>92.33</v>
      </c>
      <c r="W105">
        <v>22.27</v>
      </c>
      <c r="X105">
        <v>42.07</v>
      </c>
      <c r="Y105">
        <v>28.51</v>
      </c>
      <c r="Z105">
        <v>21.99</v>
      </c>
      <c r="AA105">
        <v>336</v>
      </c>
      <c r="AB105">
        <v>0.5</v>
      </c>
      <c r="AC105">
        <v>0.15</v>
      </c>
      <c r="AD105">
        <v>0.09</v>
      </c>
      <c r="AE105">
        <v>0.26</v>
      </c>
      <c r="AF105">
        <v>3.25</v>
      </c>
      <c r="AG105">
        <v>0.81</v>
      </c>
      <c r="AH105">
        <v>9.14</v>
      </c>
      <c r="AI105">
        <v>3.94</v>
      </c>
      <c r="AJ105">
        <v>4.9000000000000004</v>
      </c>
      <c r="AK105">
        <v>24.81</v>
      </c>
      <c r="AL105">
        <v>3.23</v>
      </c>
      <c r="AM105">
        <v>3.66</v>
      </c>
      <c r="AN105">
        <v>6.78</v>
      </c>
      <c r="AO105">
        <v>0.64</v>
      </c>
      <c r="AP105">
        <v>5.24</v>
      </c>
      <c r="AQ105">
        <v>0.88</v>
      </c>
      <c r="AR105">
        <v>2.92</v>
      </c>
      <c r="AS105">
        <v>6.43</v>
      </c>
      <c r="AT105">
        <v>2.1</v>
      </c>
      <c r="AU105">
        <v>3.05</v>
      </c>
      <c r="AV105">
        <v>1.88</v>
      </c>
      <c r="AW105">
        <v>3.43</v>
      </c>
      <c r="AX105">
        <v>0.81</v>
      </c>
      <c r="AY105">
        <v>28.48</v>
      </c>
      <c r="AZ105">
        <v>43.63</v>
      </c>
      <c r="BA105">
        <v>23.89</v>
      </c>
      <c r="BC105">
        <v>1.87</v>
      </c>
      <c r="BD105">
        <v>1.1100000000000001</v>
      </c>
      <c r="BF105">
        <v>18.829999999999998</v>
      </c>
    </row>
    <row r="106" spans="1:58" x14ac:dyDescent="0.25">
      <c r="A106" t="s">
        <v>364</v>
      </c>
      <c r="B106" t="s">
        <v>51</v>
      </c>
      <c r="C106" t="s">
        <v>355</v>
      </c>
      <c r="D106" t="s">
        <v>711</v>
      </c>
      <c r="E106">
        <v>91.52</v>
      </c>
      <c r="F106">
        <v>25</v>
      </c>
      <c r="G106">
        <v>0.57999999999999996</v>
      </c>
      <c r="H106">
        <v>0.22</v>
      </c>
      <c r="I106">
        <v>4.78</v>
      </c>
      <c r="J106">
        <v>2.31</v>
      </c>
      <c r="K106">
        <v>1.37</v>
      </c>
      <c r="L106">
        <v>0.94</v>
      </c>
      <c r="M106">
        <v>0.59</v>
      </c>
      <c r="N106">
        <v>24.46</v>
      </c>
      <c r="P106">
        <v>0.02</v>
      </c>
      <c r="Q106">
        <v>0.04</v>
      </c>
      <c r="R106">
        <v>0.14000000000000001</v>
      </c>
      <c r="S106">
        <v>0.2</v>
      </c>
      <c r="T106">
        <v>0.03</v>
      </c>
      <c r="U106">
        <v>30.09</v>
      </c>
      <c r="V106">
        <v>20.079999999999998</v>
      </c>
      <c r="W106">
        <v>23.12</v>
      </c>
      <c r="X106">
        <v>21.74</v>
      </c>
      <c r="Y106">
        <v>14.84</v>
      </c>
      <c r="Z106">
        <v>7.52</v>
      </c>
      <c r="AA106">
        <v>177</v>
      </c>
      <c r="AB106">
        <v>0.19</v>
      </c>
      <c r="AC106">
        <v>0.04</v>
      </c>
      <c r="AD106">
        <v>0.04</v>
      </c>
      <c r="AE106">
        <v>7.0000000000000007E-2</v>
      </c>
      <c r="AF106">
        <v>2.42</v>
      </c>
      <c r="AG106">
        <v>1.05</v>
      </c>
      <c r="AH106">
        <v>12.16</v>
      </c>
      <c r="AI106">
        <v>2.42</v>
      </c>
      <c r="AJ106">
        <v>3.57</v>
      </c>
      <c r="AK106">
        <v>12.38</v>
      </c>
      <c r="AL106">
        <v>2.72</v>
      </c>
      <c r="AM106">
        <v>4.99</v>
      </c>
      <c r="AN106">
        <v>5.1100000000000003</v>
      </c>
      <c r="AO106">
        <v>3.09</v>
      </c>
      <c r="AP106">
        <v>3.01</v>
      </c>
      <c r="AQ106">
        <v>0.71</v>
      </c>
      <c r="AR106">
        <v>1.61</v>
      </c>
      <c r="AS106">
        <v>3.59</v>
      </c>
      <c r="AT106">
        <v>4.28</v>
      </c>
      <c r="AU106">
        <v>2.06</v>
      </c>
      <c r="AV106">
        <v>0.81</v>
      </c>
      <c r="AW106">
        <v>3.21</v>
      </c>
      <c r="AX106">
        <v>1.05</v>
      </c>
      <c r="AY106">
        <v>38.979999999999997</v>
      </c>
      <c r="AZ106">
        <v>42.06</v>
      </c>
      <c r="BA106">
        <v>70.97</v>
      </c>
      <c r="BC106">
        <v>3.83</v>
      </c>
      <c r="BF106">
        <v>103</v>
      </c>
    </row>
    <row r="107" spans="1:58" x14ac:dyDescent="0.25">
      <c r="A107" t="s">
        <v>364</v>
      </c>
      <c r="B107" t="s">
        <v>307</v>
      </c>
      <c r="C107" t="s">
        <v>355</v>
      </c>
      <c r="D107" t="s">
        <v>848</v>
      </c>
      <c r="E107">
        <v>90.21</v>
      </c>
      <c r="F107">
        <v>27</v>
      </c>
      <c r="G107">
        <v>2.54</v>
      </c>
      <c r="H107">
        <v>0.42</v>
      </c>
      <c r="I107">
        <v>2.92</v>
      </c>
      <c r="J107">
        <v>3.02</v>
      </c>
      <c r="K107">
        <v>1.97</v>
      </c>
      <c r="L107">
        <v>1.05</v>
      </c>
      <c r="M107">
        <v>0.9</v>
      </c>
      <c r="Q107">
        <v>0.15</v>
      </c>
      <c r="R107">
        <v>0.67</v>
      </c>
      <c r="S107">
        <v>0.53</v>
      </c>
      <c r="T107">
        <v>0.13</v>
      </c>
      <c r="U107">
        <v>7.81</v>
      </c>
      <c r="V107">
        <v>11.56</v>
      </c>
      <c r="W107">
        <v>0.9</v>
      </c>
      <c r="X107">
        <v>46.82</v>
      </c>
      <c r="Y107">
        <v>14.42</v>
      </c>
      <c r="Z107">
        <v>9.0399999999999991</v>
      </c>
      <c r="AA107">
        <v>317</v>
      </c>
      <c r="AB107">
        <v>1.32</v>
      </c>
      <c r="AC107">
        <v>0.09</v>
      </c>
      <c r="AD107">
        <v>0.18</v>
      </c>
      <c r="AE107">
        <v>0.79</v>
      </c>
      <c r="AF107">
        <v>3.45</v>
      </c>
      <c r="AG107">
        <v>1.1100000000000001</v>
      </c>
      <c r="AH107">
        <v>8.86</v>
      </c>
      <c r="AI107">
        <v>4.92</v>
      </c>
      <c r="AJ107">
        <v>5.37</v>
      </c>
      <c r="AK107">
        <v>17.53</v>
      </c>
      <c r="AL107">
        <v>6.58</v>
      </c>
      <c r="AM107">
        <v>5.44</v>
      </c>
      <c r="AN107">
        <v>9.07</v>
      </c>
      <c r="AO107">
        <v>0.91</v>
      </c>
      <c r="AP107">
        <v>5.78</v>
      </c>
      <c r="AQ107">
        <v>1.51</v>
      </c>
      <c r="AR107">
        <v>6.08</v>
      </c>
      <c r="AS107">
        <v>7.87</v>
      </c>
      <c r="AT107">
        <v>3.27</v>
      </c>
      <c r="AU107">
        <v>3.65</v>
      </c>
      <c r="AV107">
        <v>2.25</v>
      </c>
      <c r="AW107">
        <v>5.68</v>
      </c>
      <c r="AX107">
        <v>2.29</v>
      </c>
      <c r="AY107">
        <v>79.209999999999994</v>
      </c>
      <c r="AZ107">
        <v>71.680000000000007</v>
      </c>
      <c r="BA107">
        <v>181</v>
      </c>
      <c r="BD107">
        <v>2.56</v>
      </c>
    </row>
    <row r="108" spans="1:58" x14ac:dyDescent="0.25">
      <c r="A108" t="s">
        <v>364</v>
      </c>
      <c r="B108" t="s">
        <v>107</v>
      </c>
      <c r="C108" t="s">
        <v>356</v>
      </c>
      <c r="D108" t="s">
        <v>626</v>
      </c>
      <c r="E108">
        <v>22.06</v>
      </c>
      <c r="F108">
        <v>285</v>
      </c>
      <c r="G108">
        <v>1.28</v>
      </c>
      <c r="H108">
        <v>0.41</v>
      </c>
      <c r="I108">
        <v>67.709999999999994</v>
      </c>
      <c r="J108">
        <v>6.57</v>
      </c>
      <c r="K108">
        <v>5.73</v>
      </c>
      <c r="L108">
        <v>0.84</v>
      </c>
      <c r="M108">
        <v>1.98</v>
      </c>
      <c r="N108">
        <v>569</v>
      </c>
      <c r="P108">
        <v>0.06</v>
      </c>
      <c r="Q108">
        <v>0.02</v>
      </c>
      <c r="R108">
        <v>0.45</v>
      </c>
      <c r="S108">
        <v>0.5</v>
      </c>
      <c r="T108">
        <v>0.06</v>
      </c>
      <c r="U108">
        <v>25.46</v>
      </c>
      <c r="V108">
        <v>18.649999999999999</v>
      </c>
      <c r="W108">
        <v>15.59</v>
      </c>
      <c r="X108">
        <v>33.85</v>
      </c>
      <c r="Y108">
        <v>14.31</v>
      </c>
      <c r="Z108">
        <v>1.63</v>
      </c>
      <c r="AA108">
        <v>296</v>
      </c>
      <c r="AB108">
        <v>0.91</v>
      </c>
      <c r="AC108">
        <v>0.41</v>
      </c>
      <c r="AD108">
        <v>0.27</v>
      </c>
      <c r="AE108">
        <v>0.4</v>
      </c>
      <c r="AF108">
        <v>0.42</v>
      </c>
      <c r="AG108">
        <v>0.89</v>
      </c>
      <c r="AH108">
        <v>13.57</v>
      </c>
      <c r="AI108">
        <v>3.31</v>
      </c>
      <c r="AJ108">
        <v>5.4</v>
      </c>
      <c r="AK108">
        <v>16.12</v>
      </c>
      <c r="AL108">
        <v>7.18</v>
      </c>
      <c r="AM108">
        <v>6.25</v>
      </c>
      <c r="AN108">
        <v>8.67</v>
      </c>
      <c r="AO108">
        <v>1.02</v>
      </c>
      <c r="AP108">
        <v>2.0099999999999998</v>
      </c>
      <c r="AQ108">
        <v>1.1299999999999999</v>
      </c>
      <c r="AR108">
        <v>1.97</v>
      </c>
      <c r="AS108">
        <v>4.71</v>
      </c>
      <c r="AT108">
        <v>2.4500000000000002</v>
      </c>
      <c r="AU108">
        <v>2.48</v>
      </c>
      <c r="AV108">
        <v>1.61</v>
      </c>
      <c r="AW108">
        <v>2.37</v>
      </c>
      <c r="AX108">
        <v>3.34</v>
      </c>
      <c r="AY108">
        <v>150</v>
      </c>
      <c r="AZ108">
        <v>46.73</v>
      </c>
      <c r="BA108">
        <v>132</v>
      </c>
      <c r="BC108">
        <v>56.9</v>
      </c>
      <c r="BD108">
        <v>1.76</v>
      </c>
      <c r="BF108">
        <v>3416</v>
      </c>
    </row>
    <row r="109" spans="1:58" x14ac:dyDescent="0.25">
      <c r="A109" t="s">
        <v>364</v>
      </c>
      <c r="B109" t="s">
        <v>146</v>
      </c>
      <c r="C109" t="s">
        <v>357</v>
      </c>
      <c r="D109" t="s">
        <v>680</v>
      </c>
      <c r="E109">
        <v>82.52</v>
      </c>
      <c r="F109">
        <v>67</v>
      </c>
      <c r="G109">
        <v>15.28</v>
      </c>
      <c r="H109">
        <v>0.28999999999999998</v>
      </c>
      <c r="M109">
        <v>1.1200000000000001</v>
      </c>
      <c r="O109">
        <v>5.58</v>
      </c>
      <c r="P109">
        <v>0.01</v>
      </c>
      <c r="Q109">
        <v>0.04</v>
      </c>
      <c r="R109">
        <v>1.54</v>
      </c>
      <c r="S109">
        <v>0.4</v>
      </c>
      <c r="T109">
        <v>0.08</v>
      </c>
      <c r="U109">
        <v>20.79</v>
      </c>
      <c r="W109">
        <v>8.84</v>
      </c>
      <c r="X109">
        <v>188</v>
      </c>
      <c r="Y109">
        <v>24.16</v>
      </c>
      <c r="Z109">
        <v>63.68</v>
      </c>
      <c r="AA109">
        <v>355</v>
      </c>
      <c r="AB109">
        <v>0.31</v>
      </c>
      <c r="AC109">
        <v>0.01</v>
      </c>
      <c r="AD109">
        <v>0.79</v>
      </c>
      <c r="AE109">
        <v>0.36</v>
      </c>
      <c r="AF109">
        <v>35.75</v>
      </c>
      <c r="AG109">
        <v>0.81</v>
      </c>
      <c r="AH109">
        <v>10.35</v>
      </c>
      <c r="AI109">
        <v>5.19</v>
      </c>
      <c r="AJ109">
        <v>4.46</v>
      </c>
      <c r="AK109">
        <v>13.28</v>
      </c>
      <c r="AL109">
        <v>5.55</v>
      </c>
      <c r="AM109">
        <v>6.51</v>
      </c>
      <c r="AN109">
        <v>2.15</v>
      </c>
      <c r="AO109">
        <v>1.95</v>
      </c>
      <c r="AP109">
        <v>5.33</v>
      </c>
      <c r="AQ109">
        <v>3.15</v>
      </c>
      <c r="AR109">
        <v>4.62</v>
      </c>
      <c r="AS109">
        <v>6.98</v>
      </c>
      <c r="AT109">
        <v>5.28</v>
      </c>
      <c r="AU109">
        <v>5.79</v>
      </c>
      <c r="AV109">
        <v>4.54</v>
      </c>
      <c r="AW109">
        <v>7.6</v>
      </c>
      <c r="AX109">
        <v>5.93</v>
      </c>
      <c r="AY109">
        <v>86.4</v>
      </c>
      <c r="AZ109">
        <v>53.27</v>
      </c>
      <c r="BA109">
        <v>57.36</v>
      </c>
      <c r="BB109">
        <v>18.989999999999998</v>
      </c>
    </row>
    <row r="110" spans="1:58" x14ac:dyDescent="0.25">
      <c r="A110" t="s">
        <v>364</v>
      </c>
      <c r="B110" t="s">
        <v>53</v>
      </c>
      <c r="C110" t="s">
        <v>355</v>
      </c>
      <c r="D110" t="s">
        <v>712</v>
      </c>
      <c r="E110">
        <v>82.45</v>
      </c>
      <c r="F110">
        <v>50</v>
      </c>
      <c r="G110">
        <v>5.5</v>
      </c>
      <c r="H110">
        <v>1.29</v>
      </c>
      <c r="I110">
        <v>3.47</v>
      </c>
      <c r="J110">
        <v>4.96</v>
      </c>
      <c r="K110">
        <v>4.1500000000000004</v>
      </c>
      <c r="L110">
        <v>0.81</v>
      </c>
      <c r="M110">
        <v>2.0499999999999998</v>
      </c>
      <c r="N110">
        <v>944</v>
      </c>
      <c r="Q110">
        <v>0.19</v>
      </c>
      <c r="R110">
        <v>0.8</v>
      </c>
      <c r="S110">
        <v>0.56999999999999995</v>
      </c>
      <c r="T110">
        <v>0.42</v>
      </c>
      <c r="U110">
        <v>81.59</v>
      </c>
      <c r="V110">
        <v>73.209999999999994</v>
      </c>
      <c r="W110">
        <v>248</v>
      </c>
      <c r="X110">
        <v>43.3</v>
      </c>
      <c r="Y110">
        <v>53.62</v>
      </c>
      <c r="Z110">
        <v>15.77</v>
      </c>
      <c r="AA110">
        <v>343</v>
      </c>
      <c r="AB110">
        <v>0.26</v>
      </c>
      <c r="AC110">
        <v>0.86</v>
      </c>
      <c r="AD110">
        <v>7.0000000000000007E-2</v>
      </c>
      <c r="AE110">
        <v>0.95</v>
      </c>
      <c r="AF110">
        <v>45.45</v>
      </c>
      <c r="AG110">
        <v>0.93</v>
      </c>
      <c r="AH110">
        <v>7.82</v>
      </c>
      <c r="AI110">
        <v>3.89</v>
      </c>
      <c r="AJ110">
        <v>4.16</v>
      </c>
      <c r="AK110">
        <v>11.2</v>
      </c>
      <c r="AL110">
        <v>9.15</v>
      </c>
      <c r="AM110">
        <v>4.68</v>
      </c>
      <c r="AN110">
        <v>5.14</v>
      </c>
      <c r="AO110">
        <v>1.18</v>
      </c>
      <c r="AP110">
        <v>4.38</v>
      </c>
      <c r="AQ110">
        <v>1.0900000000000001</v>
      </c>
      <c r="AR110">
        <v>4.12</v>
      </c>
      <c r="AS110">
        <v>7.38</v>
      </c>
      <c r="AT110">
        <v>4.82</v>
      </c>
      <c r="AU110">
        <v>5.97</v>
      </c>
      <c r="AV110">
        <v>2.06</v>
      </c>
      <c r="AW110">
        <v>4.0199999999999996</v>
      </c>
      <c r="AX110">
        <v>5.58</v>
      </c>
      <c r="AY110">
        <v>345</v>
      </c>
      <c r="AZ110">
        <v>92.81</v>
      </c>
      <c r="BA110">
        <v>561</v>
      </c>
      <c r="BC110">
        <v>0.67</v>
      </c>
      <c r="BD110">
        <v>2.68</v>
      </c>
      <c r="BF110">
        <v>5669</v>
      </c>
    </row>
    <row r="111" spans="1:58" x14ac:dyDescent="0.25">
      <c r="A111" t="s">
        <v>364</v>
      </c>
      <c r="B111" t="s">
        <v>17</v>
      </c>
      <c r="C111" t="s">
        <v>353</v>
      </c>
      <c r="D111" t="s">
        <v>763</v>
      </c>
      <c r="E111">
        <v>88.34</v>
      </c>
      <c r="F111">
        <v>35</v>
      </c>
      <c r="G111">
        <v>0.76</v>
      </c>
      <c r="H111">
        <v>0.12</v>
      </c>
      <c r="I111">
        <v>7.44</v>
      </c>
      <c r="J111">
        <v>2.57</v>
      </c>
      <c r="K111">
        <v>1.83</v>
      </c>
      <c r="L111">
        <v>0.74</v>
      </c>
      <c r="M111">
        <v>0.78</v>
      </c>
      <c r="P111">
        <v>0.03</v>
      </c>
      <c r="Q111">
        <v>0.02</v>
      </c>
      <c r="R111">
        <v>0.3</v>
      </c>
      <c r="S111">
        <v>0.17</v>
      </c>
      <c r="T111">
        <v>0.08</v>
      </c>
      <c r="U111">
        <v>21.02</v>
      </c>
      <c r="V111">
        <v>29.76</v>
      </c>
      <c r="W111">
        <v>32.4</v>
      </c>
      <c r="X111">
        <v>25.03</v>
      </c>
      <c r="Y111">
        <v>19.86</v>
      </c>
      <c r="Z111">
        <v>21.79</v>
      </c>
      <c r="AA111">
        <v>248</v>
      </c>
      <c r="AB111">
        <v>0.18</v>
      </c>
      <c r="AC111">
        <v>0.08</v>
      </c>
      <c r="AD111">
        <v>0.02</v>
      </c>
      <c r="AE111">
        <v>0.17</v>
      </c>
      <c r="AF111">
        <v>0.09</v>
      </c>
      <c r="AG111">
        <v>0.55000000000000004</v>
      </c>
      <c r="AH111">
        <v>9.73</v>
      </c>
      <c r="AI111">
        <v>4.3499999999999996</v>
      </c>
      <c r="AJ111">
        <v>4.82</v>
      </c>
      <c r="AK111">
        <v>27.4</v>
      </c>
      <c r="AL111">
        <v>4.2300000000000004</v>
      </c>
      <c r="AM111">
        <v>4.51</v>
      </c>
      <c r="AN111">
        <v>7.26</v>
      </c>
      <c r="AO111">
        <v>0.83</v>
      </c>
      <c r="AP111">
        <v>6.28</v>
      </c>
      <c r="AQ111">
        <v>0.97</v>
      </c>
      <c r="AR111">
        <v>3.63</v>
      </c>
      <c r="AS111">
        <v>5.96</v>
      </c>
      <c r="AT111">
        <v>1.56</v>
      </c>
      <c r="AU111">
        <v>3.46</v>
      </c>
      <c r="AV111">
        <v>1.67</v>
      </c>
      <c r="AW111">
        <v>3.07</v>
      </c>
      <c r="AX111">
        <v>4.07</v>
      </c>
      <c r="AY111">
        <v>38.85</v>
      </c>
      <c r="AZ111">
        <v>8.81</v>
      </c>
      <c r="BA111">
        <v>48.34</v>
      </c>
      <c r="BC111">
        <v>0.92</v>
      </c>
      <c r="BD111">
        <v>0.51</v>
      </c>
    </row>
    <row r="112" spans="1:58" x14ac:dyDescent="0.25">
      <c r="A112" t="s">
        <v>364</v>
      </c>
      <c r="B112" t="s">
        <v>185</v>
      </c>
      <c r="C112" t="s">
        <v>357</v>
      </c>
      <c r="D112" t="s">
        <v>806</v>
      </c>
      <c r="E112">
        <v>79.67</v>
      </c>
      <c r="F112">
        <v>67</v>
      </c>
      <c r="G112">
        <v>15.36</v>
      </c>
      <c r="H112">
        <v>0.6</v>
      </c>
      <c r="M112">
        <v>0.92</v>
      </c>
      <c r="O112">
        <v>5.0199999999999996</v>
      </c>
      <c r="P112">
        <v>0.05</v>
      </c>
      <c r="Q112">
        <v>0.06</v>
      </c>
      <c r="R112">
        <v>0.97</v>
      </c>
      <c r="S112">
        <v>1.53</v>
      </c>
      <c r="T112">
        <v>0.12</v>
      </c>
      <c r="U112">
        <v>7.74</v>
      </c>
      <c r="W112">
        <v>333</v>
      </c>
      <c r="X112">
        <v>193</v>
      </c>
      <c r="Y112">
        <v>80.040000000000006</v>
      </c>
      <c r="Z112">
        <v>313</v>
      </c>
      <c r="AA112">
        <v>252</v>
      </c>
      <c r="AB112">
        <v>0.98</v>
      </c>
      <c r="AC112">
        <v>0.16</v>
      </c>
      <c r="AD112">
        <v>0.84</v>
      </c>
      <c r="AE112">
        <v>3.07</v>
      </c>
      <c r="AF112">
        <v>37.69</v>
      </c>
      <c r="AG112">
        <v>0.64</v>
      </c>
      <c r="AH112">
        <v>8.11</v>
      </c>
      <c r="AI112">
        <v>4.8099999999999996</v>
      </c>
      <c r="AJ112">
        <v>3.62</v>
      </c>
      <c r="AK112">
        <v>15.34</v>
      </c>
      <c r="AL112">
        <v>3.97</v>
      </c>
      <c r="AM112">
        <v>7.97</v>
      </c>
      <c r="AN112">
        <v>6.19</v>
      </c>
      <c r="AO112">
        <v>1.6</v>
      </c>
      <c r="AP112">
        <v>4.91</v>
      </c>
      <c r="AQ112">
        <v>3.62</v>
      </c>
      <c r="AR112">
        <v>4.4800000000000004</v>
      </c>
      <c r="AS112">
        <v>7.3</v>
      </c>
      <c r="AT112">
        <v>3.81</v>
      </c>
      <c r="AU112">
        <v>4.1100000000000003</v>
      </c>
      <c r="AV112">
        <v>2.2000000000000002</v>
      </c>
      <c r="AW112">
        <v>7.82</v>
      </c>
      <c r="AX112">
        <v>6.91</v>
      </c>
      <c r="AY112">
        <v>129</v>
      </c>
      <c r="AZ112">
        <v>64.319999999999993</v>
      </c>
      <c r="BA112">
        <v>146</v>
      </c>
      <c r="BB112">
        <v>23.18</v>
      </c>
    </row>
    <row r="113" spans="1:58" x14ac:dyDescent="0.25">
      <c r="A113" t="s">
        <v>364</v>
      </c>
      <c r="B113" t="s">
        <v>166</v>
      </c>
      <c r="C113" t="s">
        <v>357</v>
      </c>
      <c r="D113" t="s">
        <v>705</v>
      </c>
      <c r="E113">
        <v>72.819999999999993</v>
      </c>
      <c r="F113">
        <v>95</v>
      </c>
      <c r="G113">
        <v>21.6</v>
      </c>
      <c r="H113">
        <v>0.83</v>
      </c>
      <c r="M113">
        <v>1.08</v>
      </c>
      <c r="O113">
        <v>1.1100000000000001</v>
      </c>
      <c r="P113">
        <v>0.03</v>
      </c>
      <c r="Q113">
        <v>0.04</v>
      </c>
      <c r="R113">
        <v>2.68</v>
      </c>
      <c r="S113">
        <v>1.1499999999999999</v>
      </c>
      <c r="T113">
        <v>0.11</v>
      </c>
      <c r="U113">
        <v>8.57</v>
      </c>
      <c r="W113">
        <v>8.44</v>
      </c>
      <c r="X113">
        <v>263</v>
      </c>
      <c r="Y113">
        <v>32.58</v>
      </c>
      <c r="Z113">
        <v>63.63</v>
      </c>
      <c r="AA113">
        <v>372</v>
      </c>
      <c r="AB113">
        <v>0.38</v>
      </c>
      <c r="AC113">
        <v>0.02</v>
      </c>
      <c r="AD113">
        <v>0.23</v>
      </c>
      <c r="AE113">
        <v>0.46</v>
      </c>
      <c r="AF113">
        <v>28.9</v>
      </c>
      <c r="AG113">
        <v>0.85</v>
      </c>
      <c r="AH113">
        <v>8.89</v>
      </c>
      <c r="AI113">
        <v>5.65</v>
      </c>
      <c r="AJ113">
        <v>4.57</v>
      </c>
      <c r="AK113">
        <v>14.2</v>
      </c>
      <c r="AL113">
        <v>3.65</v>
      </c>
      <c r="AM113">
        <v>6.72</v>
      </c>
      <c r="AN113">
        <v>5.54</v>
      </c>
      <c r="AO113">
        <v>2.46</v>
      </c>
      <c r="AP113">
        <v>5.52</v>
      </c>
      <c r="AQ113">
        <v>4.3099999999999996</v>
      </c>
      <c r="AR113">
        <v>5.05</v>
      </c>
      <c r="AS113">
        <v>7.41</v>
      </c>
      <c r="AT113">
        <v>3.65</v>
      </c>
      <c r="AU113">
        <v>3.81</v>
      </c>
      <c r="AV113">
        <v>3.58</v>
      </c>
      <c r="AW113">
        <v>5.73</v>
      </c>
      <c r="AX113">
        <v>6.71</v>
      </c>
      <c r="AY113">
        <v>275</v>
      </c>
      <c r="AZ113">
        <v>126</v>
      </c>
      <c r="BA113">
        <v>230</v>
      </c>
      <c r="BB113">
        <v>24.4</v>
      </c>
    </row>
    <row r="114" spans="1:58" x14ac:dyDescent="0.25">
      <c r="A114" t="s">
        <v>364</v>
      </c>
      <c r="B114" t="s">
        <v>236</v>
      </c>
      <c r="C114" t="s">
        <v>360</v>
      </c>
      <c r="D114" t="s">
        <v>673</v>
      </c>
      <c r="E114">
        <v>7.92</v>
      </c>
      <c r="F114">
        <v>517</v>
      </c>
      <c r="G114">
        <v>22.43</v>
      </c>
      <c r="H114">
        <v>39.880000000000003</v>
      </c>
      <c r="I114">
        <v>17.32</v>
      </c>
      <c r="J114">
        <v>10.32</v>
      </c>
      <c r="K114">
        <v>8.5</v>
      </c>
      <c r="L114">
        <v>1.82</v>
      </c>
      <c r="M114">
        <v>2.14</v>
      </c>
      <c r="N114">
        <v>3.3</v>
      </c>
      <c r="P114">
        <v>0.64</v>
      </c>
      <c r="Q114">
        <v>0.11</v>
      </c>
      <c r="R114">
        <v>11.73</v>
      </c>
      <c r="S114">
        <v>0.97</v>
      </c>
      <c r="T114">
        <v>0.23</v>
      </c>
      <c r="U114">
        <v>89.89</v>
      </c>
      <c r="W114">
        <v>58</v>
      </c>
      <c r="X114">
        <v>390</v>
      </c>
      <c r="Y114">
        <v>200</v>
      </c>
      <c r="Z114">
        <v>12.8</v>
      </c>
      <c r="AA114">
        <v>664</v>
      </c>
      <c r="AB114">
        <v>3.36</v>
      </c>
      <c r="AC114">
        <v>1.71</v>
      </c>
      <c r="AD114">
        <v>0.86</v>
      </c>
      <c r="AE114">
        <v>3.12</v>
      </c>
      <c r="AF114">
        <v>3.05</v>
      </c>
      <c r="AG114">
        <v>1.01</v>
      </c>
      <c r="AH114">
        <v>9.3000000000000007</v>
      </c>
      <c r="AI114">
        <v>2.73</v>
      </c>
      <c r="AJ114">
        <v>4.62</v>
      </c>
      <c r="AK114">
        <v>18.149999999999999</v>
      </c>
      <c r="AL114">
        <v>4.6399999999999997</v>
      </c>
      <c r="AM114">
        <v>5.08</v>
      </c>
      <c r="AN114">
        <v>4.5599999999999996</v>
      </c>
      <c r="AO114">
        <v>1.18</v>
      </c>
      <c r="AP114">
        <v>5.05</v>
      </c>
      <c r="AQ114">
        <v>1.01</v>
      </c>
      <c r="AR114">
        <v>5.04</v>
      </c>
      <c r="AS114">
        <v>7.38</v>
      </c>
      <c r="AT114">
        <v>4.49</v>
      </c>
      <c r="AU114">
        <v>7.51</v>
      </c>
      <c r="AV114">
        <v>2.5099999999999998</v>
      </c>
      <c r="AW114">
        <v>3.48</v>
      </c>
      <c r="AX114">
        <v>10.41</v>
      </c>
      <c r="AY114">
        <v>8302</v>
      </c>
      <c r="AZ114">
        <v>18083</v>
      </c>
      <c r="BA114">
        <v>11741</v>
      </c>
      <c r="BC114">
        <v>5.05</v>
      </c>
      <c r="BD114">
        <v>10.31</v>
      </c>
      <c r="BF114">
        <v>19.82</v>
      </c>
    </row>
    <row r="115" spans="1:58" x14ac:dyDescent="0.25">
      <c r="A115" t="s">
        <v>364</v>
      </c>
      <c r="B115" t="s">
        <v>309</v>
      </c>
      <c r="C115" t="s">
        <v>355</v>
      </c>
      <c r="D115" t="s">
        <v>842</v>
      </c>
      <c r="E115">
        <v>72.180000000000007</v>
      </c>
      <c r="F115">
        <v>77</v>
      </c>
      <c r="G115">
        <v>5.66</v>
      </c>
      <c r="H115">
        <v>0.44</v>
      </c>
      <c r="I115">
        <v>12.14</v>
      </c>
      <c r="J115">
        <v>8.5399999999999991</v>
      </c>
      <c r="K115">
        <v>7.78</v>
      </c>
      <c r="L115">
        <v>0.75</v>
      </c>
      <c r="M115">
        <v>1.05</v>
      </c>
      <c r="P115">
        <v>0.06</v>
      </c>
      <c r="Q115">
        <v>0.02</v>
      </c>
      <c r="R115">
        <v>0.18</v>
      </c>
      <c r="S115">
        <v>0.36</v>
      </c>
      <c r="T115">
        <v>0.08</v>
      </c>
      <c r="U115">
        <v>58.91</v>
      </c>
      <c r="V115">
        <v>15.24</v>
      </c>
      <c r="W115">
        <v>40.869999999999997</v>
      </c>
      <c r="X115">
        <v>32.19</v>
      </c>
      <c r="Y115">
        <v>50.14</v>
      </c>
      <c r="Z115">
        <v>3.87</v>
      </c>
      <c r="AA115">
        <v>459</v>
      </c>
      <c r="AB115">
        <v>0.52</v>
      </c>
      <c r="AC115">
        <v>0.28000000000000003</v>
      </c>
      <c r="AD115">
        <v>0.28000000000000003</v>
      </c>
      <c r="AE115">
        <v>0.42</v>
      </c>
      <c r="AG115">
        <v>0.99</v>
      </c>
      <c r="AH115">
        <v>14.52</v>
      </c>
      <c r="AI115">
        <v>5.93</v>
      </c>
      <c r="AJ115">
        <v>5.15</v>
      </c>
      <c r="AK115">
        <v>11.08</v>
      </c>
      <c r="AL115">
        <v>5.19</v>
      </c>
      <c r="AM115">
        <v>5.96</v>
      </c>
      <c r="AN115">
        <v>4.8600000000000003</v>
      </c>
      <c r="AO115">
        <v>0.56999999999999995</v>
      </c>
      <c r="AP115">
        <v>6.91</v>
      </c>
      <c r="AQ115">
        <v>1.0900000000000001</v>
      </c>
      <c r="AR115">
        <v>5.83</v>
      </c>
      <c r="AS115">
        <v>7.39</v>
      </c>
      <c r="AT115">
        <v>5.53</v>
      </c>
      <c r="AU115">
        <v>6.37</v>
      </c>
      <c r="AV115">
        <v>1.77</v>
      </c>
      <c r="AW115">
        <v>3.99</v>
      </c>
      <c r="AX115">
        <v>0.99</v>
      </c>
      <c r="AY115">
        <v>153</v>
      </c>
      <c r="AZ115">
        <v>13.46</v>
      </c>
      <c r="BA115">
        <v>182</v>
      </c>
      <c r="BC115">
        <v>2.19</v>
      </c>
      <c r="BD115">
        <v>6.53</v>
      </c>
    </row>
    <row r="116" spans="1:58" x14ac:dyDescent="0.25">
      <c r="A116" t="s">
        <v>364</v>
      </c>
      <c r="B116" t="s">
        <v>158</v>
      </c>
      <c r="C116" t="s">
        <v>357</v>
      </c>
      <c r="D116" t="s">
        <v>697</v>
      </c>
      <c r="E116">
        <v>79.150000000000006</v>
      </c>
      <c r="F116">
        <v>91</v>
      </c>
      <c r="G116">
        <v>16.04</v>
      </c>
      <c r="H116">
        <v>2.88</v>
      </c>
      <c r="M116">
        <v>1.65</v>
      </c>
      <c r="O116">
        <v>12.03</v>
      </c>
      <c r="Q116">
        <v>0.1</v>
      </c>
      <c r="R116">
        <v>0.91</v>
      </c>
      <c r="S116">
        <v>0.27</v>
      </c>
      <c r="T116">
        <v>0.13</v>
      </c>
      <c r="U116">
        <v>78.22</v>
      </c>
      <c r="W116">
        <v>7.64</v>
      </c>
      <c r="X116">
        <v>154</v>
      </c>
      <c r="Y116">
        <v>24.89</v>
      </c>
      <c r="Z116">
        <v>66.56</v>
      </c>
      <c r="AA116">
        <v>282</v>
      </c>
      <c r="AB116">
        <v>0.71</v>
      </c>
      <c r="AC116">
        <v>0.04</v>
      </c>
      <c r="AD116">
        <v>0.04</v>
      </c>
      <c r="AE116">
        <v>0.67</v>
      </c>
      <c r="AF116">
        <v>118</v>
      </c>
      <c r="AG116">
        <v>0.82</v>
      </c>
      <c r="AH116">
        <v>8.81</v>
      </c>
      <c r="AI116">
        <v>4.47</v>
      </c>
      <c r="AJ116">
        <v>4.1500000000000004</v>
      </c>
      <c r="AK116">
        <v>15.84</v>
      </c>
      <c r="AL116">
        <v>5.66</v>
      </c>
      <c r="AM116">
        <v>5.54</v>
      </c>
      <c r="AN116">
        <v>6.12</v>
      </c>
      <c r="AO116">
        <v>0.59</v>
      </c>
      <c r="AP116">
        <v>4.59</v>
      </c>
      <c r="AQ116">
        <v>2.54</v>
      </c>
      <c r="AR116">
        <v>4.71</v>
      </c>
      <c r="AS116">
        <v>7.71</v>
      </c>
      <c r="AT116">
        <v>3.92</v>
      </c>
      <c r="AU116">
        <v>4.12</v>
      </c>
      <c r="AV116">
        <v>4.7</v>
      </c>
      <c r="AW116">
        <v>8.66</v>
      </c>
      <c r="AX116">
        <v>6.58</v>
      </c>
      <c r="AY116">
        <v>1166</v>
      </c>
      <c r="AZ116">
        <v>684</v>
      </c>
      <c r="BA116">
        <v>741</v>
      </c>
      <c r="BB116">
        <v>5.75</v>
      </c>
    </row>
    <row r="117" spans="1:58" x14ac:dyDescent="0.25">
      <c r="A117" t="s">
        <v>364</v>
      </c>
      <c r="B117" t="s">
        <v>12</v>
      </c>
      <c r="C117" t="s">
        <v>352</v>
      </c>
      <c r="D117" t="s">
        <v>584</v>
      </c>
      <c r="E117">
        <v>9.1</v>
      </c>
      <c r="F117">
        <v>332</v>
      </c>
      <c r="G117">
        <v>10.85</v>
      </c>
      <c r="H117">
        <v>0.72</v>
      </c>
      <c r="I117">
        <v>68.83</v>
      </c>
      <c r="J117">
        <v>9.57</v>
      </c>
      <c r="K117">
        <v>8.1300000000000008</v>
      </c>
      <c r="L117">
        <v>1.44</v>
      </c>
      <c r="M117">
        <v>0.94</v>
      </c>
      <c r="N117">
        <v>0.24</v>
      </c>
      <c r="P117">
        <v>0.26</v>
      </c>
      <c r="Q117">
        <v>0.04</v>
      </c>
      <c r="R117">
        <v>1.1299999999999999</v>
      </c>
      <c r="S117">
        <v>0.78</v>
      </c>
      <c r="T117">
        <v>0.11</v>
      </c>
      <c r="U117">
        <v>23.19</v>
      </c>
      <c r="W117">
        <v>21.89</v>
      </c>
      <c r="X117">
        <v>97</v>
      </c>
      <c r="Y117">
        <v>38.71</v>
      </c>
      <c r="Z117">
        <v>3.75</v>
      </c>
      <c r="AA117">
        <v>160</v>
      </c>
      <c r="AB117">
        <v>3.44</v>
      </c>
      <c r="AC117">
        <v>1.87</v>
      </c>
      <c r="AD117">
        <v>0.42</v>
      </c>
      <c r="AE117">
        <v>2.48</v>
      </c>
      <c r="AF117">
        <v>2.64</v>
      </c>
      <c r="AG117">
        <v>0.9</v>
      </c>
      <c r="AH117">
        <v>5.19</v>
      </c>
      <c r="AI117">
        <v>2.88</v>
      </c>
      <c r="AJ117">
        <v>4.8600000000000003</v>
      </c>
      <c r="AK117">
        <v>31.6</v>
      </c>
      <c r="AL117">
        <v>9.61</v>
      </c>
      <c r="AM117">
        <v>3.56</v>
      </c>
      <c r="AN117">
        <v>3.5</v>
      </c>
      <c r="AO117">
        <v>1.8</v>
      </c>
      <c r="AP117">
        <v>4.63</v>
      </c>
      <c r="AQ117">
        <v>1.65</v>
      </c>
      <c r="AR117">
        <v>3.6</v>
      </c>
      <c r="AS117">
        <v>6.85</v>
      </c>
      <c r="AT117">
        <v>3.11</v>
      </c>
      <c r="AU117">
        <v>5.03</v>
      </c>
      <c r="AV117">
        <v>2.4</v>
      </c>
      <c r="AW117">
        <v>2.44</v>
      </c>
      <c r="AX117">
        <v>4.43</v>
      </c>
      <c r="AY117">
        <v>85.2</v>
      </c>
      <c r="AZ117">
        <v>70.3</v>
      </c>
      <c r="BA117">
        <v>327</v>
      </c>
      <c r="BC117">
        <v>1.59</v>
      </c>
      <c r="BD117">
        <v>52.49</v>
      </c>
      <c r="BF117">
        <v>1.45</v>
      </c>
    </row>
    <row r="118" spans="1:58" x14ac:dyDescent="0.25">
      <c r="A118" t="s">
        <v>364</v>
      </c>
      <c r="B118" t="s">
        <v>287</v>
      </c>
      <c r="C118" t="s">
        <v>360</v>
      </c>
      <c r="D118" t="s">
        <v>675</v>
      </c>
      <c r="E118">
        <v>5.68</v>
      </c>
      <c r="F118">
        <v>508</v>
      </c>
      <c r="G118">
        <v>19.57</v>
      </c>
      <c r="H118">
        <v>40.06</v>
      </c>
      <c r="I118">
        <v>16.850000000000001</v>
      </c>
      <c r="J118">
        <v>14.18</v>
      </c>
      <c r="K118">
        <v>10.71</v>
      </c>
      <c r="L118">
        <v>3.47</v>
      </c>
      <c r="M118">
        <v>3.66</v>
      </c>
      <c r="N118">
        <v>6.98</v>
      </c>
      <c r="P118">
        <v>0.52</v>
      </c>
      <c r="Q118">
        <v>0.34</v>
      </c>
      <c r="R118">
        <v>3.73</v>
      </c>
      <c r="S118">
        <v>0.52</v>
      </c>
      <c r="T118">
        <v>0.23</v>
      </c>
      <c r="U118">
        <v>95.11</v>
      </c>
      <c r="W118">
        <v>412</v>
      </c>
      <c r="X118">
        <v>743</v>
      </c>
      <c r="Y118">
        <v>215</v>
      </c>
      <c r="Z118">
        <v>2.94</v>
      </c>
      <c r="AA118">
        <v>627</v>
      </c>
      <c r="AB118">
        <v>13.66</v>
      </c>
      <c r="AC118">
        <v>3.52</v>
      </c>
      <c r="AD118">
        <v>0.64</v>
      </c>
      <c r="AE118">
        <v>3.95</v>
      </c>
      <c r="AF118">
        <v>57.85</v>
      </c>
      <c r="AG118">
        <v>1.3</v>
      </c>
      <c r="AH118">
        <v>7.19</v>
      </c>
      <c r="AI118">
        <v>3.74</v>
      </c>
      <c r="AJ118">
        <v>3.61</v>
      </c>
      <c r="AK118">
        <v>21.41</v>
      </c>
      <c r="AL118">
        <v>6.18</v>
      </c>
      <c r="AM118">
        <v>4.8499999999999996</v>
      </c>
      <c r="AN118">
        <v>4.57</v>
      </c>
      <c r="AO118">
        <v>1.55</v>
      </c>
      <c r="AP118">
        <v>5.59</v>
      </c>
      <c r="AQ118">
        <v>2.1</v>
      </c>
      <c r="AR118">
        <v>4.2</v>
      </c>
      <c r="AS118">
        <v>7.11</v>
      </c>
      <c r="AT118">
        <v>3.34</v>
      </c>
      <c r="AU118">
        <v>5.78</v>
      </c>
      <c r="AV118">
        <v>2.72</v>
      </c>
      <c r="AW118">
        <v>5.32</v>
      </c>
      <c r="AX118">
        <v>6.5</v>
      </c>
      <c r="AY118">
        <v>2095</v>
      </c>
      <c r="AZ118">
        <v>20669</v>
      </c>
      <c r="BA118">
        <v>9307</v>
      </c>
      <c r="BC118">
        <v>5.23</v>
      </c>
      <c r="BD118">
        <v>8.08</v>
      </c>
      <c r="BF118">
        <v>41.92</v>
      </c>
    </row>
    <row r="119" spans="1:58" x14ac:dyDescent="0.25">
      <c r="A119" t="s">
        <v>364</v>
      </c>
      <c r="B119" t="s">
        <v>85</v>
      </c>
      <c r="C119" t="s">
        <v>355</v>
      </c>
      <c r="D119" t="s">
        <v>780</v>
      </c>
      <c r="E119">
        <v>91.83</v>
      </c>
      <c r="F119">
        <v>17</v>
      </c>
      <c r="G119">
        <v>1.21</v>
      </c>
      <c r="H119">
        <v>0.22</v>
      </c>
      <c r="I119">
        <v>2.23</v>
      </c>
      <c r="J119">
        <v>3.76</v>
      </c>
      <c r="K119">
        <v>3.09</v>
      </c>
      <c r="L119">
        <v>0.67</v>
      </c>
      <c r="M119">
        <v>0.74</v>
      </c>
      <c r="N119">
        <v>21.83</v>
      </c>
      <c r="P119">
        <v>0.06</v>
      </c>
      <c r="Q119">
        <v>0.05</v>
      </c>
      <c r="R119">
        <v>0.3</v>
      </c>
      <c r="S119">
        <v>0.36</v>
      </c>
      <c r="T119">
        <v>0.04</v>
      </c>
      <c r="U119">
        <v>52.18</v>
      </c>
      <c r="V119">
        <v>46.61</v>
      </c>
      <c r="W119">
        <v>16.29</v>
      </c>
      <c r="X119">
        <v>32.15</v>
      </c>
      <c r="Y119">
        <v>32.119999999999997</v>
      </c>
      <c r="Z119">
        <v>12.61</v>
      </c>
      <c r="AA119">
        <v>235</v>
      </c>
      <c r="AB119">
        <v>1.63</v>
      </c>
      <c r="AC119">
        <v>0.17</v>
      </c>
      <c r="AD119">
        <v>0.1</v>
      </c>
      <c r="AE119">
        <v>0.35</v>
      </c>
      <c r="AF119">
        <v>3.26</v>
      </c>
      <c r="AG119">
        <v>1.27</v>
      </c>
      <c r="AH119">
        <v>7.24</v>
      </c>
      <c r="AI119">
        <v>5.19</v>
      </c>
      <c r="AJ119">
        <v>3.84</v>
      </c>
      <c r="AK119">
        <v>7.25</v>
      </c>
      <c r="AL119">
        <v>5.03</v>
      </c>
      <c r="AM119">
        <v>5.3</v>
      </c>
      <c r="AN119">
        <v>4.47</v>
      </c>
      <c r="AO119">
        <v>1.24</v>
      </c>
      <c r="AP119">
        <v>6.71</v>
      </c>
      <c r="AQ119">
        <v>1.38</v>
      </c>
      <c r="AR119">
        <v>4.8600000000000003</v>
      </c>
      <c r="AS119">
        <v>7.21</v>
      </c>
      <c r="AT119">
        <v>4.7</v>
      </c>
      <c r="AU119">
        <v>3.31</v>
      </c>
      <c r="AV119">
        <v>3.66</v>
      </c>
      <c r="AW119">
        <v>6.83</v>
      </c>
      <c r="AX119">
        <v>1.27</v>
      </c>
      <c r="AY119">
        <v>140</v>
      </c>
      <c r="AZ119">
        <v>7.23</v>
      </c>
      <c r="BA119">
        <v>52.59</v>
      </c>
      <c r="BC119">
        <v>0.05</v>
      </c>
      <c r="BD119">
        <v>0.85</v>
      </c>
      <c r="BF119">
        <v>131</v>
      </c>
    </row>
    <row r="120" spans="1:58" x14ac:dyDescent="0.25">
      <c r="A120" t="s">
        <v>364</v>
      </c>
      <c r="B120" t="s">
        <v>233</v>
      </c>
      <c r="C120" t="s">
        <v>360</v>
      </c>
      <c r="D120" t="s">
        <v>669</v>
      </c>
      <c r="E120">
        <v>4.67</v>
      </c>
      <c r="F120">
        <v>580</v>
      </c>
      <c r="G120">
        <v>18.47</v>
      </c>
      <c r="H120">
        <v>45.16</v>
      </c>
      <c r="I120">
        <v>25.14</v>
      </c>
      <c r="J120">
        <v>4.24</v>
      </c>
      <c r="K120">
        <v>2.4300000000000002</v>
      </c>
      <c r="L120">
        <v>1.81</v>
      </c>
      <c r="M120">
        <v>2.3199999999999998</v>
      </c>
      <c r="P120">
        <v>0.57999999999999996</v>
      </c>
      <c r="Q120">
        <v>0.05</v>
      </c>
      <c r="R120">
        <v>1.1100000000000001</v>
      </c>
      <c r="S120">
        <v>1.68</v>
      </c>
      <c r="T120">
        <v>0.16</v>
      </c>
      <c r="U120">
        <v>15.28</v>
      </c>
      <c r="W120">
        <v>34</v>
      </c>
      <c r="X120">
        <v>537</v>
      </c>
      <c r="Y120">
        <v>272</v>
      </c>
      <c r="Z120">
        <v>8.94</v>
      </c>
      <c r="AA120">
        <v>645</v>
      </c>
      <c r="AB120">
        <v>6.29</v>
      </c>
      <c r="AC120">
        <v>1.71</v>
      </c>
      <c r="AD120">
        <v>2.33</v>
      </c>
      <c r="AE120">
        <v>5.27</v>
      </c>
      <c r="AF120">
        <v>11.54</v>
      </c>
      <c r="AG120">
        <v>0.89</v>
      </c>
      <c r="AH120">
        <v>10.14</v>
      </c>
      <c r="AI120">
        <v>3.04</v>
      </c>
      <c r="AJ120">
        <v>6.64</v>
      </c>
      <c r="AK120">
        <v>24.05</v>
      </c>
      <c r="AL120">
        <v>4.12</v>
      </c>
      <c r="AM120">
        <v>5.76</v>
      </c>
      <c r="AN120">
        <v>5.9</v>
      </c>
      <c r="AO120">
        <v>1.28</v>
      </c>
      <c r="AP120">
        <v>3.27</v>
      </c>
      <c r="AQ120">
        <v>1.28</v>
      </c>
      <c r="AR120">
        <v>4.16</v>
      </c>
      <c r="AS120">
        <v>7.14</v>
      </c>
      <c r="AT120">
        <v>2.85</v>
      </c>
      <c r="AU120">
        <v>3.6</v>
      </c>
      <c r="AV120">
        <v>2.5499999999999998</v>
      </c>
      <c r="AW120">
        <v>5.03</v>
      </c>
      <c r="AX120">
        <v>9.7200000000000006</v>
      </c>
      <c r="AY120">
        <v>7653</v>
      </c>
      <c r="AZ120">
        <v>28181</v>
      </c>
      <c r="BA120">
        <v>7338</v>
      </c>
      <c r="BC120">
        <v>3.13</v>
      </c>
      <c r="BD120">
        <v>20.11</v>
      </c>
    </row>
    <row r="121" spans="1:58" x14ac:dyDescent="0.25">
      <c r="A121" t="s">
        <v>364</v>
      </c>
      <c r="B121" t="s">
        <v>148</v>
      </c>
      <c r="C121" t="s">
        <v>357</v>
      </c>
      <c r="D121" t="s">
        <v>682</v>
      </c>
      <c r="E121">
        <v>76.22</v>
      </c>
      <c r="F121">
        <v>109</v>
      </c>
      <c r="G121">
        <v>22.18</v>
      </c>
      <c r="H121">
        <v>2.13</v>
      </c>
      <c r="M121">
        <v>1.32</v>
      </c>
      <c r="O121">
        <v>14.08</v>
      </c>
      <c r="P121">
        <v>0.05</v>
      </c>
      <c r="Q121">
        <v>0.05</v>
      </c>
      <c r="R121">
        <v>1.38</v>
      </c>
      <c r="S121">
        <v>1.24</v>
      </c>
      <c r="T121">
        <v>0.22</v>
      </c>
      <c r="U121">
        <v>11.36</v>
      </c>
      <c r="W121">
        <v>5.54</v>
      </c>
      <c r="X121">
        <v>252</v>
      </c>
      <c r="Y121">
        <v>25.69</v>
      </c>
      <c r="Z121">
        <v>35.82</v>
      </c>
      <c r="AA121">
        <v>429</v>
      </c>
      <c r="AB121">
        <v>0.72</v>
      </c>
      <c r="AC121">
        <v>0.01</v>
      </c>
      <c r="AD121">
        <v>0.03</v>
      </c>
      <c r="AE121">
        <v>0.57999999999999996</v>
      </c>
      <c r="AF121">
        <v>42.33</v>
      </c>
      <c r="AG121">
        <v>0.55000000000000004</v>
      </c>
      <c r="AH121">
        <v>12</v>
      </c>
      <c r="AI121">
        <v>4.83</v>
      </c>
      <c r="AJ121">
        <v>4.18</v>
      </c>
      <c r="AK121">
        <v>15.36</v>
      </c>
      <c r="AL121">
        <v>3.62</v>
      </c>
      <c r="AM121">
        <v>5.19</v>
      </c>
      <c r="AN121">
        <v>5.84</v>
      </c>
      <c r="AO121">
        <v>1.42</v>
      </c>
      <c r="AP121">
        <v>5.59</v>
      </c>
      <c r="AQ121">
        <v>2.12</v>
      </c>
      <c r="AR121">
        <v>5.04</v>
      </c>
      <c r="AS121">
        <v>8.35</v>
      </c>
      <c r="AT121">
        <v>3.91</v>
      </c>
      <c r="AU121">
        <v>4.4000000000000004</v>
      </c>
      <c r="AV121">
        <v>2.06</v>
      </c>
      <c r="AW121">
        <v>6.13</v>
      </c>
      <c r="AX121">
        <v>5.77</v>
      </c>
      <c r="AY121">
        <v>792</v>
      </c>
      <c r="AZ121">
        <v>430</v>
      </c>
      <c r="BA121">
        <v>619</v>
      </c>
      <c r="BB121">
        <v>18.36</v>
      </c>
    </row>
    <row r="122" spans="1:58" x14ac:dyDescent="0.25">
      <c r="A122" t="s">
        <v>364</v>
      </c>
      <c r="B122" t="s">
        <v>301</v>
      </c>
      <c r="C122" t="s">
        <v>355</v>
      </c>
      <c r="D122" t="s">
        <v>771</v>
      </c>
      <c r="E122">
        <v>91.57</v>
      </c>
      <c r="F122">
        <v>18</v>
      </c>
      <c r="G122">
        <v>0.8</v>
      </c>
      <c r="H122">
        <v>0.15</v>
      </c>
      <c r="I122">
        <v>3.16</v>
      </c>
      <c r="J122">
        <v>3.54</v>
      </c>
      <c r="K122">
        <v>2.71</v>
      </c>
      <c r="L122">
        <v>0.83</v>
      </c>
      <c r="M122">
        <v>0.78</v>
      </c>
      <c r="P122">
        <v>0.02</v>
      </c>
      <c r="Q122">
        <v>0.01</v>
      </c>
      <c r="R122">
        <v>0.13</v>
      </c>
      <c r="S122">
        <v>0.38</v>
      </c>
      <c r="T122">
        <v>0.15</v>
      </c>
      <c r="U122">
        <v>14.17</v>
      </c>
      <c r="V122">
        <v>9.14</v>
      </c>
      <c r="W122">
        <v>19.27</v>
      </c>
      <c r="X122">
        <v>26.35</v>
      </c>
      <c r="Y122">
        <v>23.62</v>
      </c>
      <c r="Z122">
        <v>0.56000000000000005</v>
      </c>
      <c r="AA122">
        <v>312</v>
      </c>
      <c r="AB122">
        <v>0.48</v>
      </c>
      <c r="AC122">
        <v>0.09</v>
      </c>
      <c r="AD122">
        <v>0.04</v>
      </c>
      <c r="AE122">
        <v>0.13</v>
      </c>
      <c r="AF122">
        <v>0.92</v>
      </c>
      <c r="AG122">
        <v>0.47</v>
      </c>
      <c r="AH122">
        <v>8.6999999999999993</v>
      </c>
      <c r="AI122">
        <v>3.64</v>
      </c>
      <c r="AJ122">
        <v>3.99</v>
      </c>
      <c r="AK122">
        <v>17.27</v>
      </c>
      <c r="AL122">
        <v>4.13</v>
      </c>
      <c r="AM122">
        <v>4.8600000000000003</v>
      </c>
      <c r="AN122">
        <v>6.52</v>
      </c>
      <c r="AO122">
        <v>0.52</v>
      </c>
      <c r="AP122">
        <v>6.18</v>
      </c>
      <c r="AQ122">
        <v>1.38</v>
      </c>
      <c r="AR122">
        <v>4.96</v>
      </c>
      <c r="AS122">
        <v>6.07</v>
      </c>
      <c r="AT122">
        <v>3.57</v>
      </c>
      <c r="AU122">
        <v>2.5299999999999998</v>
      </c>
      <c r="AV122">
        <v>1.71</v>
      </c>
      <c r="AW122">
        <v>4.3</v>
      </c>
      <c r="AX122">
        <v>0.47</v>
      </c>
      <c r="AY122">
        <v>26.1</v>
      </c>
      <c r="AZ122">
        <v>8.07</v>
      </c>
      <c r="BA122">
        <v>84.82</v>
      </c>
      <c r="BC122">
        <v>0.23</v>
      </c>
      <c r="BD122">
        <v>1.01</v>
      </c>
    </row>
    <row r="123" spans="1:58" x14ac:dyDescent="0.25">
      <c r="A123" t="s">
        <v>364</v>
      </c>
      <c r="B123" t="s">
        <v>3</v>
      </c>
      <c r="C123" t="s">
        <v>352</v>
      </c>
      <c r="D123" t="s">
        <v>572</v>
      </c>
      <c r="E123">
        <v>10.46</v>
      </c>
      <c r="F123">
        <v>350</v>
      </c>
      <c r="G123">
        <v>7.29</v>
      </c>
      <c r="H123">
        <v>1.17</v>
      </c>
      <c r="I123">
        <v>76.08</v>
      </c>
      <c r="J123">
        <v>3.93</v>
      </c>
      <c r="K123">
        <v>3.13</v>
      </c>
      <c r="L123">
        <v>0.8</v>
      </c>
      <c r="M123">
        <v>1.06</v>
      </c>
      <c r="P123">
        <v>0.14000000000000001</v>
      </c>
      <c r="Q123">
        <v>0.04</v>
      </c>
      <c r="R123">
        <v>1.7</v>
      </c>
      <c r="S123">
        <v>0.43</v>
      </c>
      <c r="T123">
        <v>0.02</v>
      </c>
      <c r="U123">
        <v>8.61</v>
      </c>
      <c r="W123">
        <v>11.1</v>
      </c>
      <c r="X123">
        <v>214</v>
      </c>
      <c r="Y123">
        <v>98.29</v>
      </c>
      <c r="Z123">
        <v>2.48</v>
      </c>
      <c r="AA123">
        <v>148</v>
      </c>
      <c r="AB123">
        <v>5.21</v>
      </c>
      <c r="AC123">
        <v>1.01</v>
      </c>
      <c r="AD123">
        <v>0.22</v>
      </c>
      <c r="AE123">
        <v>1.1200000000000001</v>
      </c>
      <c r="AG123">
        <v>1.1599999999999999</v>
      </c>
      <c r="AH123">
        <v>8.89</v>
      </c>
      <c r="AI123">
        <v>3.34</v>
      </c>
      <c r="AJ123">
        <v>3.97</v>
      </c>
      <c r="AK123">
        <v>18.600000000000001</v>
      </c>
      <c r="AL123">
        <v>4.1900000000000004</v>
      </c>
      <c r="AM123">
        <v>4.3899999999999997</v>
      </c>
      <c r="AN123">
        <v>5.86</v>
      </c>
      <c r="AO123">
        <v>1.5</v>
      </c>
      <c r="AP123">
        <v>6.54</v>
      </c>
      <c r="AQ123">
        <v>2.59</v>
      </c>
      <c r="AR123">
        <v>4.3499999999999996</v>
      </c>
      <c r="AS123">
        <v>8.06</v>
      </c>
      <c r="AT123">
        <v>4.26</v>
      </c>
      <c r="AU123">
        <v>5.33</v>
      </c>
      <c r="AV123">
        <v>2.2000000000000002</v>
      </c>
      <c r="AW123">
        <v>3.42</v>
      </c>
      <c r="AX123">
        <v>7.73</v>
      </c>
      <c r="AY123">
        <v>305</v>
      </c>
      <c r="AZ123">
        <v>421</v>
      </c>
      <c r="BA123">
        <v>608</v>
      </c>
      <c r="BC123">
        <v>0.28000000000000003</v>
      </c>
      <c r="BD123">
        <v>67.23</v>
      </c>
    </row>
    <row r="124" spans="1:58" x14ac:dyDescent="0.25">
      <c r="A124" t="s">
        <v>364</v>
      </c>
      <c r="B124" t="s">
        <v>49</v>
      </c>
      <c r="C124" t="s">
        <v>355</v>
      </c>
      <c r="D124" t="s">
        <v>709</v>
      </c>
      <c r="E124">
        <v>87.98</v>
      </c>
      <c r="F124">
        <v>27</v>
      </c>
      <c r="G124">
        <v>2.0099999999999998</v>
      </c>
      <c r="H124">
        <v>0.26</v>
      </c>
      <c r="I124">
        <v>3.37</v>
      </c>
      <c r="J124">
        <v>5.28</v>
      </c>
      <c r="K124">
        <v>3.83</v>
      </c>
      <c r="L124">
        <v>1.45</v>
      </c>
      <c r="M124">
        <v>1.1000000000000001</v>
      </c>
      <c r="P124">
        <v>0.02</v>
      </c>
      <c r="Q124">
        <v>0.04</v>
      </c>
      <c r="R124">
        <v>0.12</v>
      </c>
      <c r="S124">
        <v>0.17</v>
      </c>
      <c r="T124">
        <v>0.18</v>
      </c>
      <c r="U124">
        <v>56.8</v>
      </c>
      <c r="V124">
        <v>23.38</v>
      </c>
      <c r="W124">
        <v>35.21</v>
      </c>
      <c r="X124">
        <v>33.81</v>
      </c>
      <c r="Y124">
        <v>74.95</v>
      </c>
      <c r="Z124">
        <v>17.45</v>
      </c>
      <c r="AA124">
        <v>362</v>
      </c>
      <c r="AB124">
        <v>3.15</v>
      </c>
      <c r="AC124">
        <v>0.22</v>
      </c>
      <c r="AD124">
        <v>0.14000000000000001</v>
      </c>
      <c r="AE124">
        <v>0.77</v>
      </c>
      <c r="AF124">
        <v>7.08</v>
      </c>
      <c r="AY124">
        <v>94.01</v>
      </c>
      <c r="AZ124">
        <v>5.48</v>
      </c>
      <c r="BA124">
        <v>99.79</v>
      </c>
      <c r="BC124">
        <v>0.48</v>
      </c>
      <c r="BD124">
        <v>1.1000000000000001</v>
      </c>
    </row>
    <row r="125" spans="1:58" x14ac:dyDescent="0.25">
      <c r="A125" t="s">
        <v>364</v>
      </c>
      <c r="B125" t="s">
        <v>339</v>
      </c>
      <c r="C125" t="s">
        <v>362</v>
      </c>
      <c r="D125" t="s">
        <v>590</v>
      </c>
      <c r="E125">
        <v>9.48</v>
      </c>
      <c r="F125">
        <v>257</v>
      </c>
      <c r="G125">
        <v>10.38</v>
      </c>
      <c r="H125">
        <v>17.21</v>
      </c>
      <c r="I125">
        <v>10.43</v>
      </c>
      <c r="J125">
        <v>46.96</v>
      </c>
      <c r="K125">
        <v>36.21</v>
      </c>
      <c r="L125">
        <v>10.74</v>
      </c>
      <c r="M125">
        <v>5.54</v>
      </c>
      <c r="N125">
        <v>23.5</v>
      </c>
      <c r="P125">
        <v>0.18</v>
      </c>
      <c r="Q125">
        <v>0.27</v>
      </c>
      <c r="R125">
        <v>1.33</v>
      </c>
      <c r="S125">
        <v>0.28000000000000003</v>
      </c>
      <c r="T125">
        <v>0.04</v>
      </c>
      <c r="U125">
        <v>24.23</v>
      </c>
      <c r="W125">
        <v>724</v>
      </c>
      <c r="X125">
        <v>295</v>
      </c>
      <c r="Y125">
        <v>366</v>
      </c>
      <c r="Z125">
        <v>34.01</v>
      </c>
      <c r="AA125">
        <v>1413</v>
      </c>
      <c r="AB125">
        <v>16.420000000000002</v>
      </c>
      <c r="AC125">
        <v>2.78</v>
      </c>
      <c r="AD125">
        <v>1.48</v>
      </c>
      <c r="AE125">
        <v>3.56</v>
      </c>
      <c r="AF125">
        <v>6.22</v>
      </c>
      <c r="AG125">
        <v>1.23</v>
      </c>
      <c r="AH125">
        <v>11.43</v>
      </c>
      <c r="AI125">
        <v>4.3</v>
      </c>
      <c r="AJ125">
        <v>4.7300000000000004</v>
      </c>
      <c r="AK125">
        <v>16.68</v>
      </c>
      <c r="AL125">
        <v>5.41</v>
      </c>
      <c r="AM125">
        <v>6.7</v>
      </c>
      <c r="AN125">
        <v>5.23</v>
      </c>
      <c r="AO125">
        <v>1.01</v>
      </c>
      <c r="AP125">
        <v>6.92</v>
      </c>
      <c r="AQ125">
        <v>1.97</v>
      </c>
      <c r="AR125">
        <v>4.99</v>
      </c>
      <c r="AS125">
        <v>6.24</v>
      </c>
      <c r="AT125">
        <v>3.28</v>
      </c>
      <c r="AU125">
        <v>4.0999999999999996</v>
      </c>
      <c r="AV125">
        <v>3</v>
      </c>
      <c r="AW125">
        <v>5.43</v>
      </c>
      <c r="AX125">
        <v>6.55</v>
      </c>
      <c r="AY125">
        <v>941</v>
      </c>
      <c r="AZ125">
        <v>10670</v>
      </c>
      <c r="BA125">
        <v>2156</v>
      </c>
      <c r="BC125">
        <v>2.41</v>
      </c>
      <c r="BD125">
        <v>5.28</v>
      </c>
      <c r="BF125">
        <v>141</v>
      </c>
    </row>
    <row r="126" spans="1:58" x14ac:dyDescent="0.25">
      <c r="A126" t="s">
        <v>364</v>
      </c>
      <c r="B126" t="s">
        <v>289</v>
      </c>
      <c r="C126" t="s">
        <v>362</v>
      </c>
      <c r="D126" t="s">
        <v>594</v>
      </c>
      <c r="E126">
        <v>8.14</v>
      </c>
      <c r="F126">
        <v>235</v>
      </c>
      <c r="G126">
        <v>25.05</v>
      </c>
      <c r="H126">
        <v>5.73</v>
      </c>
      <c r="I126">
        <v>11.05</v>
      </c>
      <c r="J126">
        <v>46.93</v>
      </c>
      <c r="K126">
        <v>26.88</v>
      </c>
      <c r="L126">
        <v>20.05</v>
      </c>
      <c r="M126">
        <v>3.1</v>
      </c>
      <c r="N126">
        <v>23.83</v>
      </c>
      <c r="P126">
        <v>0.26</v>
      </c>
      <c r="Q126">
        <v>0.11</v>
      </c>
      <c r="R126">
        <v>1.05</v>
      </c>
      <c r="S126">
        <v>0.28999999999999998</v>
      </c>
      <c r="T126">
        <v>0.88</v>
      </c>
      <c r="U126">
        <v>47.27</v>
      </c>
      <c r="W126">
        <v>146</v>
      </c>
      <c r="X126">
        <v>632</v>
      </c>
      <c r="Y126">
        <v>211</v>
      </c>
      <c r="Z126">
        <v>40.119999999999997</v>
      </c>
      <c r="AA126">
        <v>881</v>
      </c>
      <c r="AB126">
        <v>10.5</v>
      </c>
      <c r="AC126">
        <v>1.85</v>
      </c>
      <c r="AD126">
        <v>1.54</v>
      </c>
      <c r="AE126">
        <v>5.07</v>
      </c>
      <c r="AF126">
        <v>8.5399999999999991</v>
      </c>
      <c r="AG126">
        <v>1.19</v>
      </c>
      <c r="AH126">
        <v>10.38</v>
      </c>
      <c r="AI126">
        <v>2.81</v>
      </c>
      <c r="AJ126">
        <v>4.8899999999999997</v>
      </c>
      <c r="AK126">
        <v>17.52</v>
      </c>
      <c r="AL126">
        <v>4.0999999999999996</v>
      </c>
      <c r="AM126">
        <v>4.09</v>
      </c>
      <c r="AN126">
        <v>3.76</v>
      </c>
      <c r="AO126">
        <v>1.69</v>
      </c>
      <c r="AP126">
        <v>3.47</v>
      </c>
      <c r="AQ126">
        <v>1.24</v>
      </c>
      <c r="AR126">
        <v>4.4400000000000004</v>
      </c>
      <c r="AS126">
        <v>5.59</v>
      </c>
      <c r="AT126">
        <v>2.52</v>
      </c>
      <c r="AU126">
        <v>4.05</v>
      </c>
      <c r="AV126">
        <v>2.2200000000000002</v>
      </c>
      <c r="AW126">
        <v>6.31</v>
      </c>
      <c r="AX126">
        <v>9.07</v>
      </c>
      <c r="AY126">
        <v>761</v>
      </c>
      <c r="AZ126">
        <v>652</v>
      </c>
      <c r="BA126">
        <v>3175</v>
      </c>
      <c r="BC126">
        <v>0.52</v>
      </c>
      <c r="BD126">
        <v>3.58</v>
      </c>
      <c r="BF126">
        <v>143</v>
      </c>
    </row>
    <row r="127" spans="1:58" x14ac:dyDescent="0.25">
      <c r="A127" t="s">
        <v>364</v>
      </c>
      <c r="B127" t="s">
        <v>43</v>
      </c>
      <c r="C127" t="s">
        <v>355</v>
      </c>
      <c r="D127" t="s">
        <v>839</v>
      </c>
      <c r="E127">
        <v>78.84</v>
      </c>
      <c r="F127">
        <v>58</v>
      </c>
      <c r="G127">
        <v>4.8499999999999996</v>
      </c>
      <c r="H127">
        <v>0.69</v>
      </c>
      <c r="I127">
        <v>7.61</v>
      </c>
      <c r="J127">
        <v>5.83</v>
      </c>
      <c r="K127">
        <v>4.49</v>
      </c>
      <c r="L127">
        <v>1.34</v>
      </c>
      <c r="M127">
        <v>2.2000000000000002</v>
      </c>
      <c r="N127">
        <v>2419</v>
      </c>
      <c r="Q127">
        <v>0.09</v>
      </c>
      <c r="R127">
        <v>0.33</v>
      </c>
      <c r="S127">
        <v>0.55000000000000004</v>
      </c>
      <c r="T127">
        <v>0.51</v>
      </c>
      <c r="U127">
        <v>115</v>
      </c>
      <c r="V127">
        <v>45.75</v>
      </c>
      <c r="W127">
        <v>383</v>
      </c>
      <c r="X127">
        <v>42.33</v>
      </c>
      <c r="Y127">
        <v>56.08</v>
      </c>
      <c r="Z127">
        <v>37.75</v>
      </c>
      <c r="AA127">
        <v>233</v>
      </c>
      <c r="AB127">
        <v>2.2400000000000002</v>
      </c>
      <c r="AC127">
        <v>2.86</v>
      </c>
      <c r="AD127">
        <v>0.2</v>
      </c>
      <c r="AE127">
        <v>0.44</v>
      </c>
      <c r="AF127">
        <v>44.98</v>
      </c>
      <c r="AG127">
        <v>0.86</v>
      </c>
      <c r="AH127">
        <v>9.9600000000000009</v>
      </c>
      <c r="AI127">
        <v>3.5</v>
      </c>
      <c r="AJ127">
        <v>3.78</v>
      </c>
      <c r="AK127">
        <v>13.08</v>
      </c>
      <c r="AL127">
        <v>5.46</v>
      </c>
      <c r="AM127">
        <v>4.99</v>
      </c>
      <c r="AN127">
        <v>5.61</v>
      </c>
      <c r="AO127">
        <v>0.93</v>
      </c>
      <c r="AP127">
        <v>5.09</v>
      </c>
      <c r="AQ127">
        <v>1.33</v>
      </c>
      <c r="AR127">
        <v>4.62</v>
      </c>
      <c r="AS127">
        <v>8.4600000000000009</v>
      </c>
      <c r="AT127">
        <v>4.03</v>
      </c>
      <c r="AU127">
        <v>5.88</v>
      </c>
      <c r="AV127">
        <v>2.4500000000000002</v>
      </c>
      <c r="AW127">
        <v>5.34</v>
      </c>
      <c r="AX127">
        <v>5.69</v>
      </c>
      <c r="AY127">
        <v>373</v>
      </c>
      <c r="AZ127">
        <v>52.86</v>
      </c>
      <c r="BA127">
        <v>123</v>
      </c>
      <c r="BC127">
        <v>0.25</v>
      </c>
      <c r="BD127">
        <v>6.26</v>
      </c>
      <c r="BF127">
        <v>14518</v>
      </c>
    </row>
    <row r="128" spans="1:58" x14ac:dyDescent="0.25">
      <c r="A128" t="s">
        <v>364</v>
      </c>
      <c r="B128" t="s">
        <v>126</v>
      </c>
      <c r="C128" t="s">
        <v>356</v>
      </c>
      <c r="D128" t="s">
        <v>645</v>
      </c>
      <c r="E128">
        <v>85.52</v>
      </c>
      <c r="F128">
        <v>52</v>
      </c>
      <c r="G128">
        <v>0.63</v>
      </c>
      <c r="H128">
        <v>0.24</v>
      </c>
      <c r="I128">
        <v>11.41</v>
      </c>
      <c r="J128">
        <v>1.87</v>
      </c>
      <c r="K128">
        <v>1.23</v>
      </c>
      <c r="L128">
        <v>0.64</v>
      </c>
      <c r="M128">
        <v>0.33</v>
      </c>
      <c r="N128">
        <v>0.3</v>
      </c>
      <c r="P128">
        <v>0.01</v>
      </c>
      <c r="Q128">
        <v>0.01</v>
      </c>
      <c r="R128">
        <v>0.57999999999999996</v>
      </c>
      <c r="S128">
        <v>0.15</v>
      </c>
      <c r="T128">
        <v>0.18</v>
      </c>
      <c r="U128">
        <v>13.52</v>
      </c>
      <c r="V128">
        <v>26.33</v>
      </c>
      <c r="W128">
        <v>4.6900000000000004</v>
      </c>
      <c r="X128">
        <v>7.18</v>
      </c>
      <c r="Y128">
        <v>12</v>
      </c>
      <c r="Z128">
        <v>3.79</v>
      </c>
      <c r="AA128">
        <v>46.93</v>
      </c>
      <c r="AB128">
        <v>0.28000000000000003</v>
      </c>
      <c r="AC128">
        <v>0.04</v>
      </c>
      <c r="AD128">
        <v>0.11</v>
      </c>
      <c r="AE128">
        <v>0.21</v>
      </c>
      <c r="AG128">
        <v>1.21</v>
      </c>
      <c r="AH128">
        <v>14.16</v>
      </c>
      <c r="AI128">
        <v>6.87</v>
      </c>
      <c r="AJ128">
        <v>4.76</v>
      </c>
      <c r="AK128">
        <v>13.3</v>
      </c>
      <c r="AL128">
        <v>4.2699999999999996</v>
      </c>
      <c r="AM128">
        <v>7.07</v>
      </c>
      <c r="AN128">
        <v>7.6</v>
      </c>
      <c r="AO128">
        <v>0.81</v>
      </c>
      <c r="AP128">
        <v>5.36</v>
      </c>
      <c r="AQ128">
        <v>1.29</v>
      </c>
      <c r="AR128">
        <v>4.54</v>
      </c>
      <c r="AS128">
        <v>9.1</v>
      </c>
      <c r="AT128">
        <v>2.86</v>
      </c>
      <c r="AU128">
        <v>6.21</v>
      </c>
      <c r="AV128">
        <v>2.5099999999999998</v>
      </c>
      <c r="AW128">
        <v>2.83</v>
      </c>
      <c r="AX128">
        <v>2.64</v>
      </c>
      <c r="AY128">
        <v>176</v>
      </c>
      <c r="AZ128">
        <v>165</v>
      </c>
      <c r="BA128">
        <v>88.6</v>
      </c>
      <c r="BC128">
        <v>8.91</v>
      </c>
      <c r="BD128">
        <v>0.5</v>
      </c>
      <c r="BF128">
        <v>1.8</v>
      </c>
    </row>
    <row r="129" spans="1:58" x14ac:dyDescent="0.25">
      <c r="A129" t="s">
        <v>364</v>
      </c>
      <c r="B129" t="s">
        <v>147</v>
      </c>
      <c r="C129" t="s">
        <v>357</v>
      </c>
      <c r="D129" t="s">
        <v>681</v>
      </c>
      <c r="E129">
        <v>74.599999999999994</v>
      </c>
      <c r="F129">
        <v>107</v>
      </c>
      <c r="G129">
        <v>22.46</v>
      </c>
      <c r="H129">
        <v>1.74</v>
      </c>
      <c r="M129">
        <v>1.26</v>
      </c>
      <c r="O129">
        <v>24.82</v>
      </c>
      <c r="P129">
        <v>0.05</v>
      </c>
      <c r="Q129">
        <v>0.06</v>
      </c>
      <c r="R129">
        <v>2.1</v>
      </c>
      <c r="S129">
        <v>0.44</v>
      </c>
      <c r="T129">
        <v>0.11</v>
      </c>
      <c r="U129">
        <v>7.9</v>
      </c>
      <c r="W129">
        <v>11.42</v>
      </c>
      <c r="X129">
        <v>251</v>
      </c>
      <c r="Y129">
        <v>29.9</v>
      </c>
      <c r="Z129">
        <v>38.729999999999997</v>
      </c>
      <c r="AA129">
        <v>453</v>
      </c>
      <c r="AB129">
        <v>0.52</v>
      </c>
      <c r="AC129">
        <v>0.01</v>
      </c>
      <c r="AD129">
        <v>0.04</v>
      </c>
      <c r="AE129">
        <v>0.42</v>
      </c>
      <c r="AF129">
        <v>30.81</v>
      </c>
      <c r="AG129">
        <v>1.08</v>
      </c>
      <c r="AH129">
        <v>9.0500000000000007</v>
      </c>
      <c r="AI129">
        <v>5.0599999999999996</v>
      </c>
      <c r="AJ129">
        <v>4.24</v>
      </c>
      <c r="AK129">
        <v>14.24</v>
      </c>
      <c r="AL129">
        <v>3.39</v>
      </c>
      <c r="AM129">
        <v>5.41</v>
      </c>
      <c r="AN129">
        <v>5.58</v>
      </c>
      <c r="AO129">
        <v>1.35</v>
      </c>
      <c r="AP129">
        <v>5.46</v>
      </c>
      <c r="AQ129">
        <v>3.37</v>
      </c>
      <c r="AR129">
        <v>4.66</v>
      </c>
      <c r="AS129">
        <v>8.18</v>
      </c>
      <c r="AT129">
        <v>3.87</v>
      </c>
      <c r="AU129">
        <v>5.56</v>
      </c>
      <c r="AV129">
        <v>2.76</v>
      </c>
      <c r="AW129">
        <v>6.33</v>
      </c>
      <c r="AX129">
        <v>7.31</v>
      </c>
      <c r="AY129">
        <v>677</v>
      </c>
      <c r="AZ129">
        <v>369</v>
      </c>
      <c r="BA129">
        <v>431</v>
      </c>
      <c r="BB129">
        <v>30.5</v>
      </c>
    </row>
    <row r="130" spans="1:58" x14ac:dyDescent="0.25">
      <c r="A130" t="s">
        <v>364</v>
      </c>
      <c r="B130" t="s">
        <v>186</v>
      </c>
      <c r="C130" t="s">
        <v>357</v>
      </c>
      <c r="D130" t="s">
        <v>805</v>
      </c>
      <c r="E130">
        <v>80.27</v>
      </c>
      <c r="F130">
        <v>59</v>
      </c>
      <c r="G130">
        <v>11.82</v>
      </c>
      <c r="H130">
        <v>1.34</v>
      </c>
      <c r="M130">
        <v>0.85</v>
      </c>
      <c r="O130">
        <v>8.5</v>
      </c>
      <c r="P130">
        <v>0.06</v>
      </c>
      <c r="Q130">
        <v>0.11</v>
      </c>
      <c r="R130">
        <v>0.9</v>
      </c>
      <c r="S130">
        <v>0.97</v>
      </c>
      <c r="T130">
        <v>0.11</v>
      </c>
      <c r="U130">
        <v>9</v>
      </c>
      <c r="W130">
        <v>50</v>
      </c>
      <c r="X130">
        <v>192</v>
      </c>
      <c r="Y130">
        <v>86.64</v>
      </c>
      <c r="Z130">
        <v>404</v>
      </c>
      <c r="AA130">
        <v>245</v>
      </c>
      <c r="AB130">
        <v>0.94</v>
      </c>
      <c r="AC130">
        <v>0.22</v>
      </c>
      <c r="AD130">
        <v>0.31</v>
      </c>
      <c r="AE130">
        <v>1.1599999999999999</v>
      </c>
      <c r="AF130">
        <v>32.81</v>
      </c>
      <c r="AG130">
        <v>0.79</v>
      </c>
      <c r="AH130">
        <v>10.199999999999999</v>
      </c>
      <c r="AI130">
        <v>5.09</v>
      </c>
      <c r="AJ130">
        <v>4.71</v>
      </c>
      <c r="AK130">
        <v>13.55</v>
      </c>
      <c r="AL130">
        <v>3.35</v>
      </c>
      <c r="AM130">
        <v>8.43</v>
      </c>
      <c r="AN130">
        <v>6.8</v>
      </c>
      <c r="AO130">
        <v>0.79</v>
      </c>
      <c r="AP130">
        <v>4.6900000000000004</v>
      </c>
      <c r="AQ130">
        <v>3.08</v>
      </c>
      <c r="AR130">
        <v>4.0599999999999996</v>
      </c>
      <c r="AS130">
        <v>6.31</v>
      </c>
      <c r="AT130">
        <v>3.17</v>
      </c>
      <c r="AU130">
        <v>3.19</v>
      </c>
      <c r="AV130">
        <v>2.23</v>
      </c>
      <c r="AW130">
        <v>4.62</v>
      </c>
      <c r="AX130">
        <v>7.54</v>
      </c>
      <c r="AY130">
        <v>441</v>
      </c>
      <c r="AZ130">
        <v>127</v>
      </c>
      <c r="BA130">
        <v>418</v>
      </c>
      <c r="BB130">
        <v>23.98</v>
      </c>
    </row>
    <row r="131" spans="1:58" x14ac:dyDescent="0.25">
      <c r="A131" t="s">
        <v>364</v>
      </c>
      <c r="B131" t="s">
        <v>260</v>
      </c>
      <c r="C131" t="s">
        <v>362</v>
      </c>
      <c r="D131" t="s">
        <v>601</v>
      </c>
      <c r="E131">
        <v>84.79</v>
      </c>
      <c r="F131">
        <v>55</v>
      </c>
      <c r="G131">
        <v>2.13</v>
      </c>
      <c r="H131">
        <v>0.15</v>
      </c>
      <c r="I131">
        <v>11.05</v>
      </c>
      <c r="J131">
        <v>1.2</v>
      </c>
      <c r="K131">
        <v>0.81</v>
      </c>
      <c r="L131">
        <v>0.39</v>
      </c>
      <c r="M131">
        <v>0.69</v>
      </c>
      <c r="N131">
        <v>0.18</v>
      </c>
      <c r="P131">
        <v>0.09</v>
      </c>
      <c r="Q131">
        <v>0.02</v>
      </c>
      <c r="R131">
        <v>0.22</v>
      </c>
      <c r="S131">
        <v>0.13</v>
      </c>
      <c r="T131">
        <v>0.13</v>
      </c>
      <c r="U131">
        <v>30.15</v>
      </c>
      <c r="V131">
        <v>14.26</v>
      </c>
      <c r="W131">
        <v>20.37</v>
      </c>
      <c r="X131">
        <v>54.19</v>
      </c>
      <c r="Y131">
        <v>19.32</v>
      </c>
      <c r="Z131">
        <v>4.13</v>
      </c>
      <c r="AA131">
        <v>204</v>
      </c>
      <c r="AB131">
        <v>0.31</v>
      </c>
      <c r="AC131">
        <v>0.13</v>
      </c>
      <c r="AD131">
        <v>0.09</v>
      </c>
      <c r="AE131">
        <v>0.28000000000000003</v>
      </c>
      <c r="AF131">
        <v>1</v>
      </c>
      <c r="AG131">
        <v>0.72</v>
      </c>
      <c r="AH131">
        <v>9.48</v>
      </c>
      <c r="AI131">
        <v>3.18</v>
      </c>
      <c r="AJ131">
        <v>2.34</v>
      </c>
      <c r="AK131">
        <v>26.49</v>
      </c>
      <c r="AL131">
        <v>2.81</v>
      </c>
      <c r="AM131">
        <v>6.12</v>
      </c>
      <c r="AN131">
        <v>5.25</v>
      </c>
      <c r="AO131">
        <v>1.07</v>
      </c>
      <c r="AP131">
        <v>3.93</v>
      </c>
      <c r="AQ131">
        <v>1.98</v>
      </c>
      <c r="AR131">
        <v>3.53</v>
      </c>
      <c r="AS131">
        <v>4.0199999999999996</v>
      </c>
      <c r="AT131">
        <v>2.02</v>
      </c>
      <c r="AU131">
        <v>3.9</v>
      </c>
      <c r="AV131">
        <v>1.6</v>
      </c>
      <c r="AW131">
        <v>2.5299999999999998</v>
      </c>
      <c r="AX131">
        <v>12.29</v>
      </c>
      <c r="AY131">
        <v>39.299999999999997</v>
      </c>
      <c r="AZ131">
        <v>13.43</v>
      </c>
      <c r="BA131">
        <v>67.27</v>
      </c>
      <c r="BC131">
        <v>5.99</v>
      </c>
      <c r="BD131">
        <v>0.89</v>
      </c>
      <c r="BF131">
        <v>1.1000000000000001</v>
      </c>
    </row>
    <row r="132" spans="1:58" x14ac:dyDescent="0.25">
      <c r="A132" t="s">
        <v>364</v>
      </c>
      <c r="B132" t="s">
        <v>274</v>
      </c>
      <c r="C132" t="s">
        <v>356</v>
      </c>
      <c r="D132" t="s">
        <v>619</v>
      </c>
      <c r="E132">
        <v>73.48</v>
      </c>
      <c r="F132">
        <v>99</v>
      </c>
      <c r="G132">
        <v>1.1399999999999999</v>
      </c>
      <c r="H132">
        <v>0.33</v>
      </c>
      <c r="I132">
        <v>22.41</v>
      </c>
      <c r="J132">
        <v>1.83</v>
      </c>
      <c r="K132">
        <v>1.17</v>
      </c>
      <c r="L132">
        <v>0.66</v>
      </c>
      <c r="M132">
        <v>0.81</v>
      </c>
      <c r="N132">
        <v>10.95</v>
      </c>
      <c r="P132">
        <v>0.01</v>
      </c>
      <c r="Q132">
        <v>0.03</v>
      </c>
      <c r="R132">
        <v>0.46</v>
      </c>
      <c r="S132">
        <v>0.39</v>
      </c>
      <c r="T132">
        <v>0.38</v>
      </c>
      <c r="U132">
        <v>18.010000000000002</v>
      </c>
      <c r="V132">
        <v>3.2</v>
      </c>
      <c r="W132">
        <v>6</v>
      </c>
      <c r="X132">
        <v>17.66</v>
      </c>
      <c r="Y132">
        <v>27.49</v>
      </c>
      <c r="Z132">
        <v>0.94</v>
      </c>
      <c r="AA132">
        <v>261</v>
      </c>
      <c r="AB132">
        <v>0.22</v>
      </c>
      <c r="AC132">
        <v>0.23</v>
      </c>
      <c r="AD132">
        <v>0.21</v>
      </c>
      <c r="AE132">
        <v>0.11</v>
      </c>
      <c r="AG132">
        <v>1.05</v>
      </c>
      <c r="AH132">
        <v>12.5</v>
      </c>
      <c r="AI132">
        <v>3.78</v>
      </c>
      <c r="AJ132">
        <v>4.3099999999999996</v>
      </c>
      <c r="AK132">
        <v>15.26</v>
      </c>
      <c r="AL132">
        <v>3.1</v>
      </c>
      <c r="AM132">
        <v>4.22</v>
      </c>
      <c r="AN132">
        <v>6.52</v>
      </c>
      <c r="AO132">
        <v>0.55000000000000004</v>
      </c>
      <c r="AP132">
        <v>5.72</v>
      </c>
      <c r="AQ132">
        <v>1.1200000000000001</v>
      </c>
      <c r="AR132">
        <v>3.36</v>
      </c>
      <c r="AS132">
        <v>8.14</v>
      </c>
      <c r="AT132">
        <v>2.7</v>
      </c>
      <c r="AU132">
        <v>4.09</v>
      </c>
      <c r="AV132">
        <v>5.59</v>
      </c>
      <c r="AW132">
        <v>4.1399999999999997</v>
      </c>
      <c r="AX132">
        <v>3.29</v>
      </c>
      <c r="AY132">
        <v>118</v>
      </c>
      <c r="AZ132">
        <v>22.64</v>
      </c>
      <c r="BA132">
        <v>123</v>
      </c>
      <c r="BC132">
        <v>13.73</v>
      </c>
      <c r="BD132">
        <v>5.33</v>
      </c>
      <c r="BE132">
        <v>5.15</v>
      </c>
      <c r="BF132">
        <v>63.18</v>
      </c>
    </row>
    <row r="133" spans="1:58" x14ac:dyDescent="0.25">
      <c r="A133" t="s">
        <v>364</v>
      </c>
      <c r="B133" t="s">
        <v>58</v>
      </c>
      <c r="C133" t="s">
        <v>355</v>
      </c>
      <c r="D133" t="s">
        <v>717</v>
      </c>
      <c r="E133">
        <v>86.12</v>
      </c>
      <c r="F133">
        <v>44</v>
      </c>
      <c r="G133">
        <v>0.3</v>
      </c>
      <c r="H133">
        <v>0.17</v>
      </c>
      <c r="I133">
        <v>9.9700000000000006</v>
      </c>
      <c r="J133">
        <v>2.1</v>
      </c>
      <c r="K133">
        <v>1.45</v>
      </c>
      <c r="L133">
        <v>0.65</v>
      </c>
      <c r="M133">
        <v>1.34</v>
      </c>
      <c r="N133">
        <v>0.36</v>
      </c>
      <c r="P133">
        <v>0.02</v>
      </c>
      <c r="Q133">
        <v>0.02</v>
      </c>
      <c r="R133">
        <v>0.17</v>
      </c>
      <c r="S133">
        <v>0.39</v>
      </c>
      <c r="T133">
        <v>0.15</v>
      </c>
      <c r="U133">
        <v>13.64</v>
      </c>
      <c r="V133">
        <v>2.0499999999999998</v>
      </c>
      <c r="W133">
        <v>13.12</v>
      </c>
      <c r="X133">
        <v>18.350000000000001</v>
      </c>
      <c r="Y133">
        <v>35.299999999999997</v>
      </c>
      <c r="Z133">
        <v>25.12</v>
      </c>
      <c r="AA133">
        <v>372</v>
      </c>
      <c r="AB133">
        <v>0.35</v>
      </c>
      <c r="AC133">
        <v>0.19</v>
      </c>
      <c r="AD133">
        <v>0.06</v>
      </c>
      <c r="AE133">
        <v>0.08</v>
      </c>
      <c r="AF133">
        <v>0.57999999999999996</v>
      </c>
      <c r="AG133">
        <v>0.75</v>
      </c>
      <c r="AH133">
        <v>10.130000000000001</v>
      </c>
      <c r="AI133">
        <v>5.3</v>
      </c>
      <c r="AJ133">
        <v>5.4</v>
      </c>
      <c r="AK133">
        <v>14.49</v>
      </c>
      <c r="AL133">
        <v>4.75</v>
      </c>
      <c r="AM133">
        <v>4.34</v>
      </c>
      <c r="AN133">
        <v>8.4600000000000009</v>
      </c>
      <c r="AO133">
        <v>1.21</v>
      </c>
      <c r="AP133">
        <v>6.43</v>
      </c>
      <c r="AQ133">
        <v>1.38</v>
      </c>
      <c r="AR133">
        <v>5.57</v>
      </c>
      <c r="AS133">
        <v>4.87</v>
      </c>
      <c r="AT133">
        <v>3.31</v>
      </c>
      <c r="AU133">
        <v>4.26</v>
      </c>
      <c r="AV133">
        <v>2.35</v>
      </c>
      <c r="AW133">
        <v>3.39</v>
      </c>
      <c r="AX133">
        <v>0.75</v>
      </c>
      <c r="AY133">
        <v>58.54</v>
      </c>
      <c r="AZ133">
        <v>2.68</v>
      </c>
      <c r="BA133">
        <v>26.97</v>
      </c>
      <c r="BC133">
        <v>0.5</v>
      </c>
      <c r="BD133">
        <v>4.41</v>
      </c>
      <c r="BF133">
        <v>2.16</v>
      </c>
    </row>
    <row r="134" spans="1:58" x14ac:dyDescent="0.25">
      <c r="A134" t="s">
        <v>364</v>
      </c>
      <c r="B134" t="s">
        <v>296</v>
      </c>
      <c r="C134" t="s">
        <v>353</v>
      </c>
      <c r="D134" t="s">
        <v>764</v>
      </c>
      <c r="E134">
        <v>89.68</v>
      </c>
      <c r="F134">
        <v>31</v>
      </c>
      <c r="G134">
        <v>0.89</v>
      </c>
      <c r="H134">
        <v>0.16</v>
      </c>
      <c r="I134">
        <v>6.07</v>
      </c>
      <c r="J134">
        <v>2.29</v>
      </c>
      <c r="K134">
        <v>1.56</v>
      </c>
      <c r="L134">
        <v>0.73</v>
      </c>
      <c r="M134">
        <v>0.91</v>
      </c>
      <c r="N134">
        <v>0.2</v>
      </c>
      <c r="P134">
        <v>0.03</v>
      </c>
      <c r="Q134">
        <v>0.02</v>
      </c>
      <c r="R134">
        <v>0.3</v>
      </c>
      <c r="S134">
        <v>0.18</v>
      </c>
      <c r="T134">
        <v>7.0000000000000007E-2</v>
      </c>
      <c r="U134">
        <v>24.59</v>
      </c>
      <c r="V134">
        <v>15.69</v>
      </c>
      <c r="W134">
        <v>35.76</v>
      </c>
      <c r="X134">
        <v>28.27</v>
      </c>
      <c r="Y134">
        <v>22.25</v>
      </c>
      <c r="Z134">
        <v>32.270000000000003</v>
      </c>
      <c r="AA134">
        <v>308</v>
      </c>
      <c r="AB134">
        <v>0.42</v>
      </c>
      <c r="AC134">
        <v>0.08</v>
      </c>
      <c r="AD134">
        <v>0.03</v>
      </c>
      <c r="AE134">
        <v>0.18</v>
      </c>
      <c r="AF134">
        <v>0.22</v>
      </c>
      <c r="AG134">
        <v>0.57999999999999996</v>
      </c>
      <c r="AH134">
        <v>10.1</v>
      </c>
      <c r="AI134">
        <v>4.05</v>
      </c>
      <c r="AJ134">
        <v>4.01</v>
      </c>
      <c r="AK134">
        <v>24.9</v>
      </c>
      <c r="AL134">
        <v>4.84</v>
      </c>
      <c r="AM134">
        <v>4.12</v>
      </c>
      <c r="AN134">
        <v>7.12</v>
      </c>
      <c r="AO134">
        <v>0.83</v>
      </c>
      <c r="AP134">
        <v>5.27</v>
      </c>
      <c r="AQ134">
        <v>0.64</v>
      </c>
      <c r="AR134">
        <v>3.55</v>
      </c>
      <c r="AS134">
        <v>6.19</v>
      </c>
      <c r="AT134">
        <v>1.43</v>
      </c>
      <c r="AU134">
        <v>3.84</v>
      </c>
      <c r="AV134">
        <v>1.89</v>
      </c>
      <c r="AW134">
        <v>2.71</v>
      </c>
      <c r="AX134">
        <v>4.8899999999999997</v>
      </c>
      <c r="AY134">
        <v>46.08</v>
      </c>
      <c r="AZ134">
        <v>6.08</v>
      </c>
      <c r="BA134">
        <v>75.849999999999994</v>
      </c>
      <c r="BC134">
        <v>0.86</v>
      </c>
      <c r="BD134">
        <v>0.64</v>
      </c>
      <c r="BF134">
        <v>1.2</v>
      </c>
    </row>
    <row r="135" spans="1:58" x14ac:dyDescent="0.25">
      <c r="A135" t="s">
        <v>364</v>
      </c>
      <c r="B135" t="s">
        <v>333</v>
      </c>
      <c r="C135" t="s">
        <v>360</v>
      </c>
      <c r="D135" t="s">
        <v>672</v>
      </c>
      <c r="E135">
        <v>3.7</v>
      </c>
      <c r="F135">
        <v>517</v>
      </c>
      <c r="G135">
        <v>21.96</v>
      </c>
      <c r="H135">
        <v>43.27</v>
      </c>
      <c r="I135">
        <v>9.56</v>
      </c>
      <c r="J135">
        <v>16.989999999999998</v>
      </c>
      <c r="K135">
        <v>13.31</v>
      </c>
      <c r="L135">
        <v>3.68</v>
      </c>
      <c r="M135">
        <v>4.51</v>
      </c>
      <c r="N135">
        <v>0.8</v>
      </c>
      <c r="P135">
        <v>0.26</v>
      </c>
      <c r="Q135">
        <v>0.08</v>
      </c>
      <c r="R135">
        <v>3.46</v>
      </c>
      <c r="S135">
        <v>0.43</v>
      </c>
      <c r="T135">
        <v>0.54</v>
      </c>
      <c r="U135">
        <v>87.75</v>
      </c>
      <c r="W135">
        <v>1168</v>
      </c>
      <c r="X135">
        <v>682</v>
      </c>
      <c r="Y135">
        <v>318</v>
      </c>
      <c r="Z135">
        <v>11.81</v>
      </c>
      <c r="AA135">
        <v>480</v>
      </c>
      <c r="AB135">
        <v>15.93</v>
      </c>
      <c r="AC135">
        <v>1.55</v>
      </c>
      <c r="AD135">
        <v>1.92</v>
      </c>
      <c r="AE135">
        <v>9.06</v>
      </c>
      <c r="AF135">
        <v>59.59</v>
      </c>
      <c r="AG135">
        <v>1.24</v>
      </c>
      <c r="AH135">
        <v>9.49</v>
      </c>
      <c r="AI135">
        <v>3.25</v>
      </c>
      <c r="AJ135">
        <v>5.82</v>
      </c>
      <c r="AK135">
        <v>19.399999999999999</v>
      </c>
      <c r="AL135">
        <v>3.64</v>
      </c>
      <c r="AM135">
        <v>5.64</v>
      </c>
      <c r="AN135">
        <v>6.63</v>
      </c>
      <c r="AO135">
        <v>1.01</v>
      </c>
      <c r="AP135">
        <v>4.63</v>
      </c>
      <c r="AQ135">
        <v>2.73</v>
      </c>
      <c r="AR135">
        <v>5.05</v>
      </c>
      <c r="AS135">
        <v>6.26</v>
      </c>
      <c r="AT135">
        <v>3.53</v>
      </c>
      <c r="AU135">
        <v>4.7</v>
      </c>
      <c r="AV135">
        <v>2.2599999999999998</v>
      </c>
      <c r="AW135">
        <v>2.52</v>
      </c>
      <c r="AX135">
        <v>11.91</v>
      </c>
      <c r="AY135">
        <v>6209</v>
      </c>
      <c r="AZ135">
        <v>16353</v>
      </c>
      <c r="BA135">
        <v>18804</v>
      </c>
      <c r="BC135">
        <v>1.4</v>
      </c>
      <c r="BD135">
        <v>7.17</v>
      </c>
      <c r="BF135">
        <v>4.8099999999999996</v>
      </c>
    </row>
    <row r="136" spans="1:58" x14ac:dyDescent="0.25">
      <c r="A136" t="s">
        <v>364</v>
      </c>
      <c r="B136" t="s">
        <v>116</v>
      </c>
      <c r="C136" t="s">
        <v>356</v>
      </c>
      <c r="D136" t="s">
        <v>636</v>
      </c>
      <c r="E136">
        <v>78.66</v>
      </c>
      <c r="F136">
        <v>72</v>
      </c>
      <c r="G136">
        <v>3.3</v>
      </c>
      <c r="H136">
        <v>0.14000000000000001</v>
      </c>
      <c r="I136">
        <v>13.49</v>
      </c>
      <c r="J136">
        <v>3.52</v>
      </c>
      <c r="K136">
        <v>2.0699999999999998</v>
      </c>
      <c r="L136">
        <v>1.45</v>
      </c>
      <c r="M136">
        <v>0.91</v>
      </c>
      <c r="N136">
        <v>4.1500000000000004</v>
      </c>
      <c r="P136">
        <v>0.05</v>
      </c>
      <c r="Q136">
        <v>0.01</v>
      </c>
      <c r="R136">
        <v>0.51</v>
      </c>
      <c r="S136">
        <v>0.17</v>
      </c>
      <c r="T136">
        <v>0.21</v>
      </c>
      <c r="U136">
        <v>30.83</v>
      </c>
      <c r="V136">
        <v>4.1500000000000004</v>
      </c>
      <c r="W136">
        <v>28.38</v>
      </c>
      <c r="X136">
        <v>12.06</v>
      </c>
      <c r="Y136">
        <v>31.59</v>
      </c>
      <c r="Z136">
        <v>1.64</v>
      </c>
      <c r="AA136">
        <v>268</v>
      </c>
      <c r="AB136">
        <v>0.19</v>
      </c>
      <c r="AC136">
        <v>0.49</v>
      </c>
      <c r="AD136">
        <v>0.12</v>
      </c>
      <c r="AE136">
        <v>0.12</v>
      </c>
      <c r="AG136">
        <v>0.17</v>
      </c>
      <c r="AH136">
        <v>26.44</v>
      </c>
      <c r="AI136">
        <v>4.9400000000000004</v>
      </c>
      <c r="AJ136">
        <v>5.25</v>
      </c>
      <c r="AK136">
        <v>7.35</v>
      </c>
      <c r="AL136">
        <v>4.4000000000000004</v>
      </c>
      <c r="AM136">
        <v>6.36</v>
      </c>
      <c r="AN136">
        <v>6.28</v>
      </c>
      <c r="AO136">
        <v>0.56999999999999995</v>
      </c>
      <c r="AP136">
        <v>7.3</v>
      </c>
      <c r="AQ136">
        <v>0.64</v>
      </c>
      <c r="AR136">
        <v>4.3</v>
      </c>
      <c r="AS136">
        <v>8.11</v>
      </c>
      <c r="AT136">
        <v>3</v>
      </c>
      <c r="AU136">
        <v>5.49</v>
      </c>
      <c r="AV136">
        <v>1.84</v>
      </c>
      <c r="AW136">
        <v>3.33</v>
      </c>
      <c r="AX136">
        <v>2.95</v>
      </c>
      <c r="AY136">
        <v>36.42</v>
      </c>
      <c r="AZ136">
        <v>43.22</v>
      </c>
      <c r="BA136">
        <v>40.36</v>
      </c>
      <c r="BC136">
        <v>12.21</v>
      </c>
      <c r="BD136">
        <v>0.54</v>
      </c>
      <c r="BF136">
        <v>24.89</v>
      </c>
    </row>
    <row r="137" spans="1:58" x14ac:dyDescent="0.25">
      <c r="A137" t="s">
        <v>364</v>
      </c>
      <c r="B137" t="s">
        <v>15</v>
      </c>
      <c r="C137" t="s">
        <v>353</v>
      </c>
      <c r="D137" t="s">
        <v>760</v>
      </c>
      <c r="E137">
        <v>89.42</v>
      </c>
      <c r="F137">
        <v>27</v>
      </c>
      <c r="G137">
        <v>0.64</v>
      </c>
      <c r="H137">
        <v>0.16</v>
      </c>
      <c r="I137">
        <v>5.53</v>
      </c>
      <c r="J137">
        <v>3.13</v>
      </c>
      <c r="K137">
        <v>2.5499999999999998</v>
      </c>
      <c r="L137">
        <v>0.57999999999999996</v>
      </c>
      <c r="M137">
        <v>1.1299999999999999</v>
      </c>
      <c r="N137">
        <v>1.72</v>
      </c>
      <c r="Q137">
        <v>0.01</v>
      </c>
      <c r="R137">
        <v>0.83</v>
      </c>
      <c r="S137">
        <v>0.27</v>
      </c>
      <c r="T137">
        <v>0.14000000000000001</v>
      </c>
      <c r="U137">
        <v>4.6399999999999997</v>
      </c>
      <c r="V137">
        <v>1.67</v>
      </c>
      <c r="W137">
        <v>52.33</v>
      </c>
      <c r="X137">
        <v>10.31</v>
      </c>
      <c r="Y137">
        <v>33.950000000000003</v>
      </c>
      <c r="Z137">
        <v>16.39</v>
      </c>
      <c r="AA137">
        <v>560</v>
      </c>
      <c r="AB137">
        <v>0.61</v>
      </c>
      <c r="AC137">
        <v>4.1900000000000004</v>
      </c>
      <c r="AD137">
        <v>0.05</v>
      </c>
      <c r="AE137">
        <v>1.62</v>
      </c>
      <c r="AF137">
        <v>14.2</v>
      </c>
      <c r="AG137">
        <v>0.55000000000000004</v>
      </c>
      <c r="AH137">
        <v>11</v>
      </c>
      <c r="AI137">
        <v>4.9400000000000004</v>
      </c>
      <c r="AJ137">
        <v>6.15</v>
      </c>
      <c r="AK137">
        <v>11.61</v>
      </c>
      <c r="AL137">
        <v>4.6900000000000004</v>
      </c>
      <c r="AM137">
        <v>6.15</v>
      </c>
      <c r="AN137">
        <v>6.38</v>
      </c>
      <c r="AO137">
        <v>1.64</v>
      </c>
      <c r="AP137">
        <v>5.19</v>
      </c>
      <c r="AQ137">
        <v>0.71</v>
      </c>
      <c r="AR137">
        <v>3.95</v>
      </c>
      <c r="AS137">
        <v>7.09</v>
      </c>
      <c r="AT137">
        <v>6.17</v>
      </c>
      <c r="AU137">
        <v>5.54</v>
      </c>
      <c r="AV137">
        <v>2.12</v>
      </c>
      <c r="AW137">
        <v>3.43</v>
      </c>
      <c r="AX137">
        <v>5.41</v>
      </c>
      <c r="AY137">
        <v>77.099999999999994</v>
      </c>
      <c r="AZ137">
        <v>16.62</v>
      </c>
      <c r="BA137">
        <v>30.28</v>
      </c>
      <c r="BC137">
        <v>0.06</v>
      </c>
      <c r="BD137">
        <v>5.0999999999999996</v>
      </c>
      <c r="BF137">
        <v>10.31</v>
      </c>
    </row>
    <row r="138" spans="1:58" x14ac:dyDescent="0.25">
      <c r="A138" t="s">
        <v>364</v>
      </c>
      <c r="B138" t="s">
        <v>330</v>
      </c>
      <c r="C138" t="s">
        <v>358</v>
      </c>
      <c r="D138" t="s">
        <v>199</v>
      </c>
      <c r="E138">
        <v>0.1</v>
      </c>
      <c r="F138">
        <v>898</v>
      </c>
      <c r="H138">
        <v>99.8</v>
      </c>
      <c r="M138">
        <v>0.1</v>
      </c>
      <c r="N138">
        <v>642</v>
      </c>
      <c r="W138">
        <v>1</v>
      </c>
      <c r="Z138">
        <v>2</v>
      </c>
      <c r="AA138">
        <v>1</v>
      </c>
      <c r="AB138">
        <v>0.2</v>
      </c>
      <c r="AD138">
        <v>0.01</v>
      </c>
      <c r="AE138">
        <v>0.01</v>
      </c>
      <c r="AY138">
        <v>71.02</v>
      </c>
      <c r="AZ138">
        <v>26.44</v>
      </c>
      <c r="BA138">
        <v>2.5499999999999998</v>
      </c>
    </row>
    <row r="139" spans="1:58" x14ac:dyDescent="0.25">
      <c r="A139" t="s">
        <v>364</v>
      </c>
      <c r="B139" t="s">
        <v>164</v>
      </c>
      <c r="C139" t="s">
        <v>357</v>
      </c>
      <c r="D139" t="s">
        <v>703</v>
      </c>
      <c r="E139">
        <v>72.3</v>
      </c>
      <c r="F139">
        <v>136</v>
      </c>
      <c r="G139">
        <v>22.28</v>
      </c>
      <c r="H139">
        <v>5.18</v>
      </c>
      <c r="M139">
        <v>1.33</v>
      </c>
      <c r="O139">
        <v>81.900000000000006</v>
      </c>
      <c r="P139">
        <v>0.03</v>
      </c>
      <c r="Q139">
        <v>7.0000000000000007E-2</v>
      </c>
      <c r="R139">
        <v>3.46</v>
      </c>
      <c r="S139">
        <v>1.22</v>
      </c>
      <c r="T139">
        <v>0.16</v>
      </c>
      <c r="U139">
        <v>15.45</v>
      </c>
      <c r="W139">
        <v>9.85</v>
      </c>
      <c r="X139">
        <v>302</v>
      </c>
      <c r="Y139">
        <v>36.729999999999997</v>
      </c>
      <c r="Z139">
        <v>34.85</v>
      </c>
      <c r="AA139">
        <v>473</v>
      </c>
      <c r="AB139">
        <v>0.41</v>
      </c>
      <c r="AC139">
        <v>0.01</v>
      </c>
      <c r="AD139">
        <v>0.08</v>
      </c>
      <c r="AE139">
        <v>0.74</v>
      </c>
      <c r="AF139">
        <v>32.64</v>
      </c>
      <c r="AG139">
        <v>1.05</v>
      </c>
      <c r="AH139">
        <v>10.31</v>
      </c>
      <c r="AI139">
        <v>5.05</v>
      </c>
      <c r="AJ139">
        <v>4.3499999999999996</v>
      </c>
      <c r="AK139">
        <v>14.51</v>
      </c>
      <c r="AL139">
        <v>3.74</v>
      </c>
      <c r="AM139">
        <v>5.9</v>
      </c>
      <c r="AN139">
        <v>5.71</v>
      </c>
      <c r="AO139">
        <v>1.76</v>
      </c>
      <c r="AP139">
        <v>5.76</v>
      </c>
      <c r="AQ139">
        <v>3.51</v>
      </c>
      <c r="AR139">
        <v>4.93</v>
      </c>
      <c r="AS139">
        <v>8.2899999999999991</v>
      </c>
      <c r="AT139">
        <v>3.74</v>
      </c>
      <c r="AU139">
        <v>4.1900000000000004</v>
      </c>
      <c r="AV139">
        <v>3.82</v>
      </c>
      <c r="AW139">
        <v>5.21</v>
      </c>
      <c r="AX139">
        <v>6.81</v>
      </c>
      <c r="AY139">
        <v>2229</v>
      </c>
      <c r="AZ139">
        <v>1078</v>
      </c>
      <c r="BA139">
        <v>1384</v>
      </c>
      <c r="BB139">
        <v>67.709999999999994</v>
      </c>
    </row>
    <row r="140" spans="1:58" x14ac:dyDescent="0.25">
      <c r="A140" t="s">
        <v>364</v>
      </c>
      <c r="B140" t="s">
        <v>256</v>
      </c>
      <c r="C140" t="s">
        <v>362</v>
      </c>
      <c r="D140" t="s">
        <v>596</v>
      </c>
      <c r="E140">
        <v>81.45</v>
      </c>
      <c r="F140">
        <v>56</v>
      </c>
      <c r="G140">
        <v>2.23</v>
      </c>
      <c r="H140">
        <v>0.81</v>
      </c>
      <c r="I140">
        <v>9.43</v>
      </c>
      <c r="J140">
        <v>4.5999999999999996</v>
      </c>
      <c r="K140">
        <v>3.79</v>
      </c>
      <c r="L140">
        <v>0.82</v>
      </c>
      <c r="M140">
        <v>1.48</v>
      </c>
      <c r="N140">
        <v>15.02</v>
      </c>
      <c r="P140">
        <v>0.03</v>
      </c>
      <c r="Q140">
        <v>0.05</v>
      </c>
      <c r="R140">
        <v>0.36</v>
      </c>
      <c r="S140">
        <v>0.24</v>
      </c>
      <c r="T140">
        <v>0.19</v>
      </c>
      <c r="U140">
        <v>10.8</v>
      </c>
      <c r="V140">
        <v>4.91</v>
      </c>
      <c r="W140">
        <v>20.69</v>
      </c>
      <c r="X140">
        <v>46.33</v>
      </c>
      <c r="Y140">
        <v>59.93</v>
      </c>
      <c r="Z140">
        <v>11.73</v>
      </c>
      <c r="AA140">
        <v>401</v>
      </c>
      <c r="AB140">
        <v>2.85</v>
      </c>
      <c r="AC140">
        <v>3.6</v>
      </c>
      <c r="AD140">
        <v>0.17</v>
      </c>
      <c r="AE140">
        <v>0.28000000000000003</v>
      </c>
      <c r="AG140">
        <v>1.03</v>
      </c>
      <c r="AH140">
        <v>16.760000000000002</v>
      </c>
      <c r="AI140">
        <v>4.9800000000000004</v>
      </c>
      <c r="AJ140">
        <v>5.0199999999999996</v>
      </c>
      <c r="AK140">
        <v>12.07</v>
      </c>
      <c r="AL140">
        <v>3.24</v>
      </c>
      <c r="AM140">
        <v>5.18</v>
      </c>
      <c r="AN140">
        <v>4.3899999999999997</v>
      </c>
      <c r="AO140">
        <v>1.02</v>
      </c>
      <c r="AP140">
        <v>4.83</v>
      </c>
      <c r="AQ140">
        <v>1.18</v>
      </c>
      <c r="AR140">
        <v>4.3899999999999997</v>
      </c>
      <c r="AS140">
        <v>6.97</v>
      </c>
      <c r="AT140">
        <v>3.63</v>
      </c>
      <c r="AU140">
        <v>4.1500000000000004</v>
      </c>
      <c r="AV140">
        <v>1.59</v>
      </c>
      <c r="AW140">
        <v>1.93</v>
      </c>
      <c r="AX140">
        <v>5.73</v>
      </c>
      <c r="AY140">
        <v>224</v>
      </c>
      <c r="AZ140">
        <v>71.11</v>
      </c>
      <c r="BA140">
        <v>353</v>
      </c>
      <c r="BC140">
        <v>1.31</v>
      </c>
      <c r="BD140">
        <v>3.83</v>
      </c>
      <c r="BF140">
        <v>90.15</v>
      </c>
    </row>
    <row r="141" spans="1:58" x14ac:dyDescent="0.25">
      <c r="A141" t="s">
        <v>364</v>
      </c>
      <c r="B141" t="s">
        <v>338</v>
      </c>
      <c r="C141" t="s">
        <v>362</v>
      </c>
      <c r="D141" t="s">
        <v>592</v>
      </c>
      <c r="E141">
        <v>11.53</v>
      </c>
      <c r="F141">
        <v>298</v>
      </c>
      <c r="G141">
        <v>13.43</v>
      </c>
      <c r="H141">
        <v>16.66</v>
      </c>
      <c r="I141">
        <v>21.46</v>
      </c>
      <c r="J141">
        <v>30.99</v>
      </c>
      <c r="K141">
        <v>26.22</v>
      </c>
      <c r="L141">
        <v>4.7699999999999996</v>
      </c>
      <c r="M141">
        <v>5.93</v>
      </c>
      <c r="N141">
        <v>12.52</v>
      </c>
      <c r="P141">
        <v>0.49</v>
      </c>
      <c r="Q141">
        <v>0.12</v>
      </c>
      <c r="R141">
        <v>3.01</v>
      </c>
      <c r="S141">
        <v>0.21</v>
      </c>
      <c r="T141">
        <v>0.39</v>
      </c>
      <c r="U141">
        <v>23.52</v>
      </c>
      <c r="W141">
        <v>905</v>
      </c>
      <c r="X141">
        <v>381</v>
      </c>
      <c r="Y141">
        <v>432</v>
      </c>
      <c r="Z141">
        <v>129</v>
      </c>
      <c r="AA141">
        <v>1993</v>
      </c>
      <c r="AB141">
        <v>13.88</v>
      </c>
      <c r="AC141">
        <v>3.95</v>
      </c>
      <c r="AD141">
        <v>1.1000000000000001</v>
      </c>
      <c r="AE141">
        <v>3.96</v>
      </c>
      <c r="AF141">
        <v>2.89</v>
      </c>
      <c r="AG141">
        <v>0.96</v>
      </c>
      <c r="AH141">
        <v>8.83</v>
      </c>
      <c r="AI141">
        <v>4</v>
      </c>
      <c r="AJ141">
        <v>4.96</v>
      </c>
      <c r="AK141">
        <v>21.27</v>
      </c>
      <c r="AL141">
        <v>4.55</v>
      </c>
      <c r="AM141">
        <v>7.51</v>
      </c>
      <c r="AN141">
        <v>5.33</v>
      </c>
      <c r="AO141">
        <v>1.02</v>
      </c>
      <c r="AP141">
        <v>5.33</v>
      </c>
      <c r="AQ141">
        <v>1.19</v>
      </c>
      <c r="AR141">
        <v>4.53</v>
      </c>
      <c r="AS141">
        <v>6.42</v>
      </c>
      <c r="AT141">
        <v>3.02</v>
      </c>
      <c r="AU141">
        <v>4.2300000000000004</v>
      </c>
      <c r="AV141">
        <v>2.88</v>
      </c>
      <c r="AW141">
        <v>4.97</v>
      </c>
      <c r="AX141">
        <v>7.08</v>
      </c>
      <c r="AY141">
        <v>607</v>
      </c>
      <c r="AZ141">
        <v>8404</v>
      </c>
      <c r="BA141">
        <v>4316</v>
      </c>
      <c r="BC141">
        <v>1</v>
      </c>
      <c r="BD141">
        <v>14.14</v>
      </c>
      <c r="BF141">
        <v>75.12</v>
      </c>
    </row>
    <row r="142" spans="1:58" x14ac:dyDescent="0.25">
      <c r="A142" t="s">
        <v>364</v>
      </c>
      <c r="B142" t="s">
        <v>313</v>
      </c>
      <c r="C142" t="s">
        <v>355</v>
      </c>
      <c r="D142" t="s">
        <v>728</v>
      </c>
      <c r="E142">
        <v>79.12</v>
      </c>
      <c r="F142">
        <v>61</v>
      </c>
      <c r="G142">
        <v>1.66</v>
      </c>
      <c r="H142">
        <v>1.96</v>
      </c>
      <c r="I142">
        <v>8.5399999999999991</v>
      </c>
      <c r="J142">
        <v>7.51</v>
      </c>
      <c r="K142">
        <v>6.08</v>
      </c>
      <c r="L142">
        <v>1.43</v>
      </c>
      <c r="M142">
        <v>1.23</v>
      </c>
      <c r="N142">
        <v>15.89</v>
      </c>
      <c r="Q142">
        <v>0.03</v>
      </c>
      <c r="R142">
        <v>1.23</v>
      </c>
      <c r="S142">
        <v>0.16</v>
      </c>
      <c r="T142">
        <v>1.02</v>
      </c>
      <c r="U142">
        <v>72.39</v>
      </c>
      <c r="V142">
        <v>10.8</v>
      </c>
      <c r="W142">
        <v>105</v>
      </c>
      <c r="X142">
        <v>85.78</v>
      </c>
      <c r="Y142">
        <v>57.46</v>
      </c>
      <c r="Z142">
        <v>23.2</v>
      </c>
      <c r="AA142">
        <v>484</v>
      </c>
      <c r="AB142">
        <v>1.06</v>
      </c>
      <c r="AC142">
        <v>0.91</v>
      </c>
      <c r="AD142">
        <v>0.28999999999999998</v>
      </c>
      <c r="AE142">
        <v>0.59</v>
      </c>
      <c r="AF142">
        <v>14.17</v>
      </c>
      <c r="AG142">
        <v>0.59</v>
      </c>
      <c r="AH142">
        <v>15.79</v>
      </c>
      <c r="AI142">
        <v>4.6399999999999997</v>
      </c>
      <c r="AJ142">
        <v>5.98</v>
      </c>
      <c r="AK142">
        <v>12.67</v>
      </c>
      <c r="AL142">
        <v>3.36</v>
      </c>
      <c r="AM142">
        <v>5.5</v>
      </c>
      <c r="AN142">
        <v>6.41</v>
      </c>
      <c r="AO142">
        <v>0.99</v>
      </c>
      <c r="AP142">
        <v>5.63</v>
      </c>
      <c r="AQ142">
        <v>1.39</v>
      </c>
      <c r="AR142">
        <v>5.4</v>
      </c>
      <c r="AS142">
        <v>7.08</v>
      </c>
      <c r="AT142">
        <v>3.98</v>
      </c>
      <c r="AU142">
        <v>3.71</v>
      </c>
      <c r="AV142">
        <v>2.46</v>
      </c>
      <c r="AW142">
        <v>5.48</v>
      </c>
      <c r="AX142">
        <v>6.26</v>
      </c>
      <c r="AY142">
        <v>84.79</v>
      </c>
      <c r="AZ142">
        <v>148</v>
      </c>
      <c r="BA142">
        <v>1092</v>
      </c>
      <c r="BC142">
        <v>0.48</v>
      </c>
      <c r="BD142">
        <v>7.27</v>
      </c>
      <c r="BF142">
        <v>95.33</v>
      </c>
    </row>
    <row r="143" spans="1:58" x14ac:dyDescent="0.25">
      <c r="A143" t="s">
        <v>364</v>
      </c>
      <c r="B143" t="s">
        <v>207</v>
      </c>
      <c r="C143" t="s">
        <v>359</v>
      </c>
      <c r="D143" t="s">
        <v>208</v>
      </c>
      <c r="E143">
        <v>86.81</v>
      </c>
      <c r="F143">
        <v>43</v>
      </c>
      <c r="G143">
        <v>10.71</v>
      </c>
      <c r="H143">
        <v>0.06</v>
      </c>
      <c r="M143">
        <v>0.76</v>
      </c>
      <c r="P143">
        <v>0.02</v>
      </c>
      <c r="Q143">
        <v>0.16</v>
      </c>
      <c r="R143">
        <v>0.01</v>
      </c>
      <c r="S143">
        <v>1.23</v>
      </c>
      <c r="T143">
        <v>0</v>
      </c>
      <c r="U143">
        <v>4.68</v>
      </c>
      <c r="W143">
        <v>5.05</v>
      </c>
      <c r="X143">
        <v>15</v>
      </c>
      <c r="Y143">
        <v>10.8</v>
      </c>
      <c r="Z143">
        <v>167</v>
      </c>
      <c r="AA143">
        <v>155</v>
      </c>
      <c r="AB143">
        <v>0.09</v>
      </c>
      <c r="AD143">
        <v>0.03</v>
      </c>
      <c r="AE143">
        <v>0.04</v>
      </c>
      <c r="AF143">
        <v>26.35</v>
      </c>
      <c r="AG143">
        <v>1.67</v>
      </c>
      <c r="AH143">
        <v>10.25</v>
      </c>
      <c r="AI143">
        <v>4.87</v>
      </c>
      <c r="AJ143">
        <v>5.89</v>
      </c>
      <c r="AK143">
        <v>13.52</v>
      </c>
      <c r="AL143">
        <v>4.58</v>
      </c>
      <c r="AM143">
        <v>3.41</v>
      </c>
      <c r="AN143">
        <v>5.84</v>
      </c>
      <c r="AO143">
        <v>2.31</v>
      </c>
      <c r="AP143">
        <v>6.59</v>
      </c>
      <c r="AQ143">
        <v>2.89</v>
      </c>
      <c r="AR143">
        <v>5.42</v>
      </c>
      <c r="AS143">
        <v>8.51</v>
      </c>
      <c r="AT143">
        <v>3.51</v>
      </c>
      <c r="AU143">
        <v>7.12</v>
      </c>
      <c r="AV143">
        <v>2.3199999999999998</v>
      </c>
      <c r="AW143">
        <v>7.98</v>
      </c>
      <c r="AX143">
        <v>5.45</v>
      </c>
      <c r="AY143">
        <v>23</v>
      </c>
      <c r="AZ143">
        <v>20</v>
      </c>
      <c r="BA143">
        <v>7.12</v>
      </c>
    </row>
    <row r="144" spans="1:58" x14ac:dyDescent="0.25">
      <c r="A144" t="s">
        <v>364</v>
      </c>
      <c r="B144" t="s">
        <v>97</v>
      </c>
      <c r="C144" t="s">
        <v>355</v>
      </c>
      <c r="D144" t="s">
        <v>793</v>
      </c>
      <c r="E144">
        <v>91.92</v>
      </c>
      <c r="F144">
        <v>23</v>
      </c>
      <c r="G144">
        <v>1.22</v>
      </c>
      <c r="H144">
        <v>0.34</v>
      </c>
      <c r="I144">
        <v>3.59</v>
      </c>
      <c r="J144">
        <v>2.34</v>
      </c>
      <c r="K144">
        <v>1.5</v>
      </c>
      <c r="L144">
        <v>0.84</v>
      </c>
      <c r="M144">
        <v>0.6</v>
      </c>
      <c r="N144">
        <v>38.96</v>
      </c>
      <c r="Q144">
        <v>0.03</v>
      </c>
      <c r="R144">
        <v>0.65</v>
      </c>
      <c r="S144">
        <v>0.55000000000000004</v>
      </c>
      <c r="T144">
        <v>0.28999999999999998</v>
      </c>
      <c r="U144">
        <v>28.65</v>
      </c>
      <c r="V144">
        <v>49.63</v>
      </c>
      <c r="W144">
        <v>12.65</v>
      </c>
      <c r="X144">
        <v>24.47</v>
      </c>
      <c r="Y144">
        <v>11.21</v>
      </c>
      <c r="Z144">
        <v>4.6100000000000003</v>
      </c>
      <c r="AA144">
        <v>240</v>
      </c>
      <c r="AB144">
        <v>0.21</v>
      </c>
      <c r="AC144">
        <v>0.16</v>
      </c>
      <c r="AD144">
        <v>0.13</v>
      </c>
      <c r="AE144">
        <v>0.31</v>
      </c>
      <c r="AF144">
        <v>2.1</v>
      </c>
      <c r="AG144">
        <v>0.66</v>
      </c>
      <c r="AH144">
        <v>14.87</v>
      </c>
      <c r="AI144">
        <v>4.1500000000000004</v>
      </c>
      <c r="AJ144">
        <v>5.34</v>
      </c>
      <c r="AK144">
        <v>23.21</v>
      </c>
      <c r="AL144">
        <v>4.6500000000000004</v>
      </c>
      <c r="AM144">
        <v>4.63</v>
      </c>
      <c r="AN144">
        <v>5.04</v>
      </c>
      <c r="AO144">
        <v>1.1100000000000001</v>
      </c>
      <c r="AP144">
        <v>4.3</v>
      </c>
      <c r="AQ144">
        <v>1.1100000000000001</v>
      </c>
      <c r="AR144">
        <v>3.82</v>
      </c>
      <c r="AS144">
        <v>5.44</v>
      </c>
      <c r="AT144">
        <v>3.92</v>
      </c>
      <c r="AU144">
        <v>2.84</v>
      </c>
      <c r="AV144">
        <v>1.98</v>
      </c>
      <c r="AW144">
        <v>5.24</v>
      </c>
      <c r="AX144">
        <v>4.9400000000000004</v>
      </c>
      <c r="AY144">
        <v>78.17</v>
      </c>
      <c r="AZ144">
        <v>12.52</v>
      </c>
      <c r="BA144">
        <v>177</v>
      </c>
      <c r="BC144">
        <v>0.61</v>
      </c>
      <c r="BD144">
        <v>2.72</v>
      </c>
      <c r="BF144">
        <v>233</v>
      </c>
    </row>
    <row r="145" spans="1:58" x14ac:dyDescent="0.25">
      <c r="A145" t="s">
        <v>369</v>
      </c>
      <c r="B145" t="s">
        <v>458</v>
      </c>
      <c r="C145" t="s">
        <v>362</v>
      </c>
      <c r="D145" t="s">
        <v>457</v>
      </c>
      <c r="E145">
        <v>8.8000000000000007</v>
      </c>
      <c r="F145">
        <v>325</v>
      </c>
      <c r="G145">
        <v>14.3</v>
      </c>
      <c r="H145">
        <v>14</v>
      </c>
      <c r="I145">
        <v>55.8</v>
      </c>
      <c r="J145">
        <v>53.2</v>
      </c>
      <c r="M145">
        <v>7.07</v>
      </c>
      <c r="O145">
        <v>0</v>
      </c>
      <c r="P145">
        <v>0.17599999999999999</v>
      </c>
      <c r="Q145">
        <v>0.2</v>
      </c>
      <c r="R145">
        <v>3.26</v>
      </c>
      <c r="S145">
        <v>1.07</v>
      </c>
      <c r="T145">
        <v>0.105</v>
      </c>
      <c r="U145">
        <v>56</v>
      </c>
      <c r="V145">
        <v>0.7</v>
      </c>
      <c r="W145">
        <v>525</v>
      </c>
      <c r="X145">
        <v>367</v>
      </c>
      <c r="Y145">
        <v>255</v>
      </c>
      <c r="Z145">
        <v>52</v>
      </c>
      <c r="AA145">
        <v>1170</v>
      </c>
      <c r="AB145">
        <v>19.100000000000001</v>
      </c>
      <c r="AC145">
        <v>8.3000000000000007</v>
      </c>
      <c r="AD145">
        <v>1.2</v>
      </c>
      <c r="AE145">
        <v>4.7</v>
      </c>
      <c r="AF145">
        <v>40.299999999999997</v>
      </c>
      <c r="AG145">
        <v>0.11</v>
      </c>
      <c r="AH145">
        <v>1.79</v>
      </c>
      <c r="AI145">
        <v>0.35</v>
      </c>
      <c r="AJ145">
        <v>0.39</v>
      </c>
      <c r="AK145">
        <v>2.27</v>
      </c>
      <c r="AL145">
        <v>1.24</v>
      </c>
      <c r="AM145">
        <v>0.79</v>
      </c>
      <c r="AN145">
        <v>0.55000000000000004</v>
      </c>
      <c r="AO145">
        <v>0.2</v>
      </c>
      <c r="AP145">
        <v>0.75</v>
      </c>
      <c r="AQ145">
        <v>0.19</v>
      </c>
      <c r="AR145">
        <v>0.63</v>
      </c>
      <c r="AS145">
        <v>0.89</v>
      </c>
      <c r="AT145">
        <v>0.4</v>
      </c>
      <c r="AU145">
        <v>0.57999999999999996</v>
      </c>
      <c r="AV145">
        <v>0.28999999999999998</v>
      </c>
      <c r="AW145">
        <v>0.7</v>
      </c>
      <c r="AX145">
        <v>0.89</v>
      </c>
      <c r="AY145">
        <v>1.65</v>
      </c>
      <c r="AZ145">
        <v>8.7799999999999994</v>
      </c>
      <c r="BA145">
        <v>3.06</v>
      </c>
      <c r="BB145">
        <v>0</v>
      </c>
      <c r="BE145">
        <v>0</v>
      </c>
      <c r="BF145">
        <v>11</v>
      </c>
    </row>
    <row r="146" spans="1:58" x14ac:dyDescent="0.25">
      <c r="A146" t="s">
        <v>364</v>
      </c>
      <c r="B146" t="s">
        <v>79</v>
      </c>
      <c r="C146" t="s">
        <v>355</v>
      </c>
      <c r="D146" t="s">
        <v>770</v>
      </c>
      <c r="E146">
        <v>86.34</v>
      </c>
      <c r="F146">
        <v>37</v>
      </c>
      <c r="G146">
        <v>0.73</v>
      </c>
      <c r="H146">
        <v>0.44</v>
      </c>
      <c r="I146">
        <v>7.46</v>
      </c>
      <c r="J146">
        <v>4.67</v>
      </c>
      <c r="K146">
        <v>4.3</v>
      </c>
      <c r="L146">
        <v>0.37</v>
      </c>
      <c r="M146">
        <v>0.38</v>
      </c>
      <c r="N146">
        <v>3.36</v>
      </c>
      <c r="Q146">
        <v>0.01</v>
      </c>
      <c r="R146">
        <v>0.42</v>
      </c>
      <c r="S146">
        <v>0.12</v>
      </c>
      <c r="T146">
        <v>0.1</v>
      </c>
      <c r="U146">
        <v>44.49</v>
      </c>
      <c r="V146">
        <v>35.51</v>
      </c>
      <c r="W146">
        <v>20.7</v>
      </c>
      <c r="X146">
        <v>14.6</v>
      </c>
      <c r="Y146">
        <v>9.2799999999999994</v>
      </c>
      <c r="Z146">
        <v>5.99</v>
      </c>
      <c r="AA146">
        <v>174</v>
      </c>
      <c r="AB146">
        <v>0.7</v>
      </c>
      <c r="AC146">
        <v>0.09</v>
      </c>
      <c r="AD146">
        <v>0.32</v>
      </c>
      <c r="AE146">
        <v>0.12</v>
      </c>
      <c r="AF146">
        <v>2.52</v>
      </c>
      <c r="AG146">
        <v>0.77</v>
      </c>
      <c r="AH146">
        <v>21.73</v>
      </c>
      <c r="AI146">
        <v>3.64</v>
      </c>
      <c r="AJ146">
        <v>6.46</v>
      </c>
      <c r="AK146">
        <v>17.82</v>
      </c>
      <c r="AL146">
        <v>2.93</v>
      </c>
      <c r="AM146">
        <v>3.59</v>
      </c>
      <c r="AN146">
        <v>7.44</v>
      </c>
      <c r="AO146">
        <v>0.7</v>
      </c>
      <c r="AP146">
        <v>4.09</v>
      </c>
      <c r="AQ146">
        <v>1.04</v>
      </c>
      <c r="AR146">
        <v>3.36</v>
      </c>
      <c r="AS146">
        <v>4.7300000000000004</v>
      </c>
      <c r="AT146">
        <v>3.8</v>
      </c>
      <c r="AU146">
        <v>2.0099999999999998</v>
      </c>
      <c r="AV146">
        <v>2.2000000000000002</v>
      </c>
      <c r="AW146">
        <v>5.04</v>
      </c>
      <c r="AX146">
        <v>3.21</v>
      </c>
      <c r="AY146">
        <v>147</v>
      </c>
      <c r="AZ146">
        <v>132</v>
      </c>
      <c r="BA146">
        <v>72.540000000000006</v>
      </c>
      <c r="BC146">
        <v>1.78</v>
      </c>
      <c r="BD146">
        <v>5.53</v>
      </c>
      <c r="BF146">
        <v>20.18</v>
      </c>
    </row>
    <row r="147" spans="1:58" x14ac:dyDescent="0.25">
      <c r="A147" t="s">
        <v>364</v>
      </c>
      <c r="B147" t="s">
        <v>192</v>
      </c>
      <c r="C147" t="s">
        <v>357</v>
      </c>
      <c r="D147" t="s">
        <v>813</v>
      </c>
      <c r="E147">
        <v>21.24</v>
      </c>
      <c r="F147">
        <v>275</v>
      </c>
      <c r="G147">
        <v>50.04</v>
      </c>
      <c r="H147">
        <v>8.31</v>
      </c>
      <c r="M147">
        <v>20.43</v>
      </c>
      <c r="O147">
        <v>2.48</v>
      </c>
      <c r="Q147">
        <v>0.03</v>
      </c>
      <c r="R147">
        <v>1.78</v>
      </c>
      <c r="S147">
        <v>0.65</v>
      </c>
      <c r="T147">
        <v>0.35</v>
      </c>
      <c r="U147">
        <v>80.400000000000006</v>
      </c>
      <c r="W147">
        <v>86.55</v>
      </c>
      <c r="X147">
        <v>162</v>
      </c>
      <c r="Y147">
        <v>92.17</v>
      </c>
      <c r="Z147">
        <v>13679</v>
      </c>
      <c r="AA147">
        <v>817</v>
      </c>
      <c r="AB147">
        <v>1.47</v>
      </c>
      <c r="AC147">
        <v>0.22</v>
      </c>
      <c r="AD147">
        <v>7.0000000000000007E-2</v>
      </c>
      <c r="AE147">
        <v>1.1599999999999999</v>
      </c>
      <c r="AF147">
        <v>736</v>
      </c>
      <c r="AG147">
        <v>1.1100000000000001</v>
      </c>
      <c r="AH147">
        <v>9.26</v>
      </c>
      <c r="AI147">
        <v>4.82</v>
      </c>
      <c r="AJ147">
        <v>4.3099999999999996</v>
      </c>
      <c r="AK147">
        <v>16.02</v>
      </c>
      <c r="AL147">
        <v>4.83</v>
      </c>
      <c r="AM147">
        <v>5.07</v>
      </c>
      <c r="AN147">
        <v>6.2</v>
      </c>
      <c r="AO147">
        <v>1.1000000000000001</v>
      </c>
      <c r="AP147">
        <v>5.04</v>
      </c>
      <c r="AQ147">
        <v>2.12</v>
      </c>
      <c r="AR147">
        <v>5.21</v>
      </c>
      <c r="AS147">
        <v>8.36</v>
      </c>
      <c r="AT147">
        <v>4.04</v>
      </c>
      <c r="AU147">
        <v>4.59</v>
      </c>
      <c r="AV147">
        <v>2.91</v>
      </c>
      <c r="AW147">
        <v>7.7</v>
      </c>
      <c r="AX147">
        <v>6.71</v>
      </c>
      <c r="AY147">
        <v>1292</v>
      </c>
      <c r="AZ147">
        <v>731</v>
      </c>
      <c r="BA147">
        <v>636</v>
      </c>
      <c r="BB147">
        <v>75.58</v>
      </c>
    </row>
    <row r="148" spans="1:58" x14ac:dyDescent="0.25">
      <c r="A148" t="s">
        <v>450</v>
      </c>
      <c r="B148" t="s">
        <v>452</v>
      </c>
      <c r="C148" t="s">
        <v>362</v>
      </c>
      <c r="D148" t="s">
        <v>451</v>
      </c>
      <c r="E148">
        <v>67.900000000000006</v>
      </c>
      <c r="F148">
        <v>104</v>
      </c>
      <c r="G148">
        <v>0.8</v>
      </c>
      <c r="H148">
        <v>0.7</v>
      </c>
      <c r="I148">
        <v>23.7</v>
      </c>
      <c r="J148">
        <v>0</v>
      </c>
      <c r="K148">
        <v>0</v>
      </c>
      <c r="L148">
        <v>0</v>
      </c>
      <c r="M148">
        <v>6.9</v>
      </c>
      <c r="O148">
        <v>0</v>
      </c>
      <c r="W148">
        <v>10</v>
      </c>
      <c r="Z148">
        <v>1473</v>
      </c>
      <c r="AB148">
        <v>0.8</v>
      </c>
    </row>
    <row r="149" spans="1:58" x14ac:dyDescent="0.25">
      <c r="A149" t="s">
        <v>364</v>
      </c>
      <c r="B149" t="s">
        <v>210</v>
      </c>
      <c r="C149" t="s">
        <v>359</v>
      </c>
      <c r="D149" t="s">
        <v>610</v>
      </c>
      <c r="E149">
        <v>53.58</v>
      </c>
      <c r="F149">
        <v>299</v>
      </c>
      <c r="G149">
        <v>15.85</v>
      </c>
      <c r="H149">
        <v>26.22</v>
      </c>
      <c r="M149">
        <v>1.03</v>
      </c>
      <c r="P149">
        <v>0.11</v>
      </c>
      <c r="Q149">
        <v>0.14000000000000001</v>
      </c>
      <c r="R149">
        <v>0.66</v>
      </c>
      <c r="S149">
        <v>2.77</v>
      </c>
      <c r="T149">
        <v>0.28000000000000003</v>
      </c>
      <c r="U149">
        <v>107</v>
      </c>
      <c r="W149">
        <v>109</v>
      </c>
      <c r="X149">
        <v>561</v>
      </c>
      <c r="Y149">
        <v>13.3</v>
      </c>
      <c r="Z149">
        <v>49</v>
      </c>
      <c r="AA149">
        <v>128</v>
      </c>
      <c r="AB149">
        <v>2.91</v>
      </c>
      <c r="AC149">
        <v>0.03</v>
      </c>
      <c r="AD149">
        <v>0.09</v>
      </c>
      <c r="AE149">
        <v>2.0699999999999998</v>
      </c>
      <c r="AF149">
        <v>53.88</v>
      </c>
      <c r="AG149">
        <v>1.59</v>
      </c>
      <c r="AH149">
        <v>9.66</v>
      </c>
      <c r="AI149">
        <v>5.66</v>
      </c>
      <c r="AJ149">
        <v>7.58</v>
      </c>
      <c r="AK149">
        <v>12.95</v>
      </c>
      <c r="AL149">
        <v>4.21</v>
      </c>
      <c r="AM149">
        <v>2.98</v>
      </c>
      <c r="AN149">
        <v>5.99</v>
      </c>
      <c r="AO149">
        <v>1.99</v>
      </c>
      <c r="AP149">
        <v>5.98</v>
      </c>
      <c r="AQ149">
        <v>2.56</v>
      </c>
      <c r="AR149">
        <v>5.64</v>
      </c>
      <c r="AS149">
        <v>9.01</v>
      </c>
      <c r="AT149">
        <v>4.25</v>
      </c>
      <c r="AU149">
        <v>5.12</v>
      </c>
      <c r="AV149">
        <v>2.34</v>
      </c>
      <c r="AW149">
        <v>6.98</v>
      </c>
      <c r="AX149">
        <v>7.35</v>
      </c>
      <c r="AY149">
        <v>8518</v>
      </c>
      <c r="AZ149">
        <v>9859</v>
      </c>
      <c r="BA149">
        <v>3257</v>
      </c>
      <c r="BB149">
        <v>1073</v>
      </c>
    </row>
    <row r="150" spans="1:58" x14ac:dyDescent="0.25">
      <c r="A150" t="s">
        <v>364</v>
      </c>
      <c r="B150" t="s">
        <v>153</v>
      </c>
      <c r="C150" t="s">
        <v>357</v>
      </c>
      <c r="D150" t="s">
        <v>691</v>
      </c>
      <c r="E150">
        <v>75.569999999999993</v>
      </c>
      <c r="F150">
        <v>97</v>
      </c>
      <c r="G150">
        <v>22.89</v>
      </c>
      <c r="H150">
        <v>0.56000000000000005</v>
      </c>
      <c r="M150">
        <v>1.21</v>
      </c>
      <c r="O150">
        <v>21.51</v>
      </c>
      <c r="P150">
        <v>0.04</v>
      </c>
      <c r="Q150">
        <v>0.04</v>
      </c>
      <c r="R150">
        <v>4.41</v>
      </c>
      <c r="S150">
        <v>0.71</v>
      </c>
      <c r="T150">
        <v>0.12</v>
      </c>
      <c r="U150">
        <v>8.08</v>
      </c>
      <c r="W150">
        <v>7.2</v>
      </c>
      <c r="X150">
        <v>268</v>
      </c>
      <c r="Y150">
        <v>30.08</v>
      </c>
      <c r="Z150">
        <v>61.96</v>
      </c>
      <c r="AA150">
        <v>365</v>
      </c>
      <c r="AB150">
        <v>1.2</v>
      </c>
      <c r="AC150">
        <v>0.02</v>
      </c>
      <c r="AD150">
        <v>0.12</v>
      </c>
      <c r="AE150">
        <v>0.57999999999999996</v>
      </c>
      <c r="AF150">
        <v>47.58</v>
      </c>
      <c r="AG150">
        <v>0.9</v>
      </c>
      <c r="AH150">
        <v>8.56</v>
      </c>
      <c r="AI150">
        <v>5.34</v>
      </c>
      <c r="AJ150">
        <v>4.5</v>
      </c>
      <c r="AK150">
        <v>13.97</v>
      </c>
      <c r="AL150">
        <v>3.53</v>
      </c>
      <c r="AM150">
        <v>5.65</v>
      </c>
      <c r="AN150">
        <v>5.44</v>
      </c>
      <c r="AO150">
        <v>1.94</v>
      </c>
      <c r="AP150">
        <v>5.94</v>
      </c>
      <c r="AQ150">
        <v>2.0299999999999998</v>
      </c>
      <c r="AR150">
        <v>4.78</v>
      </c>
      <c r="AS150">
        <v>7.94</v>
      </c>
      <c r="AT150">
        <v>4.08</v>
      </c>
      <c r="AU150">
        <v>4.4800000000000004</v>
      </c>
      <c r="AV150">
        <v>2.95</v>
      </c>
      <c r="AW150">
        <v>7.21</v>
      </c>
      <c r="AX150">
        <v>7.37</v>
      </c>
      <c r="AY150">
        <v>150</v>
      </c>
      <c r="AZ150">
        <v>55.25</v>
      </c>
      <c r="BA150">
        <v>179</v>
      </c>
      <c r="BB150">
        <v>21.72</v>
      </c>
    </row>
    <row r="151" spans="1:58" x14ac:dyDescent="0.25">
      <c r="A151" t="s">
        <v>450</v>
      </c>
      <c r="B151" t="s">
        <v>456</v>
      </c>
      <c r="C151" t="s">
        <v>362</v>
      </c>
      <c r="D151" t="s">
        <v>455</v>
      </c>
      <c r="E151">
        <v>80.2</v>
      </c>
      <c r="F151">
        <v>36</v>
      </c>
      <c r="G151">
        <v>5.9</v>
      </c>
      <c r="H151">
        <v>0</v>
      </c>
      <c r="I151">
        <v>3.2</v>
      </c>
      <c r="J151">
        <v>0</v>
      </c>
      <c r="K151">
        <v>0</v>
      </c>
      <c r="L151">
        <v>0</v>
      </c>
      <c r="M151">
        <v>31.4</v>
      </c>
      <c r="W151">
        <v>1</v>
      </c>
      <c r="X151">
        <v>9489</v>
      </c>
    </row>
    <row r="152" spans="1:58" x14ac:dyDescent="0.25">
      <c r="A152" t="s">
        <v>369</v>
      </c>
      <c r="B152" t="s">
        <v>460</v>
      </c>
      <c r="C152" t="s">
        <v>362</v>
      </c>
      <c r="D152" t="s">
        <v>459</v>
      </c>
      <c r="E152">
        <v>85.6</v>
      </c>
      <c r="F152">
        <v>56</v>
      </c>
      <c r="G152">
        <v>0.03</v>
      </c>
      <c r="H152">
        <v>0</v>
      </c>
      <c r="I152">
        <v>14.4</v>
      </c>
      <c r="M152">
        <v>0.01</v>
      </c>
      <c r="P152">
        <v>3.0000000000000001E-3</v>
      </c>
      <c r="Q152">
        <v>2.9000000000000001E-2</v>
      </c>
      <c r="R152">
        <v>0.129</v>
      </c>
      <c r="S152">
        <v>1.0999999999999999E-2</v>
      </c>
      <c r="T152">
        <v>8.0000000000000002E-3</v>
      </c>
      <c r="U152">
        <v>0</v>
      </c>
      <c r="V152">
        <v>0</v>
      </c>
      <c r="W152">
        <v>3</v>
      </c>
      <c r="X152">
        <v>0</v>
      </c>
      <c r="Y152">
        <v>1</v>
      </c>
      <c r="Z152">
        <v>3</v>
      </c>
      <c r="AA152">
        <v>0</v>
      </c>
      <c r="AB152">
        <v>0.05</v>
      </c>
      <c r="AC152">
        <v>1E-3</v>
      </c>
      <c r="AD152">
        <v>3.0000000000000001E-3</v>
      </c>
      <c r="AE152">
        <v>0.01</v>
      </c>
      <c r="AF152">
        <v>0</v>
      </c>
    </row>
    <row r="153" spans="1:58" x14ac:dyDescent="0.25">
      <c r="A153" t="s">
        <v>369</v>
      </c>
      <c r="B153" t="s">
        <v>464</v>
      </c>
      <c r="C153" t="s">
        <v>447</v>
      </c>
      <c r="D153" t="s">
        <v>463</v>
      </c>
      <c r="E153">
        <v>0.2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36.9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27400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25">
      <c r="A154" t="s">
        <v>369</v>
      </c>
      <c r="B154" t="s">
        <v>466</v>
      </c>
      <c r="C154" t="s">
        <v>362</v>
      </c>
      <c r="D154" t="s">
        <v>465</v>
      </c>
      <c r="E154">
        <v>73.5</v>
      </c>
      <c r="F154">
        <v>82</v>
      </c>
      <c r="G154">
        <v>4.32</v>
      </c>
      <c r="H154">
        <v>0.47</v>
      </c>
      <c r="I154">
        <v>18.899999999999999</v>
      </c>
      <c r="J154">
        <v>4.0999999999999996</v>
      </c>
      <c r="M154">
        <v>2.8</v>
      </c>
      <c r="P154">
        <v>0.06</v>
      </c>
      <c r="Q154">
        <v>0.153</v>
      </c>
      <c r="R154">
        <v>3.08</v>
      </c>
      <c r="S154">
        <v>0.14199999999999999</v>
      </c>
      <c r="T154">
        <v>0.216</v>
      </c>
      <c r="U154">
        <v>12</v>
      </c>
      <c r="V154">
        <v>21.9</v>
      </c>
      <c r="W154">
        <v>36</v>
      </c>
      <c r="X154">
        <v>83</v>
      </c>
      <c r="Y154">
        <v>42</v>
      </c>
      <c r="Z154">
        <v>59</v>
      </c>
      <c r="AA154">
        <v>1010</v>
      </c>
      <c r="AB154">
        <v>2.98</v>
      </c>
      <c r="AC154">
        <v>0.30199999999999999</v>
      </c>
      <c r="AD154">
        <v>0.36499999999999999</v>
      </c>
      <c r="AE154">
        <v>0.63</v>
      </c>
      <c r="AF154">
        <v>5.3</v>
      </c>
      <c r="AY154">
        <v>0.1</v>
      </c>
      <c r="AZ154">
        <v>6.7000000000000004E-2</v>
      </c>
      <c r="BA154">
        <v>0.16</v>
      </c>
      <c r="BD154">
        <v>0.22</v>
      </c>
      <c r="BE154">
        <v>29</v>
      </c>
      <c r="BF154">
        <v>901</v>
      </c>
    </row>
    <row r="155" spans="1:58" x14ac:dyDescent="0.25">
      <c r="A155" t="s">
        <v>364</v>
      </c>
      <c r="B155" t="s">
        <v>337</v>
      </c>
      <c r="C155" t="s">
        <v>362</v>
      </c>
      <c r="D155" t="s">
        <v>589</v>
      </c>
      <c r="E155">
        <v>25.99</v>
      </c>
      <c r="F155">
        <v>187</v>
      </c>
      <c r="G155">
        <v>6.04</v>
      </c>
      <c r="H155">
        <v>8.4499999999999993</v>
      </c>
      <c r="I155">
        <v>18.73</v>
      </c>
      <c r="J155">
        <v>34.880000000000003</v>
      </c>
      <c r="K155">
        <v>28.29</v>
      </c>
      <c r="L155">
        <v>6.59</v>
      </c>
      <c r="M155">
        <v>5.92</v>
      </c>
      <c r="N155">
        <v>13</v>
      </c>
      <c r="P155">
        <v>0.63</v>
      </c>
      <c r="Q155">
        <v>0.24</v>
      </c>
      <c r="R155">
        <v>1.01</v>
      </c>
      <c r="S155">
        <v>0.36</v>
      </c>
      <c r="T155">
        <v>0.03</v>
      </c>
      <c r="U155">
        <v>34.83</v>
      </c>
      <c r="W155">
        <v>466</v>
      </c>
      <c r="X155">
        <v>113</v>
      </c>
      <c r="Y155">
        <v>378</v>
      </c>
      <c r="Z155">
        <v>193</v>
      </c>
      <c r="AA155">
        <v>1402</v>
      </c>
      <c r="AB155">
        <v>10.25</v>
      </c>
      <c r="AC155">
        <v>53.57</v>
      </c>
      <c r="AD155">
        <v>0.56000000000000005</v>
      </c>
      <c r="AE155">
        <v>1.01</v>
      </c>
      <c r="AF155">
        <v>9.7799999999999994</v>
      </c>
      <c r="AG155">
        <v>0.88</v>
      </c>
      <c r="AH155">
        <v>10.38</v>
      </c>
      <c r="AI155">
        <v>3.45</v>
      </c>
      <c r="AJ155">
        <v>4.8899999999999997</v>
      </c>
      <c r="AK155">
        <v>17.52</v>
      </c>
      <c r="AL155">
        <v>4.0999999999999996</v>
      </c>
      <c r="AM155">
        <v>2.09</v>
      </c>
      <c r="AN155">
        <v>3.76</v>
      </c>
      <c r="AO155">
        <v>0.89</v>
      </c>
      <c r="AP155">
        <v>4.47</v>
      </c>
      <c r="AQ155">
        <v>1.1200000000000001</v>
      </c>
      <c r="AR155">
        <v>2.14</v>
      </c>
      <c r="AS155">
        <v>5.39</v>
      </c>
      <c r="AT155">
        <v>2.52</v>
      </c>
      <c r="AU155">
        <v>4.05</v>
      </c>
      <c r="AV155">
        <v>2.2200000000000002</v>
      </c>
      <c r="AW155">
        <v>6.31</v>
      </c>
      <c r="AX155">
        <v>6.07</v>
      </c>
      <c r="AY155">
        <v>2707</v>
      </c>
      <c r="AZ155">
        <v>575</v>
      </c>
      <c r="BA155">
        <v>3478</v>
      </c>
      <c r="BC155">
        <v>2.1800000000000002</v>
      </c>
      <c r="BD155">
        <v>8.36</v>
      </c>
      <c r="BE155">
        <v>9.2100000000000009</v>
      </c>
      <c r="BF155">
        <v>73.42</v>
      </c>
    </row>
    <row r="156" spans="1:58" x14ac:dyDescent="0.25">
      <c r="A156" t="s">
        <v>364</v>
      </c>
      <c r="B156" t="s">
        <v>209</v>
      </c>
      <c r="C156" t="s">
        <v>359</v>
      </c>
      <c r="D156" t="s">
        <v>609</v>
      </c>
      <c r="E156">
        <v>76.37</v>
      </c>
      <c r="F156">
        <v>135</v>
      </c>
      <c r="G156">
        <v>13.55</v>
      </c>
      <c r="H156">
        <v>9.0299999999999994</v>
      </c>
      <c r="M156">
        <v>0.82</v>
      </c>
      <c r="P156">
        <v>0.06</v>
      </c>
      <c r="Q156">
        <v>0.19</v>
      </c>
      <c r="R156">
        <v>0.12</v>
      </c>
      <c r="S156">
        <v>1.48</v>
      </c>
      <c r="T156">
        <v>0.19</v>
      </c>
      <c r="U156">
        <v>49.46</v>
      </c>
      <c r="W156">
        <v>63.3</v>
      </c>
      <c r="X156">
        <v>189</v>
      </c>
      <c r="Y156">
        <v>12</v>
      </c>
      <c r="Z156">
        <v>110</v>
      </c>
      <c r="AA156">
        <v>128</v>
      </c>
      <c r="AB156">
        <v>2.39</v>
      </c>
      <c r="AC156">
        <v>0.03</v>
      </c>
      <c r="AD156">
        <v>0.08</v>
      </c>
      <c r="AE156">
        <v>1.73</v>
      </c>
      <c r="AF156">
        <v>36.35</v>
      </c>
      <c r="AG156">
        <v>1.72</v>
      </c>
      <c r="AH156">
        <v>9.58</v>
      </c>
      <c r="AI156">
        <v>4.75</v>
      </c>
      <c r="AJ156">
        <v>6.72</v>
      </c>
      <c r="AK156">
        <v>13.6</v>
      </c>
      <c r="AL156">
        <v>4.1100000000000003</v>
      </c>
      <c r="AM156">
        <v>3.3</v>
      </c>
      <c r="AN156">
        <v>6.55</v>
      </c>
      <c r="AO156">
        <v>2.2599999999999998</v>
      </c>
      <c r="AP156">
        <v>6.45</v>
      </c>
      <c r="AQ156">
        <v>3.1</v>
      </c>
      <c r="AR156">
        <v>5.45</v>
      </c>
      <c r="AS156">
        <v>8.4</v>
      </c>
      <c r="AT156">
        <v>3.99</v>
      </c>
      <c r="AU156">
        <v>5.71</v>
      </c>
      <c r="AV156">
        <v>2.15</v>
      </c>
      <c r="AW156">
        <v>8.11</v>
      </c>
      <c r="AX156">
        <v>6.61</v>
      </c>
      <c r="AY156">
        <v>2911</v>
      </c>
      <c r="AZ156">
        <v>3398</v>
      </c>
      <c r="BA156">
        <v>1143</v>
      </c>
      <c r="BB156">
        <v>366</v>
      </c>
    </row>
    <row r="157" spans="1:58" x14ac:dyDescent="0.25">
      <c r="A157" t="s">
        <v>364</v>
      </c>
      <c r="B157" t="s">
        <v>119</v>
      </c>
      <c r="C157" t="s">
        <v>356</v>
      </c>
      <c r="D157" t="s">
        <v>639</v>
      </c>
      <c r="E157">
        <v>91.29</v>
      </c>
      <c r="F157">
        <v>38</v>
      </c>
      <c r="G157">
        <v>0.37</v>
      </c>
      <c r="H157">
        <v>0.76</v>
      </c>
      <c r="I157">
        <v>7.36</v>
      </c>
      <c r="M157">
        <v>0.24</v>
      </c>
      <c r="N157">
        <v>0.43</v>
      </c>
      <c r="P157">
        <v>0.04</v>
      </c>
      <c r="Q157">
        <v>0.01</v>
      </c>
      <c r="R157">
        <v>0.09</v>
      </c>
      <c r="S157">
        <v>0.1</v>
      </c>
      <c r="T157">
        <v>0.04</v>
      </c>
      <c r="U157">
        <v>14.34</v>
      </c>
      <c r="V157">
        <v>49.04</v>
      </c>
      <c r="W157">
        <v>22.43</v>
      </c>
      <c r="X157">
        <v>10.029999999999999</v>
      </c>
      <c r="Y157">
        <v>9.35</v>
      </c>
      <c r="Z157">
        <v>0.94</v>
      </c>
      <c r="AA157">
        <v>144</v>
      </c>
      <c r="AB157">
        <v>0.13</v>
      </c>
      <c r="AC157">
        <v>0.02</v>
      </c>
      <c r="AD157">
        <v>0.03</v>
      </c>
      <c r="AE157">
        <v>7.0000000000000007E-2</v>
      </c>
      <c r="AG157">
        <v>0.39</v>
      </c>
      <c r="AH157">
        <v>22.52</v>
      </c>
      <c r="AI157">
        <v>1.57</v>
      </c>
      <c r="AJ157">
        <v>3.65</v>
      </c>
      <c r="AK157">
        <v>14</v>
      </c>
      <c r="AL157">
        <v>7.66</v>
      </c>
      <c r="AM157">
        <v>1.86</v>
      </c>
      <c r="AN157">
        <v>4.96</v>
      </c>
      <c r="AO157">
        <v>0.99</v>
      </c>
      <c r="AP157">
        <v>3.48</v>
      </c>
      <c r="AQ157">
        <v>1.1499999999999999</v>
      </c>
      <c r="AR157">
        <v>2.71</v>
      </c>
      <c r="AS157">
        <v>2.4300000000000002</v>
      </c>
      <c r="AT157">
        <v>1.27</v>
      </c>
      <c r="AU157">
        <v>3.68</v>
      </c>
      <c r="AV157">
        <v>1.98</v>
      </c>
      <c r="AW157">
        <v>5.14</v>
      </c>
      <c r="AX157">
        <v>4.71</v>
      </c>
      <c r="AY157">
        <v>211</v>
      </c>
      <c r="AZ157">
        <v>47.73</v>
      </c>
      <c r="BA157">
        <v>349</v>
      </c>
      <c r="BC157">
        <v>2.63</v>
      </c>
      <c r="BF157">
        <v>2.58</v>
      </c>
    </row>
    <row r="158" spans="1:58" x14ac:dyDescent="0.25">
      <c r="A158" t="s">
        <v>471</v>
      </c>
      <c r="B158">
        <v>999999</v>
      </c>
      <c r="C158" t="s">
        <v>442</v>
      </c>
      <c r="D158" t="s">
        <v>443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 x14ac:dyDescent="0.25">
      <c r="A159" t="s">
        <v>371</v>
      </c>
      <c r="B159">
        <v>10060001</v>
      </c>
      <c r="C159" t="s">
        <v>363</v>
      </c>
      <c r="D159" t="s">
        <v>370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 x14ac:dyDescent="0.25">
      <c r="A160" t="s">
        <v>373</v>
      </c>
      <c r="B160">
        <v>12039991</v>
      </c>
      <c r="C160" t="s">
        <v>362</v>
      </c>
      <c r="D160" t="s">
        <v>372</v>
      </c>
      <c r="F160">
        <v>22</v>
      </c>
      <c r="G160">
        <v>0.4</v>
      </c>
      <c r="H160">
        <v>0</v>
      </c>
      <c r="I160">
        <v>0.6</v>
      </c>
      <c r="N160">
        <v>0</v>
      </c>
      <c r="P160">
        <v>0.02</v>
      </c>
      <c r="Q160">
        <v>0.03</v>
      </c>
      <c r="R160">
        <v>1</v>
      </c>
      <c r="S160">
        <v>0.2</v>
      </c>
      <c r="T160">
        <v>0.16</v>
      </c>
      <c r="U160">
        <v>11</v>
      </c>
      <c r="V160">
        <v>5</v>
      </c>
      <c r="W160">
        <v>3</v>
      </c>
      <c r="X160">
        <v>10</v>
      </c>
      <c r="Y160">
        <v>4</v>
      </c>
      <c r="Z160">
        <v>5</v>
      </c>
      <c r="AA160">
        <v>34</v>
      </c>
      <c r="AB160">
        <v>0.1</v>
      </c>
      <c r="AE160">
        <v>0.1</v>
      </c>
      <c r="AF160">
        <v>1</v>
      </c>
    </row>
    <row r="161" spans="1:58" x14ac:dyDescent="0.25">
      <c r="A161" t="s">
        <v>377</v>
      </c>
      <c r="B161">
        <v>12039993</v>
      </c>
      <c r="C161" t="s">
        <v>362</v>
      </c>
      <c r="D161" t="s">
        <v>374</v>
      </c>
      <c r="E161">
        <v>26.7</v>
      </c>
      <c r="F161">
        <v>180</v>
      </c>
      <c r="G161">
        <v>40.700000000000003</v>
      </c>
      <c r="H161">
        <v>0.4</v>
      </c>
      <c r="I161">
        <v>3.5</v>
      </c>
      <c r="N161">
        <v>0</v>
      </c>
      <c r="P161">
        <v>4.0999999999999996</v>
      </c>
      <c r="Q161">
        <v>11.9</v>
      </c>
      <c r="R161">
        <v>64</v>
      </c>
      <c r="T161">
        <v>1.6</v>
      </c>
      <c r="U161">
        <v>2620</v>
      </c>
      <c r="V161">
        <v>0</v>
      </c>
      <c r="W161">
        <v>70</v>
      </c>
      <c r="X161">
        <v>950</v>
      </c>
      <c r="Y161">
        <v>160</v>
      </c>
      <c r="Z161">
        <v>4300</v>
      </c>
      <c r="AA161">
        <v>2100</v>
      </c>
      <c r="AB161">
        <v>2.9</v>
      </c>
      <c r="AE161">
        <v>2.7</v>
      </c>
    </row>
    <row r="162" spans="1:58" x14ac:dyDescent="0.25">
      <c r="A162" t="s">
        <v>444</v>
      </c>
      <c r="B162" t="s">
        <v>445</v>
      </c>
      <c r="C162" t="s">
        <v>447</v>
      </c>
      <c r="D162" t="s">
        <v>446</v>
      </c>
      <c r="E162">
        <v>6.3</v>
      </c>
      <c r="F162">
        <v>172</v>
      </c>
      <c r="G162">
        <v>5.2</v>
      </c>
      <c r="H162">
        <v>0</v>
      </c>
      <c r="I162">
        <v>37.799999999999997</v>
      </c>
      <c r="J162">
        <v>0</v>
      </c>
      <c r="K162">
        <v>0</v>
      </c>
      <c r="L162">
        <v>0</v>
      </c>
      <c r="M162">
        <v>50.7</v>
      </c>
      <c r="N162">
        <v>0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4330</v>
      </c>
      <c r="X162">
        <v>8430</v>
      </c>
      <c r="Y162">
        <v>9</v>
      </c>
      <c r="Z162">
        <v>11800</v>
      </c>
      <c r="AA162">
        <v>49</v>
      </c>
    </row>
    <row r="163" spans="1:58" x14ac:dyDescent="0.25">
      <c r="A163" t="s">
        <v>450</v>
      </c>
      <c r="B163" t="s">
        <v>453</v>
      </c>
      <c r="C163" t="s">
        <v>362</v>
      </c>
      <c r="D163" t="s">
        <v>454</v>
      </c>
      <c r="E163">
        <v>67.3</v>
      </c>
      <c r="F163">
        <v>114</v>
      </c>
      <c r="G163">
        <v>1.6</v>
      </c>
      <c r="H163">
        <v>0</v>
      </c>
      <c r="I163">
        <v>26.5</v>
      </c>
      <c r="J163">
        <v>1</v>
      </c>
      <c r="M163">
        <v>3.6</v>
      </c>
      <c r="P163">
        <v>0.09</v>
      </c>
      <c r="Q163">
        <v>0.06</v>
      </c>
      <c r="R163">
        <v>1.8</v>
      </c>
      <c r="V163">
        <v>9</v>
      </c>
      <c r="W163">
        <v>20</v>
      </c>
      <c r="X163">
        <v>24</v>
      </c>
      <c r="Z163">
        <v>954</v>
      </c>
      <c r="AA163">
        <v>139</v>
      </c>
      <c r="AB163">
        <v>0.9</v>
      </c>
      <c r="BF163">
        <v>383</v>
      </c>
    </row>
    <row r="164" spans="1:58" x14ac:dyDescent="0.25">
      <c r="A164" t="s">
        <v>379</v>
      </c>
      <c r="B164" t="s">
        <v>477</v>
      </c>
      <c r="C164" t="s">
        <v>354</v>
      </c>
      <c r="D164" t="s">
        <v>478</v>
      </c>
      <c r="E164">
        <v>8.6999999999999993</v>
      </c>
      <c r="F164">
        <v>291.35000000000002</v>
      </c>
      <c r="G164">
        <v>21.97</v>
      </c>
      <c r="H164">
        <v>1.58</v>
      </c>
      <c r="I164">
        <v>43.99</v>
      </c>
      <c r="J164">
        <v>20.41</v>
      </c>
      <c r="K164">
        <v>15.47</v>
      </c>
      <c r="L164">
        <v>4.9400000000000004</v>
      </c>
      <c r="M164">
        <v>3.35</v>
      </c>
      <c r="N164">
        <v>1.68</v>
      </c>
      <c r="P164">
        <v>0.32</v>
      </c>
      <c r="Q164">
        <v>0.11</v>
      </c>
      <c r="R164">
        <v>1.85</v>
      </c>
      <c r="S164">
        <v>3.98</v>
      </c>
      <c r="T164">
        <v>0.53</v>
      </c>
      <c r="U164">
        <v>134</v>
      </c>
      <c r="W164">
        <v>86.18</v>
      </c>
      <c r="X164">
        <v>345</v>
      </c>
      <c r="Y164">
        <v>190</v>
      </c>
      <c r="Z164">
        <v>26.8</v>
      </c>
      <c r="AA164">
        <v>1093</v>
      </c>
      <c r="AB164">
        <v>5.97</v>
      </c>
      <c r="AC164">
        <v>1.83</v>
      </c>
      <c r="AD164">
        <v>0.76</v>
      </c>
      <c r="AE164">
        <v>3.05</v>
      </c>
      <c r="AF164">
        <v>27.98</v>
      </c>
      <c r="AY164">
        <v>258</v>
      </c>
      <c r="AZ164">
        <v>161</v>
      </c>
      <c r="BA164">
        <v>718</v>
      </c>
      <c r="BC164">
        <v>0.45</v>
      </c>
      <c r="BD164">
        <v>42.19</v>
      </c>
      <c r="BF164">
        <v>12.8</v>
      </c>
    </row>
    <row r="165" spans="1:58" x14ac:dyDescent="0.25">
      <c r="A165" t="s">
        <v>379</v>
      </c>
      <c r="B165" t="s">
        <v>476</v>
      </c>
      <c r="C165" t="s">
        <v>354</v>
      </c>
      <c r="D165" t="s">
        <v>474</v>
      </c>
      <c r="E165">
        <v>9.3000000000000007</v>
      </c>
      <c r="F165">
        <v>273.89999999999998</v>
      </c>
      <c r="G165">
        <v>20.47</v>
      </c>
      <c r="H165">
        <v>1.38</v>
      </c>
      <c r="I165">
        <v>42.48</v>
      </c>
      <c r="J165">
        <v>22.84</v>
      </c>
      <c r="K165">
        <v>19.690000000000001</v>
      </c>
      <c r="L165">
        <v>3.15</v>
      </c>
      <c r="M165">
        <v>3.53</v>
      </c>
      <c r="N165">
        <v>3</v>
      </c>
      <c r="P165">
        <v>0.74</v>
      </c>
      <c r="Q165">
        <v>0.15</v>
      </c>
      <c r="R165">
        <v>2.42</v>
      </c>
      <c r="S165">
        <v>1.56</v>
      </c>
      <c r="T165">
        <v>0.42</v>
      </c>
      <c r="U165">
        <v>229</v>
      </c>
      <c r="W165">
        <v>139</v>
      </c>
      <c r="X165">
        <v>312</v>
      </c>
      <c r="Y165">
        <v>155</v>
      </c>
      <c r="Z165">
        <v>19.03</v>
      </c>
      <c r="AA165">
        <v>1303</v>
      </c>
      <c r="AB165">
        <v>5.37</v>
      </c>
      <c r="AC165">
        <v>1.34</v>
      </c>
      <c r="AD165">
        <v>1.32</v>
      </c>
      <c r="AE165">
        <v>2.99</v>
      </c>
      <c r="AF165">
        <v>15.41</v>
      </c>
      <c r="AY165">
        <v>277</v>
      </c>
      <c r="AZ165">
        <v>78.55</v>
      </c>
      <c r="BA165">
        <v>637</v>
      </c>
      <c r="BC165">
        <v>1.3</v>
      </c>
      <c r="BD165">
        <v>38.97</v>
      </c>
      <c r="BF165">
        <v>149</v>
      </c>
    </row>
    <row r="166" spans="1:58" x14ac:dyDescent="0.25">
      <c r="A166" t="s">
        <v>379</v>
      </c>
      <c r="B166" t="s">
        <v>380</v>
      </c>
      <c r="C166" t="s">
        <v>356</v>
      </c>
      <c r="D166" t="s">
        <v>381</v>
      </c>
      <c r="E166">
        <v>84.44</v>
      </c>
      <c r="F166">
        <v>56.883400000000002</v>
      </c>
      <c r="G166">
        <v>0.64</v>
      </c>
      <c r="H166">
        <v>0.4</v>
      </c>
      <c r="I166">
        <v>12.1</v>
      </c>
      <c r="J166">
        <v>2.0699999999999998</v>
      </c>
      <c r="K166">
        <v>1.23</v>
      </c>
      <c r="L166">
        <v>0.84</v>
      </c>
      <c r="M166">
        <v>0.35</v>
      </c>
      <c r="P166">
        <v>0.02</v>
      </c>
      <c r="Q166">
        <v>0.02</v>
      </c>
      <c r="R166">
        <v>0.44</v>
      </c>
      <c r="S166">
        <v>0.16</v>
      </c>
      <c r="T166">
        <v>0.05</v>
      </c>
      <c r="U166">
        <v>14.29</v>
      </c>
      <c r="V166">
        <v>2.2599999999999998</v>
      </c>
      <c r="W166">
        <v>7.61</v>
      </c>
      <c r="X166">
        <v>13.83</v>
      </c>
      <c r="Y166">
        <v>7.79</v>
      </c>
      <c r="Z166">
        <v>1.55</v>
      </c>
      <c r="AA166">
        <v>162</v>
      </c>
      <c r="AB166">
        <v>0.25</v>
      </c>
      <c r="AC166">
        <v>0.06</v>
      </c>
      <c r="AD166">
        <v>0.41</v>
      </c>
      <c r="AE166">
        <v>0.1</v>
      </c>
      <c r="AF166">
        <v>0.56000000000000005</v>
      </c>
      <c r="BC166">
        <v>10.130000000000001</v>
      </c>
      <c r="BF166">
        <v>1.32</v>
      </c>
    </row>
    <row r="167" spans="1:58" x14ac:dyDescent="0.25">
      <c r="A167" t="s">
        <v>364</v>
      </c>
      <c r="B167" t="s">
        <v>267</v>
      </c>
      <c r="C167" t="s">
        <v>352</v>
      </c>
      <c r="D167" t="s">
        <v>567</v>
      </c>
      <c r="E167">
        <v>10.07</v>
      </c>
      <c r="F167">
        <v>313</v>
      </c>
      <c r="G167">
        <v>11.4</v>
      </c>
      <c r="H167">
        <v>1.18</v>
      </c>
      <c r="I167">
        <v>60.9</v>
      </c>
      <c r="J167">
        <v>15.48</v>
      </c>
      <c r="K167">
        <v>10.74</v>
      </c>
      <c r="L167">
        <v>4.74</v>
      </c>
      <c r="M167">
        <v>0.97</v>
      </c>
      <c r="P167">
        <v>0.28000000000000003</v>
      </c>
      <c r="Q167">
        <v>0.19</v>
      </c>
      <c r="R167">
        <v>2.74</v>
      </c>
      <c r="S167">
        <v>0.15</v>
      </c>
      <c r="T167">
        <v>0.32</v>
      </c>
      <c r="U167">
        <v>26.47</v>
      </c>
      <c r="W167">
        <v>26.52</v>
      </c>
      <c r="X167">
        <v>224</v>
      </c>
      <c r="Y167">
        <v>57.44</v>
      </c>
      <c r="Z167">
        <v>6.71</v>
      </c>
      <c r="AA167">
        <v>261</v>
      </c>
      <c r="AB167">
        <v>1.63</v>
      </c>
      <c r="AC167">
        <v>1.25</v>
      </c>
      <c r="AD167">
        <v>0.77</v>
      </c>
      <c r="AE167">
        <v>1.35</v>
      </c>
      <c r="AF167">
        <v>17.989999999999998</v>
      </c>
      <c r="AG167">
        <v>1.25</v>
      </c>
      <c r="AH167">
        <v>5.86</v>
      </c>
      <c r="AI167">
        <v>3.39</v>
      </c>
      <c r="AJ167">
        <v>4.43</v>
      </c>
      <c r="AK167">
        <v>25.8</v>
      </c>
      <c r="AL167">
        <v>9.5500000000000007</v>
      </c>
      <c r="AM167">
        <v>3.65</v>
      </c>
      <c r="AN167">
        <v>3.6</v>
      </c>
      <c r="AO167">
        <v>2.23</v>
      </c>
      <c r="AP167">
        <v>4.4800000000000004</v>
      </c>
      <c r="AQ167">
        <v>1.83</v>
      </c>
      <c r="AR167">
        <v>3.01</v>
      </c>
      <c r="AS167">
        <v>6.58</v>
      </c>
      <c r="AT167">
        <v>3.14</v>
      </c>
      <c r="AU167">
        <v>4.8499999999999996</v>
      </c>
      <c r="AV167">
        <v>1.92</v>
      </c>
      <c r="AW167">
        <v>3.42</v>
      </c>
      <c r="AX167">
        <v>5.35</v>
      </c>
      <c r="AY167">
        <v>233</v>
      </c>
      <c r="AZ167">
        <v>93.1</v>
      </c>
      <c r="BA167">
        <v>593</v>
      </c>
      <c r="BC167">
        <v>7.0000000000000007E-2</v>
      </c>
      <c r="BD167">
        <v>76.63</v>
      </c>
    </row>
    <row r="168" spans="1:58" x14ac:dyDescent="0.25">
      <c r="A168" t="s">
        <v>364</v>
      </c>
      <c r="B168" t="s">
        <v>0</v>
      </c>
      <c r="C168" t="s">
        <v>352</v>
      </c>
      <c r="D168" t="s">
        <v>568</v>
      </c>
      <c r="E168">
        <v>8.9700000000000006</v>
      </c>
      <c r="F168">
        <v>338</v>
      </c>
      <c r="G168">
        <v>8.4700000000000006</v>
      </c>
      <c r="H168">
        <v>4.58</v>
      </c>
      <c r="I168">
        <v>64.430000000000007</v>
      </c>
      <c r="J168">
        <v>12.35</v>
      </c>
      <c r="K168">
        <v>11.53</v>
      </c>
      <c r="L168">
        <v>0.81</v>
      </c>
      <c r="M168">
        <v>1.2</v>
      </c>
      <c r="N168">
        <v>42.41</v>
      </c>
      <c r="P168">
        <v>0.33</v>
      </c>
      <c r="Q168">
        <v>0.08</v>
      </c>
      <c r="R168">
        <v>2.64</v>
      </c>
      <c r="S168">
        <v>0.35</v>
      </c>
      <c r="T168">
        <v>0.35</v>
      </c>
      <c r="U168">
        <v>28.3</v>
      </c>
      <c r="W168">
        <v>9.1999999999999993</v>
      </c>
      <c r="X168">
        <v>268</v>
      </c>
      <c r="Y168">
        <v>139</v>
      </c>
      <c r="Z168">
        <v>4.6100000000000003</v>
      </c>
      <c r="AA168">
        <v>288</v>
      </c>
      <c r="AB168">
        <v>2.0299999999999998</v>
      </c>
      <c r="AC168">
        <v>0.68</v>
      </c>
      <c r="AD168">
        <v>0.24</v>
      </c>
      <c r="AE168">
        <v>1.97</v>
      </c>
      <c r="AF168">
        <v>10.98</v>
      </c>
      <c r="AG168">
        <v>0.62</v>
      </c>
      <c r="AH168">
        <v>6.15</v>
      </c>
      <c r="AI168">
        <v>3.21</v>
      </c>
      <c r="AJ168">
        <v>3.69</v>
      </c>
      <c r="AK168">
        <v>18.100000000000001</v>
      </c>
      <c r="AL168">
        <v>7.73</v>
      </c>
      <c r="AM168">
        <v>3.34</v>
      </c>
      <c r="AN168">
        <v>7</v>
      </c>
      <c r="AO168">
        <v>1.42</v>
      </c>
      <c r="AP168">
        <v>6.14</v>
      </c>
      <c r="AQ168">
        <v>1.94</v>
      </c>
      <c r="AR168">
        <v>3.33</v>
      </c>
      <c r="AS168">
        <v>11.9</v>
      </c>
      <c r="AT168">
        <v>3.53</v>
      </c>
      <c r="AU168">
        <v>4.72</v>
      </c>
      <c r="AV168">
        <v>2.92</v>
      </c>
      <c r="AW168">
        <v>2.88</v>
      </c>
      <c r="AX168">
        <v>4.25</v>
      </c>
      <c r="AY168">
        <v>408</v>
      </c>
      <c r="AZ168">
        <v>710</v>
      </c>
      <c r="BA168">
        <v>1603</v>
      </c>
      <c r="BC168">
        <v>1.62</v>
      </c>
      <c r="BD168">
        <v>60.69</v>
      </c>
      <c r="BF168">
        <v>197</v>
      </c>
    </row>
    <row r="169" spans="1:58" x14ac:dyDescent="0.25">
      <c r="A169" t="s">
        <v>364</v>
      </c>
      <c r="B169" t="s">
        <v>4</v>
      </c>
      <c r="C169" t="s">
        <v>352</v>
      </c>
      <c r="D169" t="s">
        <v>573</v>
      </c>
      <c r="E169">
        <v>9.32</v>
      </c>
      <c r="F169">
        <v>348</v>
      </c>
      <c r="G169">
        <v>9.8800000000000008</v>
      </c>
      <c r="H169">
        <v>1.9</v>
      </c>
      <c r="I169">
        <v>72.28</v>
      </c>
      <c r="J169">
        <v>5.21</v>
      </c>
      <c r="K169">
        <v>4.2699999999999996</v>
      </c>
      <c r="L169">
        <v>0.94</v>
      </c>
      <c r="M169">
        <v>1.42</v>
      </c>
      <c r="Q169">
        <v>0.08</v>
      </c>
      <c r="R169">
        <v>0.45</v>
      </c>
      <c r="S169">
        <v>0.65</v>
      </c>
      <c r="T169">
        <v>0.43</v>
      </c>
      <c r="U169">
        <v>9.0399999999999991</v>
      </c>
      <c r="W169">
        <v>10.85</v>
      </c>
      <c r="X169">
        <v>243</v>
      </c>
      <c r="Y169">
        <v>35.549999999999997</v>
      </c>
      <c r="Z169">
        <v>7.63</v>
      </c>
      <c r="AA169">
        <v>149</v>
      </c>
      <c r="AB169">
        <v>2.34</v>
      </c>
      <c r="AC169">
        <v>1.59</v>
      </c>
      <c r="AD169">
        <v>0.28000000000000003</v>
      </c>
      <c r="AE169">
        <v>2.14</v>
      </c>
      <c r="AF169">
        <v>11.06</v>
      </c>
      <c r="AG169">
        <v>1.37</v>
      </c>
      <c r="AH169">
        <v>8.67</v>
      </c>
      <c r="AI169">
        <v>3.47</v>
      </c>
      <c r="AJ169">
        <v>5.0599999999999996</v>
      </c>
      <c r="AK169">
        <v>18.95</v>
      </c>
      <c r="AL169">
        <v>4.46</v>
      </c>
      <c r="AM169">
        <v>4.6399999999999997</v>
      </c>
      <c r="AN169">
        <v>5.81</v>
      </c>
      <c r="AO169">
        <v>1.52</v>
      </c>
      <c r="AP169">
        <v>5.1100000000000003</v>
      </c>
      <c r="AQ169">
        <v>2.13</v>
      </c>
      <c r="AR169">
        <v>4.1399999999999997</v>
      </c>
      <c r="AS169">
        <v>7.93</v>
      </c>
      <c r="AT169">
        <v>5.27</v>
      </c>
      <c r="AU169">
        <v>5.88</v>
      </c>
      <c r="AV169">
        <v>2.67</v>
      </c>
      <c r="AW169">
        <v>3.27</v>
      </c>
      <c r="AX169">
        <v>8.34</v>
      </c>
      <c r="AY169">
        <v>452</v>
      </c>
      <c r="AZ169">
        <v>606</v>
      </c>
      <c r="BA169">
        <v>556</v>
      </c>
      <c r="BC169">
        <v>0.18</v>
      </c>
      <c r="BD169">
        <v>70.58</v>
      </c>
    </row>
    <row r="170" spans="1:58" x14ac:dyDescent="0.25">
      <c r="A170" t="s">
        <v>364</v>
      </c>
      <c r="B170" t="s">
        <v>7</v>
      </c>
      <c r="C170" t="s">
        <v>352</v>
      </c>
      <c r="D170" t="s">
        <v>578</v>
      </c>
      <c r="E170">
        <v>8.5399999999999991</v>
      </c>
      <c r="F170">
        <v>355</v>
      </c>
      <c r="G170">
        <v>8.81</v>
      </c>
      <c r="H170">
        <v>1.53</v>
      </c>
      <c r="I170">
        <v>76.12</v>
      </c>
      <c r="J170">
        <v>4.42</v>
      </c>
      <c r="K170">
        <v>3.57</v>
      </c>
      <c r="L170">
        <v>0.86</v>
      </c>
      <c r="M170">
        <v>0.59</v>
      </c>
      <c r="Q170">
        <v>0.03</v>
      </c>
      <c r="R170">
        <v>1.44</v>
      </c>
      <c r="S170">
        <v>0.54</v>
      </c>
      <c r="T170">
        <v>0.09</v>
      </c>
      <c r="U170">
        <v>8.11</v>
      </c>
      <c r="W170">
        <v>9.2799999999999994</v>
      </c>
      <c r="X170">
        <v>147</v>
      </c>
      <c r="Y170">
        <v>30.48</v>
      </c>
      <c r="Z170">
        <v>1.53</v>
      </c>
      <c r="AA170">
        <v>149</v>
      </c>
      <c r="AB170">
        <v>0.92</v>
      </c>
      <c r="AC170">
        <v>0.79</v>
      </c>
      <c r="AD170">
        <v>0.14000000000000001</v>
      </c>
      <c r="AE170">
        <v>1.7</v>
      </c>
      <c r="AF170">
        <v>8.18</v>
      </c>
      <c r="AG170">
        <v>1.19</v>
      </c>
      <c r="AH170">
        <v>9.85</v>
      </c>
      <c r="AI170">
        <v>3.69</v>
      </c>
      <c r="AJ170">
        <v>6.11</v>
      </c>
      <c r="AK170">
        <v>18.77</v>
      </c>
      <c r="AL170">
        <v>5.78</v>
      </c>
      <c r="AM170">
        <v>4.8899999999999997</v>
      </c>
      <c r="AN170">
        <v>5.95</v>
      </c>
      <c r="AO170">
        <v>1.57</v>
      </c>
      <c r="AP170">
        <v>4.0199999999999996</v>
      </c>
      <c r="AQ170">
        <v>2.29</v>
      </c>
      <c r="AR170">
        <v>2.85</v>
      </c>
      <c r="AS170">
        <v>7.5</v>
      </c>
      <c r="AT170">
        <v>4.1900000000000004</v>
      </c>
      <c r="AU170">
        <v>5</v>
      </c>
      <c r="AV170">
        <v>2.0699999999999998</v>
      </c>
      <c r="AW170">
        <v>3.57</v>
      </c>
      <c r="AX170">
        <v>8.09</v>
      </c>
      <c r="AY170">
        <v>470</v>
      </c>
      <c r="AZ170">
        <v>338</v>
      </c>
      <c r="BA170">
        <v>489</v>
      </c>
      <c r="BC170">
        <v>0.1</v>
      </c>
      <c r="BD170">
        <v>74.67</v>
      </c>
    </row>
    <row r="171" spans="1:58" x14ac:dyDescent="0.25">
      <c r="A171" t="s">
        <v>364</v>
      </c>
      <c r="B171" t="s">
        <v>8</v>
      </c>
      <c r="C171" t="s">
        <v>352</v>
      </c>
      <c r="D171" t="s">
        <v>579</v>
      </c>
      <c r="E171">
        <v>7.58</v>
      </c>
      <c r="F171">
        <v>365</v>
      </c>
      <c r="G171">
        <v>7.29</v>
      </c>
      <c r="H171">
        <v>1.1299999999999999</v>
      </c>
      <c r="I171">
        <v>80.97</v>
      </c>
      <c r="J171">
        <v>2.68</v>
      </c>
      <c r="K171">
        <v>1.83</v>
      </c>
      <c r="L171">
        <v>0.85</v>
      </c>
      <c r="M171">
        <v>0.36</v>
      </c>
      <c r="Q171">
        <v>0.03</v>
      </c>
      <c r="R171">
        <v>0.48</v>
      </c>
      <c r="S171">
        <v>0.56000000000000005</v>
      </c>
      <c r="T171">
        <v>7.0000000000000007E-2</v>
      </c>
      <c r="U171">
        <v>6.54</v>
      </c>
      <c r="W171">
        <v>1.74</v>
      </c>
      <c r="X171">
        <v>95.94</v>
      </c>
      <c r="Y171">
        <v>23.67</v>
      </c>
      <c r="Z171">
        <v>17.829999999999998</v>
      </c>
      <c r="AA171">
        <v>61.98</v>
      </c>
      <c r="AB171">
        <v>1.36</v>
      </c>
      <c r="AC171">
        <v>0.75</v>
      </c>
      <c r="AD171">
        <v>0.42</v>
      </c>
      <c r="AE171">
        <v>1.27</v>
      </c>
      <c r="AF171">
        <v>14.08</v>
      </c>
      <c r="AG171">
        <v>1.1000000000000001</v>
      </c>
      <c r="AH171">
        <v>8.59</v>
      </c>
      <c r="AI171">
        <v>3.43</v>
      </c>
      <c r="AJ171">
        <v>4.82</v>
      </c>
      <c r="AK171">
        <v>18.63</v>
      </c>
      <c r="AL171">
        <v>4.51</v>
      </c>
      <c r="AM171">
        <v>4.3899999999999997</v>
      </c>
      <c r="AN171">
        <v>5.54</v>
      </c>
      <c r="AO171">
        <v>1.49</v>
      </c>
      <c r="AP171">
        <v>5.78</v>
      </c>
      <c r="AQ171">
        <v>2.0299999999999998</v>
      </c>
      <c r="AR171">
        <v>4.37</v>
      </c>
      <c r="AS171">
        <v>8.09</v>
      </c>
      <c r="AT171">
        <v>5.08</v>
      </c>
      <c r="AU171">
        <v>5.85</v>
      </c>
      <c r="AV171">
        <v>2.4300000000000002</v>
      </c>
      <c r="AW171">
        <v>3.23</v>
      </c>
      <c r="AX171">
        <v>7.81</v>
      </c>
      <c r="AY171">
        <v>290</v>
      </c>
      <c r="AZ171">
        <v>215</v>
      </c>
      <c r="BA171">
        <v>455</v>
      </c>
      <c r="BC171">
        <v>0.08</v>
      </c>
      <c r="BD171">
        <v>79.150000000000006</v>
      </c>
    </row>
    <row r="172" spans="1:58" x14ac:dyDescent="0.25">
      <c r="A172" t="s">
        <v>364</v>
      </c>
      <c r="B172" t="s">
        <v>9</v>
      </c>
      <c r="C172" t="s">
        <v>352</v>
      </c>
      <c r="D172" t="s">
        <v>581</v>
      </c>
      <c r="E172">
        <v>7.67</v>
      </c>
      <c r="F172">
        <v>349</v>
      </c>
      <c r="G172">
        <v>9.84</v>
      </c>
      <c r="H172">
        <v>2.2200000000000002</v>
      </c>
      <c r="I172">
        <v>71.89</v>
      </c>
      <c r="J172">
        <v>6.96</v>
      </c>
      <c r="K172">
        <v>5.63</v>
      </c>
      <c r="L172">
        <v>1.34</v>
      </c>
      <c r="M172">
        <v>1.43</v>
      </c>
      <c r="Q172">
        <v>0.18</v>
      </c>
      <c r="R172">
        <v>1.81</v>
      </c>
      <c r="S172">
        <v>0.59</v>
      </c>
      <c r="T172">
        <v>0.89</v>
      </c>
      <c r="U172">
        <v>7.58</v>
      </c>
      <c r="W172">
        <v>27.99</v>
      </c>
      <c r="X172">
        <v>180</v>
      </c>
      <c r="Y172">
        <v>55.12</v>
      </c>
      <c r="Z172">
        <v>0.68</v>
      </c>
      <c r="AA172">
        <v>162</v>
      </c>
      <c r="AB172">
        <v>4.22</v>
      </c>
      <c r="AC172">
        <v>1.93</v>
      </c>
      <c r="AD172">
        <v>0.88</v>
      </c>
      <c r="AE172">
        <v>2.0499999999999998</v>
      </c>
      <c r="AF172">
        <v>5.14</v>
      </c>
      <c r="AG172">
        <v>1.07</v>
      </c>
      <c r="AH172">
        <v>7.21</v>
      </c>
      <c r="AI172">
        <v>3.48</v>
      </c>
      <c r="AJ172">
        <v>6.49</v>
      </c>
      <c r="AK172">
        <v>18.91</v>
      </c>
      <c r="AL172">
        <v>2.5099999999999998</v>
      </c>
      <c r="AM172">
        <v>3.13</v>
      </c>
      <c r="AN172">
        <v>5.68</v>
      </c>
      <c r="AO172">
        <v>1.3</v>
      </c>
      <c r="AP172">
        <v>5.32</v>
      </c>
      <c r="AQ172">
        <v>2.06</v>
      </c>
      <c r="AR172">
        <v>4.58</v>
      </c>
      <c r="AS172">
        <v>8.6300000000000008</v>
      </c>
      <c r="AT172">
        <v>4.4000000000000004</v>
      </c>
      <c r="AU172">
        <v>5.49</v>
      </c>
      <c r="AV172">
        <v>2.96</v>
      </c>
      <c r="AW172">
        <v>3.6</v>
      </c>
      <c r="AX172">
        <v>10.51</v>
      </c>
      <c r="AY172">
        <v>599</v>
      </c>
      <c r="AZ172">
        <v>395</v>
      </c>
      <c r="BA172">
        <v>893</v>
      </c>
      <c r="BC172">
        <v>0.05</v>
      </c>
      <c r="BD172">
        <v>70.41</v>
      </c>
    </row>
    <row r="173" spans="1:58" x14ac:dyDescent="0.25">
      <c r="A173" t="s">
        <v>364</v>
      </c>
      <c r="B173" t="s">
        <v>14</v>
      </c>
      <c r="C173" t="s">
        <v>353</v>
      </c>
      <c r="D173" t="s">
        <v>759</v>
      </c>
      <c r="E173">
        <v>73.349999999999994</v>
      </c>
      <c r="F173">
        <v>87</v>
      </c>
      <c r="G173">
        <v>3.96</v>
      </c>
      <c r="H173">
        <v>0.15</v>
      </c>
      <c r="I173">
        <v>16.95</v>
      </c>
      <c r="J173">
        <v>3.26</v>
      </c>
      <c r="K173">
        <v>2.6</v>
      </c>
      <c r="L173">
        <v>0.66</v>
      </c>
      <c r="M173">
        <v>2.34</v>
      </c>
      <c r="N173">
        <v>1.19</v>
      </c>
      <c r="P173">
        <v>7.0000000000000007E-2</v>
      </c>
      <c r="Q173">
        <v>0.03</v>
      </c>
      <c r="R173">
        <v>0.49</v>
      </c>
      <c r="S173">
        <v>0.11</v>
      </c>
      <c r="T173">
        <v>0.16</v>
      </c>
      <c r="U173">
        <v>20.170000000000002</v>
      </c>
      <c r="V173">
        <v>2.71</v>
      </c>
      <c r="W173">
        <v>30.79</v>
      </c>
      <c r="X173">
        <v>96.77</v>
      </c>
      <c r="Y173">
        <v>41.52</v>
      </c>
      <c r="Z173">
        <v>3.69</v>
      </c>
      <c r="AA173">
        <v>511</v>
      </c>
      <c r="AB173">
        <v>0.6</v>
      </c>
      <c r="AC173">
        <v>0.32</v>
      </c>
      <c r="AD173">
        <v>0.28999999999999998</v>
      </c>
      <c r="AE173">
        <v>0.42</v>
      </c>
      <c r="AF173">
        <v>0.34</v>
      </c>
      <c r="AG173">
        <v>0.52</v>
      </c>
      <c r="AH173">
        <v>13.2</v>
      </c>
      <c r="AI173">
        <v>3.71</v>
      </c>
      <c r="AJ173">
        <v>4.78</v>
      </c>
      <c r="AK173">
        <v>15</v>
      </c>
      <c r="AL173">
        <v>4.17</v>
      </c>
      <c r="AM173">
        <v>5.59</v>
      </c>
      <c r="AN173">
        <v>5.21</v>
      </c>
      <c r="AO173">
        <v>1.7</v>
      </c>
      <c r="AP173">
        <v>6.74</v>
      </c>
      <c r="AQ173">
        <v>0.56000000000000005</v>
      </c>
      <c r="AR173">
        <v>3.58</v>
      </c>
      <c r="AS173">
        <v>7.05</v>
      </c>
      <c r="AT173">
        <v>4.3499999999999996</v>
      </c>
      <c r="AU173">
        <v>5.77</v>
      </c>
      <c r="AV173">
        <v>2.39</v>
      </c>
      <c r="AW173">
        <v>3.64</v>
      </c>
      <c r="AX173">
        <v>8.86</v>
      </c>
      <c r="AY173">
        <v>41.76</v>
      </c>
      <c r="AZ173">
        <v>24.2</v>
      </c>
      <c r="BA173">
        <v>78.040000000000006</v>
      </c>
      <c r="BC173">
        <v>0.92</v>
      </c>
      <c r="BD173">
        <v>14.12</v>
      </c>
      <c r="BF173">
        <v>7.15</v>
      </c>
    </row>
    <row r="174" spans="1:58" x14ac:dyDescent="0.25">
      <c r="A174" t="s">
        <v>364</v>
      </c>
      <c r="B174" t="s">
        <v>295</v>
      </c>
      <c r="C174" t="s">
        <v>353</v>
      </c>
      <c r="D174" t="s">
        <v>761</v>
      </c>
      <c r="E174">
        <v>76.260000000000005</v>
      </c>
      <c r="F174">
        <v>79</v>
      </c>
      <c r="G174">
        <v>1.94</v>
      </c>
      <c r="H174">
        <v>0.93</v>
      </c>
      <c r="I174">
        <v>14.67</v>
      </c>
      <c r="J174">
        <v>4.7</v>
      </c>
      <c r="K174">
        <v>2.86</v>
      </c>
      <c r="L174">
        <v>1.84</v>
      </c>
      <c r="M174">
        <v>1.5</v>
      </c>
      <c r="P174">
        <v>7.0000000000000007E-2</v>
      </c>
      <c r="Q174">
        <v>0.05</v>
      </c>
      <c r="R174">
        <v>0.43</v>
      </c>
      <c r="S174">
        <v>0.2</v>
      </c>
      <c r="T174">
        <v>0.19</v>
      </c>
      <c r="U174">
        <v>26.49</v>
      </c>
      <c r="V174">
        <v>26.63</v>
      </c>
      <c r="W174">
        <v>37.71</v>
      </c>
      <c r="X174">
        <v>74.3</v>
      </c>
      <c r="Y174">
        <v>26.58</v>
      </c>
      <c r="Z174">
        <v>20.63</v>
      </c>
      <c r="AA174">
        <v>611</v>
      </c>
      <c r="AB174">
        <v>3.34</v>
      </c>
      <c r="AC174">
        <v>1.4</v>
      </c>
      <c r="AD174">
        <v>0.22</v>
      </c>
      <c r="AE174">
        <v>0.35</v>
      </c>
      <c r="AF174">
        <v>4.6100000000000003</v>
      </c>
      <c r="AG174">
        <v>1.02</v>
      </c>
      <c r="AH174">
        <v>26</v>
      </c>
      <c r="AI174">
        <v>3.95</v>
      </c>
      <c r="AJ174">
        <v>4.33</v>
      </c>
      <c r="AK174">
        <v>14.8</v>
      </c>
      <c r="AL174">
        <v>3.16</v>
      </c>
      <c r="AM174">
        <v>3.91</v>
      </c>
      <c r="AN174">
        <v>5.1100000000000003</v>
      </c>
      <c r="AO174">
        <v>1.03</v>
      </c>
      <c r="AP174">
        <v>4.57</v>
      </c>
      <c r="AQ174">
        <v>0.82</v>
      </c>
      <c r="AR174">
        <v>3.38</v>
      </c>
      <c r="AS174">
        <v>5.47</v>
      </c>
      <c r="AT174">
        <v>2.7</v>
      </c>
      <c r="AU174">
        <v>4.32</v>
      </c>
      <c r="AV174">
        <v>1.71</v>
      </c>
      <c r="AW174">
        <v>3.43</v>
      </c>
      <c r="AX174">
        <v>5.57</v>
      </c>
      <c r="AY174">
        <v>249</v>
      </c>
      <c r="AZ174">
        <v>84.12</v>
      </c>
      <c r="BA174">
        <v>414</v>
      </c>
      <c r="BC174">
        <v>0.24</v>
      </c>
      <c r="BD174">
        <v>13.22</v>
      </c>
    </row>
    <row r="175" spans="1:58" x14ac:dyDescent="0.25">
      <c r="A175" t="s">
        <v>364</v>
      </c>
      <c r="B175" t="s">
        <v>18</v>
      </c>
      <c r="C175" t="s">
        <v>353</v>
      </c>
      <c r="D175" t="s">
        <v>765</v>
      </c>
      <c r="E175">
        <v>89.91</v>
      </c>
      <c r="F175">
        <v>29</v>
      </c>
      <c r="G175">
        <v>0.75</v>
      </c>
      <c r="H175">
        <v>0.11</v>
      </c>
      <c r="I175">
        <v>5.87</v>
      </c>
      <c r="J175">
        <v>2.56</v>
      </c>
      <c r="K175">
        <v>1.88</v>
      </c>
      <c r="L175">
        <v>0.69</v>
      </c>
      <c r="M175">
        <v>0.79</v>
      </c>
      <c r="P175">
        <v>0.04</v>
      </c>
      <c r="Q175">
        <v>0.02</v>
      </c>
      <c r="R175">
        <v>0.28000000000000003</v>
      </c>
      <c r="S175">
        <v>0.11</v>
      </c>
      <c r="T175">
        <v>0.09</v>
      </c>
      <c r="U175">
        <v>18.09</v>
      </c>
      <c r="V175">
        <v>12.13</v>
      </c>
      <c r="W175">
        <v>35.64</v>
      </c>
      <c r="X175">
        <v>34.04</v>
      </c>
      <c r="Y175">
        <v>13.56</v>
      </c>
      <c r="Z175">
        <v>19.46</v>
      </c>
      <c r="AA175">
        <v>298</v>
      </c>
      <c r="AB175">
        <v>0.38</v>
      </c>
      <c r="AC175">
        <v>0.19</v>
      </c>
      <c r="AD175">
        <v>0.05</v>
      </c>
      <c r="AE175">
        <v>0.16</v>
      </c>
      <c r="AF175">
        <v>0.11</v>
      </c>
      <c r="AG175">
        <v>0.59</v>
      </c>
      <c r="AH175">
        <v>11.4</v>
      </c>
      <c r="AI175">
        <v>3.49</v>
      </c>
      <c r="AJ175">
        <v>3.78</v>
      </c>
      <c r="AK175">
        <v>28.8</v>
      </c>
      <c r="AL175">
        <v>4.58</v>
      </c>
      <c r="AM175">
        <v>3.67</v>
      </c>
      <c r="AN175">
        <v>6.92</v>
      </c>
      <c r="AO175">
        <v>0.95</v>
      </c>
      <c r="AP175">
        <v>4.78</v>
      </c>
      <c r="AQ175">
        <v>0.73</v>
      </c>
      <c r="AR175">
        <v>3.1</v>
      </c>
      <c r="AS175">
        <v>5.34</v>
      </c>
      <c r="AT175">
        <v>1.56</v>
      </c>
      <c r="AU175">
        <v>3.01</v>
      </c>
      <c r="AV175">
        <v>1.26</v>
      </c>
      <c r="AW175">
        <v>2.67</v>
      </c>
      <c r="AX175">
        <v>4.01</v>
      </c>
      <c r="AY175">
        <v>39.32</v>
      </c>
      <c r="AZ175">
        <v>12.91</v>
      </c>
      <c r="BA175">
        <v>59.76</v>
      </c>
    </row>
    <row r="176" spans="1:58" x14ac:dyDescent="0.25">
      <c r="A176" t="s">
        <v>364</v>
      </c>
      <c r="B176" t="s">
        <v>20</v>
      </c>
      <c r="C176" t="s">
        <v>353</v>
      </c>
      <c r="D176" t="s">
        <v>870</v>
      </c>
      <c r="E176">
        <v>69.150000000000006</v>
      </c>
      <c r="F176">
        <v>103</v>
      </c>
      <c r="G176">
        <v>3.2</v>
      </c>
      <c r="H176">
        <v>0.3</v>
      </c>
      <c r="I176">
        <v>20.89</v>
      </c>
      <c r="J176">
        <v>4.7</v>
      </c>
      <c r="K176">
        <v>3.3</v>
      </c>
      <c r="L176">
        <v>1.4</v>
      </c>
      <c r="M176">
        <v>1.77</v>
      </c>
      <c r="N176">
        <v>33.14</v>
      </c>
      <c r="P176">
        <v>0.1</v>
      </c>
      <c r="Q176">
        <v>0.01</v>
      </c>
      <c r="R176">
        <v>0.73</v>
      </c>
      <c r="S176">
        <v>0.23</v>
      </c>
      <c r="T176">
        <v>0.22</v>
      </c>
      <c r="U176">
        <v>22.19</v>
      </c>
      <c r="V176">
        <v>13.03</v>
      </c>
      <c r="W176">
        <v>40.99</v>
      </c>
      <c r="X176">
        <v>67.17</v>
      </c>
      <c r="Y176">
        <v>28.98</v>
      </c>
      <c r="Z176">
        <v>12.74</v>
      </c>
      <c r="AA176">
        <v>740</v>
      </c>
      <c r="AB176">
        <v>1.31</v>
      </c>
      <c r="AC176">
        <v>0.43</v>
      </c>
      <c r="AD176">
        <v>0.25</v>
      </c>
      <c r="AE176">
        <v>0.28999999999999998</v>
      </c>
      <c r="AF176">
        <v>0.42</v>
      </c>
      <c r="AG176">
        <v>1.27</v>
      </c>
      <c r="AH176">
        <v>11.9</v>
      </c>
      <c r="AI176">
        <v>4.1500000000000004</v>
      </c>
      <c r="AJ176">
        <v>6.55</v>
      </c>
      <c r="AK176">
        <v>15.9</v>
      </c>
      <c r="AL176">
        <v>5.5</v>
      </c>
      <c r="AM176">
        <v>5.13</v>
      </c>
      <c r="AN176">
        <v>7.38</v>
      </c>
      <c r="AO176">
        <v>1.82</v>
      </c>
      <c r="AP176">
        <v>5.97</v>
      </c>
      <c r="AQ176">
        <v>1.17</v>
      </c>
      <c r="AR176">
        <v>3.25</v>
      </c>
      <c r="AS176">
        <v>6.26</v>
      </c>
      <c r="AT176">
        <v>3.47</v>
      </c>
      <c r="AU176">
        <v>6.22</v>
      </c>
      <c r="AV176">
        <v>2.42</v>
      </c>
      <c r="AW176">
        <v>2.4700000000000002</v>
      </c>
      <c r="AX176">
        <v>7.64</v>
      </c>
      <c r="AY176">
        <v>78.06</v>
      </c>
      <c r="AZ176">
        <v>20.74</v>
      </c>
      <c r="BA176">
        <v>141</v>
      </c>
      <c r="BC176">
        <v>1.49</v>
      </c>
      <c r="BD176">
        <v>15.63</v>
      </c>
      <c r="BE176">
        <v>9.7799999999999994</v>
      </c>
      <c r="BF176">
        <v>194</v>
      </c>
    </row>
    <row r="177" spans="1:58" x14ac:dyDescent="0.25">
      <c r="A177" t="s">
        <v>364</v>
      </c>
      <c r="B177" t="s">
        <v>297</v>
      </c>
      <c r="C177" t="s">
        <v>354</v>
      </c>
      <c r="D177" t="s">
        <v>747</v>
      </c>
      <c r="E177">
        <v>9.43</v>
      </c>
      <c r="F177">
        <v>327</v>
      </c>
      <c r="G177">
        <v>20.12</v>
      </c>
      <c r="H177">
        <v>5.32</v>
      </c>
      <c r="I177">
        <v>47.88</v>
      </c>
      <c r="J177">
        <v>15.13</v>
      </c>
      <c r="K177">
        <v>12.92</v>
      </c>
      <c r="L177">
        <v>2.2000000000000002</v>
      </c>
      <c r="M177">
        <v>2.12</v>
      </c>
      <c r="N177">
        <v>26.83</v>
      </c>
      <c r="P177">
        <v>0.35</v>
      </c>
      <c r="Q177">
        <v>0.16</v>
      </c>
      <c r="R177">
        <v>1.91</v>
      </c>
      <c r="S177">
        <v>1.4</v>
      </c>
      <c r="T177">
        <v>0.2</v>
      </c>
      <c r="U177">
        <v>180</v>
      </c>
      <c r="W177">
        <v>50.78</v>
      </c>
      <c r="X177">
        <v>311</v>
      </c>
      <c r="Y177">
        <v>108</v>
      </c>
      <c r="Z177">
        <v>20.79</v>
      </c>
      <c r="AA177">
        <v>919</v>
      </c>
      <c r="AB177">
        <v>5.94</v>
      </c>
      <c r="AC177">
        <v>1.43</v>
      </c>
      <c r="AD177">
        <v>0.71</v>
      </c>
      <c r="AE177">
        <v>3.65</v>
      </c>
      <c r="AF177">
        <v>39.01</v>
      </c>
      <c r="AG177">
        <v>1.1200000000000001</v>
      </c>
      <c r="AH177">
        <v>11.2</v>
      </c>
      <c r="AI177">
        <v>3.17</v>
      </c>
      <c r="AJ177">
        <v>3.75</v>
      </c>
      <c r="AK177">
        <v>16.3</v>
      </c>
      <c r="AL177">
        <v>3.66</v>
      </c>
      <c r="AM177">
        <v>3.51</v>
      </c>
      <c r="AN177">
        <v>4.3</v>
      </c>
      <c r="AO177">
        <v>0.9</v>
      </c>
      <c r="AP177">
        <v>4.24</v>
      </c>
      <c r="AQ177">
        <v>1.42</v>
      </c>
      <c r="AR177">
        <v>4.5199999999999996</v>
      </c>
      <c r="AS177">
        <v>7.6</v>
      </c>
      <c r="AT177">
        <v>3.08</v>
      </c>
      <c r="AU177">
        <v>7.95</v>
      </c>
      <c r="AV177">
        <v>2.46</v>
      </c>
      <c r="AW177">
        <v>6.42</v>
      </c>
      <c r="AX177">
        <v>7.97</v>
      </c>
      <c r="AY177">
        <v>481</v>
      </c>
      <c r="AZ177">
        <v>884</v>
      </c>
      <c r="BA177">
        <v>2465</v>
      </c>
      <c r="BC177">
        <v>0.71</v>
      </c>
      <c r="BD177">
        <v>40.26</v>
      </c>
      <c r="BF177">
        <v>161</v>
      </c>
    </row>
    <row r="178" spans="1:58" x14ac:dyDescent="0.25">
      <c r="A178" t="s">
        <v>364</v>
      </c>
      <c r="B178" t="s">
        <v>21</v>
      </c>
      <c r="C178" t="s">
        <v>354</v>
      </c>
      <c r="D178" t="s">
        <v>748</v>
      </c>
      <c r="E178">
        <v>8.2200000000000006</v>
      </c>
      <c r="F178">
        <v>288</v>
      </c>
      <c r="G178">
        <v>18.68</v>
      </c>
      <c r="H178">
        <v>5.01</v>
      </c>
      <c r="I178">
        <v>39.69</v>
      </c>
      <c r="J178">
        <v>25.73</v>
      </c>
      <c r="K178">
        <v>22.27</v>
      </c>
      <c r="L178">
        <v>3.45</v>
      </c>
      <c r="M178">
        <v>2.67</v>
      </c>
      <c r="N178">
        <v>27</v>
      </c>
      <c r="P178">
        <v>0.39</v>
      </c>
      <c r="Q178">
        <v>0.25</v>
      </c>
      <c r="R178">
        <v>2.11</v>
      </c>
      <c r="S178">
        <v>2.25</v>
      </c>
      <c r="T178">
        <v>0.37</v>
      </c>
      <c r="U178">
        <v>231</v>
      </c>
      <c r="W178">
        <v>166</v>
      </c>
      <c r="X178">
        <v>262</v>
      </c>
      <c r="Y178">
        <v>165</v>
      </c>
      <c r="Z178">
        <v>26.45</v>
      </c>
      <c r="AA178">
        <v>903</v>
      </c>
      <c r="AB178">
        <v>6.04</v>
      </c>
      <c r="AC178">
        <v>2.35</v>
      </c>
      <c r="AD178">
        <v>0.68</v>
      </c>
      <c r="AE178">
        <v>3.1</v>
      </c>
      <c r="AF178">
        <v>40.840000000000003</v>
      </c>
      <c r="AG178">
        <v>0.86</v>
      </c>
      <c r="AH178">
        <v>11.4</v>
      </c>
      <c r="AI178">
        <v>3.24</v>
      </c>
      <c r="AJ178">
        <v>4.09</v>
      </c>
      <c r="AK178">
        <v>18.5</v>
      </c>
      <c r="AL178">
        <v>3.76</v>
      </c>
      <c r="AM178">
        <v>3.75</v>
      </c>
      <c r="AN178">
        <v>4.51</v>
      </c>
      <c r="AO178">
        <v>1.29</v>
      </c>
      <c r="AP178">
        <v>5.23</v>
      </c>
      <c r="AQ178">
        <v>0.93</v>
      </c>
      <c r="AR178">
        <v>4.6900000000000004</v>
      </c>
      <c r="AS178">
        <v>7.84</v>
      </c>
      <c r="AT178">
        <v>3</v>
      </c>
      <c r="AU178">
        <v>7.59</v>
      </c>
      <c r="AV178">
        <v>2.35</v>
      </c>
      <c r="AW178">
        <v>6.74</v>
      </c>
      <c r="AX178">
        <v>8.1</v>
      </c>
      <c r="AY178">
        <v>451</v>
      </c>
      <c r="AZ178">
        <v>924</v>
      </c>
      <c r="BA178">
        <v>2232</v>
      </c>
      <c r="BC178">
        <v>0.75</v>
      </c>
      <c r="BD178">
        <v>34.020000000000003</v>
      </c>
      <c r="BF178">
        <v>162</v>
      </c>
    </row>
    <row r="179" spans="1:58" x14ac:dyDescent="0.25">
      <c r="A179" t="s">
        <v>364</v>
      </c>
      <c r="B179" t="s">
        <v>299</v>
      </c>
      <c r="C179" t="s">
        <v>354</v>
      </c>
      <c r="D179" t="s">
        <v>751</v>
      </c>
      <c r="E179">
        <v>9.32</v>
      </c>
      <c r="F179">
        <v>320</v>
      </c>
      <c r="G179">
        <v>21.25</v>
      </c>
      <c r="H179">
        <v>1.1399999999999999</v>
      </c>
      <c r="I179">
        <v>53.77</v>
      </c>
      <c r="J179">
        <v>11.7</v>
      </c>
      <c r="K179">
        <v>8.91</v>
      </c>
      <c r="L179">
        <v>2.79</v>
      </c>
      <c r="M179">
        <v>2.83</v>
      </c>
      <c r="N179">
        <v>1.36</v>
      </c>
      <c r="P179">
        <v>0.34</v>
      </c>
      <c r="Q179">
        <v>0.09</v>
      </c>
      <c r="R179">
        <v>1.51</v>
      </c>
      <c r="S179">
        <v>1.66</v>
      </c>
      <c r="T179">
        <v>0.26</v>
      </c>
      <c r="U179">
        <v>249</v>
      </c>
      <c r="W179">
        <v>84.1</v>
      </c>
      <c r="X179">
        <v>378</v>
      </c>
      <c r="Y179">
        <v>213</v>
      </c>
      <c r="Z179">
        <v>12.52</v>
      </c>
      <c r="AA179">
        <v>1243</v>
      </c>
      <c r="AB179">
        <v>5.04</v>
      </c>
      <c r="AC179">
        <v>1.35</v>
      </c>
      <c r="AD179">
        <v>0.68</v>
      </c>
      <c r="AE179">
        <v>3.57</v>
      </c>
      <c r="AF179">
        <v>26.55</v>
      </c>
      <c r="AG179">
        <v>0.92</v>
      </c>
      <c r="AH179">
        <v>11</v>
      </c>
      <c r="AI179">
        <v>4.0999999999999996</v>
      </c>
      <c r="AJ179">
        <v>4.8</v>
      </c>
      <c r="AK179">
        <v>18.2</v>
      </c>
      <c r="AL179">
        <v>4.05</v>
      </c>
      <c r="AM179">
        <v>4.09</v>
      </c>
      <c r="AN179">
        <v>5.0599999999999996</v>
      </c>
      <c r="AO179">
        <v>0.6</v>
      </c>
      <c r="AP179">
        <v>5.31</v>
      </c>
      <c r="AQ179">
        <v>1.53</v>
      </c>
      <c r="AR179">
        <v>4.4000000000000004</v>
      </c>
      <c r="AS179">
        <v>7.96</v>
      </c>
      <c r="AT179">
        <v>3.25</v>
      </c>
      <c r="AU179">
        <v>5.63</v>
      </c>
      <c r="AV179">
        <v>3.25</v>
      </c>
      <c r="AW179">
        <v>7.14</v>
      </c>
      <c r="AX179">
        <v>7.44</v>
      </c>
      <c r="AY179">
        <v>285</v>
      </c>
      <c r="AZ179">
        <v>70.12</v>
      </c>
      <c r="BA179">
        <v>557</v>
      </c>
      <c r="BC179">
        <v>1.18</v>
      </c>
      <c r="BD179">
        <v>46.33</v>
      </c>
      <c r="BF179">
        <v>8.2100000000000009</v>
      </c>
    </row>
    <row r="180" spans="1:58" x14ac:dyDescent="0.25">
      <c r="A180" t="s">
        <v>364</v>
      </c>
      <c r="B180" t="s">
        <v>26</v>
      </c>
      <c r="C180" t="s">
        <v>354</v>
      </c>
      <c r="D180" t="s">
        <v>754</v>
      </c>
      <c r="E180">
        <v>9.52</v>
      </c>
      <c r="F180">
        <v>328</v>
      </c>
      <c r="G180">
        <v>21.27</v>
      </c>
      <c r="H180">
        <v>0.64</v>
      </c>
      <c r="I180">
        <v>57.35</v>
      </c>
      <c r="J180">
        <v>7.89</v>
      </c>
      <c r="K180">
        <v>6.2</v>
      </c>
      <c r="L180">
        <v>1.69</v>
      </c>
      <c r="M180">
        <v>3.34</v>
      </c>
      <c r="N180">
        <v>8.64</v>
      </c>
      <c r="P180">
        <v>0.32</v>
      </c>
      <c r="Q180">
        <v>0.21</v>
      </c>
      <c r="R180">
        <v>1.92</v>
      </c>
      <c r="S180">
        <v>1.62</v>
      </c>
      <c r="T180">
        <v>0.22</v>
      </c>
      <c r="U180">
        <v>172</v>
      </c>
      <c r="W180">
        <v>309</v>
      </c>
      <c r="X180">
        <v>295</v>
      </c>
      <c r="Y180">
        <v>132</v>
      </c>
      <c r="Z180">
        <v>11.89</v>
      </c>
      <c r="AA180">
        <v>1045</v>
      </c>
      <c r="AB180">
        <v>7.82</v>
      </c>
      <c r="AC180">
        <v>3.6</v>
      </c>
      <c r="AD180">
        <v>1.29</v>
      </c>
      <c r="AE180">
        <v>2.6</v>
      </c>
      <c r="AF180">
        <v>31.5</v>
      </c>
      <c r="AG180">
        <v>1.08</v>
      </c>
      <c r="AH180">
        <v>11</v>
      </c>
      <c r="AI180">
        <v>3.47</v>
      </c>
      <c r="AJ180">
        <v>4.34</v>
      </c>
      <c r="AK180">
        <v>17.899999999999999</v>
      </c>
      <c r="AL180">
        <v>4.0999999999999996</v>
      </c>
      <c r="AM180">
        <v>4.59</v>
      </c>
      <c r="AN180">
        <v>4.34</v>
      </c>
      <c r="AO180">
        <v>0.89</v>
      </c>
      <c r="AP180">
        <v>5.15</v>
      </c>
      <c r="AQ180">
        <v>1.06</v>
      </c>
      <c r="AR180">
        <v>4.41</v>
      </c>
      <c r="AS180">
        <v>7.34</v>
      </c>
      <c r="AT180">
        <v>3.65</v>
      </c>
      <c r="AU180">
        <v>9.09</v>
      </c>
      <c r="AV180">
        <v>3.18</v>
      </c>
      <c r="AW180">
        <v>7.26</v>
      </c>
      <c r="AX180">
        <v>6.39</v>
      </c>
      <c r="AY180">
        <v>133</v>
      </c>
      <c r="AZ180">
        <v>65.66</v>
      </c>
      <c r="BA180">
        <v>262</v>
      </c>
      <c r="BC180">
        <v>0.28999999999999998</v>
      </c>
      <c r="BD180">
        <v>47.39</v>
      </c>
      <c r="BF180">
        <v>51.85</v>
      </c>
    </row>
    <row r="181" spans="1:58" x14ac:dyDescent="0.25">
      <c r="A181" t="s">
        <v>364</v>
      </c>
      <c r="B181" t="s">
        <v>298</v>
      </c>
      <c r="C181" t="s">
        <v>354</v>
      </c>
      <c r="D181" t="s">
        <v>756</v>
      </c>
      <c r="E181">
        <v>9.94</v>
      </c>
      <c r="F181">
        <v>299</v>
      </c>
      <c r="G181">
        <v>19.18</v>
      </c>
      <c r="H181">
        <v>1.85</v>
      </c>
      <c r="I181">
        <v>49.44</v>
      </c>
      <c r="J181">
        <v>17.3</v>
      </c>
      <c r="K181">
        <v>14.73</v>
      </c>
      <c r="L181">
        <v>2.57</v>
      </c>
      <c r="M181">
        <v>2.2999999999999998</v>
      </c>
      <c r="N181">
        <v>11.91</v>
      </c>
      <c r="P181">
        <v>0.55000000000000004</v>
      </c>
      <c r="Q181">
        <v>0.16</v>
      </c>
      <c r="R181">
        <v>2.74</v>
      </c>
      <c r="S181">
        <v>1.26</v>
      </c>
      <c r="T181">
        <v>0.28999999999999998</v>
      </c>
      <c r="U181">
        <v>116</v>
      </c>
      <c r="W181">
        <v>75.930000000000007</v>
      </c>
      <c r="X181">
        <v>336</v>
      </c>
      <c r="Y181">
        <v>118</v>
      </c>
      <c r="Z181">
        <v>23.51</v>
      </c>
      <c r="AA181">
        <v>886</v>
      </c>
      <c r="AB181">
        <v>5.12</v>
      </c>
      <c r="AC181">
        <v>1.1100000000000001</v>
      </c>
      <c r="AD181">
        <v>0.63</v>
      </c>
      <c r="AE181">
        <v>3.27</v>
      </c>
      <c r="AF181">
        <v>50.51</v>
      </c>
      <c r="AG181">
        <v>0.92</v>
      </c>
      <c r="AH181">
        <v>11.4</v>
      </c>
      <c r="AI181">
        <v>3.67</v>
      </c>
      <c r="AJ181">
        <v>4.8099999999999996</v>
      </c>
      <c r="AK181">
        <v>18.2</v>
      </c>
      <c r="AL181">
        <v>3.85</v>
      </c>
      <c r="AM181">
        <v>4.3600000000000003</v>
      </c>
      <c r="AN181">
        <v>4.32</v>
      </c>
      <c r="AO181">
        <v>1.07</v>
      </c>
      <c r="AP181">
        <v>5.85</v>
      </c>
      <c r="AQ181">
        <v>1.01</v>
      </c>
      <c r="AR181">
        <v>4.57</v>
      </c>
      <c r="AS181">
        <v>7.43</v>
      </c>
      <c r="AT181">
        <v>3.26</v>
      </c>
      <c r="AU181">
        <v>4.84</v>
      </c>
      <c r="AV181">
        <v>2.42</v>
      </c>
      <c r="AW181">
        <v>8.1</v>
      </c>
      <c r="AX181">
        <v>8.26</v>
      </c>
      <c r="AY181">
        <v>243</v>
      </c>
      <c r="AZ181">
        <v>379</v>
      </c>
      <c r="BA181">
        <v>839</v>
      </c>
      <c r="BC181">
        <v>2.31</v>
      </c>
      <c r="BD181">
        <v>45.54</v>
      </c>
      <c r="BF181">
        <v>71.459999999999994</v>
      </c>
    </row>
    <row r="182" spans="1:58" x14ac:dyDescent="0.25">
      <c r="A182" t="s">
        <v>364</v>
      </c>
      <c r="B182" t="s">
        <v>77</v>
      </c>
      <c r="C182" t="s">
        <v>355</v>
      </c>
      <c r="D182" t="s">
        <v>768</v>
      </c>
      <c r="E182">
        <v>85.56</v>
      </c>
      <c r="F182">
        <v>33</v>
      </c>
      <c r="G182">
        <v>3.93</v>
      </c>
      <c r="H182">
        <v>0.63</v>
      </c>
      <c r="I182">
        <v>2.37</v>
      </c>
      <c r="J182">
        <v>4.91</v>
      </c>
      <c r="K182">
        <v>3.72</v>
      </c>
      <c r="L182">
        <v>1.19</v>
      </c>
      <c r="M182">
        <v>2.61</v>
      </c>
      <c r="N182">
        <v>1409</v>
      </c>
      <c r="P182">
        <v>0.01</v>
      </c>
      <c r="Q182">
        <v>0.27</v>
      </c>
      <c r="R182">
        <v>0.62</v>
      </c>
      <c r="S182">
        <v>0.37</v>
      </c>
      <c r="T182">
        <v>0.22</v>
      </c>
      <c r="U182">
        <v>81.95</v>
      </c>
      <c r="V182">
        <v>86.2</v>
      </c>
      <c r="W182">
        <v>245</v>
      </c>
      <c r="X182">
        <v>75.98</v>
      </c>
      <c r="Y182">
        <v>177</v>
      </c>
      <c r="Z182">
        <v>14.58</v>
      </c>
      <c r="AA182">
        <v>564</v>
      </c>
      <c r="AB182">
        <v>7.25</v>
      </c>
      <c r="AC182">
        <v>2.15</v>
      </c>
      <c r="AD182">
        <v>0.22</v>
      </c>
      <c r="AE182">
        <v>1.37</v>
      </c>
      <c r="AF182">
        <v>22.55</v>
      </c>
      <c r="AG182">
        <v>1.2</v>
      </c>
      <c r="AH182">
        <v>9.14</v>
      </c>
      <c r="AI182">
        <v>4.04</v>
      </c>
      <c r="AJ182">
        <v>4.5</v>
      </c>
      <c r="AK182">
        <v>12.86</v>
      </c>
      <c r="AL182">
        <v>4.07</v>
      </c>
      <c r="AM182">
        <v>5.12</v>
      </c>
      <c r="AN182">
        <v>6.56</v>
      </c>
      <c r="AO182">
        <v>0.96</v>
      </c>
      <c r="AP182">
        <v>5.24</v>
      </c>
      <c r="AQ182">
        <v>1.63</v>
      </c>
      <c r="AR182">
        <v>4.3099999999999996</v>
      </c>
      <c r="AS182">
        <v>8.1999999999999993</v>
      </c>
      <c r="AT182">
        <v>3.01</v>
      </c>
      <c r="AU182">
        <v>4.7699999999999996</v>
      </c>
      <c r="AV182">
        <v>2.0099999999999998</v>
      </c>
      <c r="AW182">
        <v>5.58</v>
      </c>
      <c r="AX182">
        <v>1.2</v>
      </c>
      <c r="AY182">
        <v>210</v>
      </c>
      <c r="AZ182">
        <v>47.34</v>
      </c>
      <c r="BA182">
        <v>326</v>
      </c>
      <c r="BC182">
        <v>0.28000000000000003</v>
      </c>
      <c r="BD182">
        <v>0.77</v>
      </c>
      <c r="BF182">
        <v>8457</v>
      </c>
    </row>
    <row r="183" spans="1:58" x14ac:dyDescent="0.25">
      <c r="A183" t="s">
        <v>364</v>
      </c>
      <c r="B183" t="s">
        <v>78</v>
      </c>
      <c r="C183" t="s">
        <v>355</v>
      </c>
      <c r="D183" t="s">
        <v>769</v>
      </c>
      <c r="E183">
        <v>86.78</v>
      </c>
      <c r="F183">
        <v>26</v>
      </c>
      <c r="G183">
        <v>3.75</v>
      </c>
      <c r="H183">
        <v>0.36</v>
      </c>
      <c r="I183">
        <v>1.37</v>
      </c>
      <c r="J183">
        <v>4.8600000000000003</v>
      </c>
      <c r="K183">
        <v>3.7</v>
      </c>
      <c r="L183">
        <v>1.1599999999999999</v>
      </c>
      <c r="M183">
        <v>2.89</v>
      </c>
      <c r="N183">
        <v>327</v>
      </c>
      <c r="P183">
        <v>0.01</v>
      </c>
      <c r="Q183">
        <v>0.13</v>
      </c>
      <c r="R183">
        <v>0.66</v>
      </c>
      <c r="S183">
        <v>0.35</v>
      </c>
      <c r="T183">
        <v>0.28999999999999998</v>
      </c>
      <c r="U183">
        <v>46.53</v>
      </c>
      <c r="V183">
        <v>77.25</v>
      </c>
      <c r="W183">
        <v>359</v>
      </c>
      <c r="X183">
        <v>77.260000000000005</v>
      </c>
      <c r="Y183">
        <v>168</v>
      </c>
      <c r="Z183">
        <v>14.81</v>
      </c>
      <c r="AA183">
        <v>571</v>
      </c>
      <c r="AB183">
        <v>7.53</v>
      </c>
      <c r="AC183">
        <v>1.03</v>
      </c>
      <c r="AD183">
        <v>0.26</v>
      </c>
      <c r="AE183">
        <v>2.09</v>
      </c>
      <c r="AF183">
        <v>30.15</v>
      </c>
      <c r="AG183">
        <v>0.79</v>
      </c>
      <c r="AH183">
        <v>11.21</v>
      </c>
      <c r="AI183">
        <v>4.17</v>
      </c>
      <c r="AJ183">
        <v>5.64</v>
      </c>
      <c r="AK183">
        <v>11.92</v>
      </c>
      <c r="AL183">
        <v>5.97</v>
      </c>
      <c r="AM183">
        <v>6.65</v>
      </c>
      <c r="AN183">
        <v>9.58</v>
      </c>
      <c r="AO183">
        <v>0.64</v>
      </c>
      <c r="AP183">
        <v>3.18</v>
      </c>
      <c r="AQ183">
        <v>1.27</v>
      </c>
      <c r="AR183">
        <v>4.13</v>
      </c>
      <c r="AS183">
        <v>7.27</v>
      </c>
      <c r="AT183">
        <v>3</v>
      </c>
      <c r="AU183">
        <v>5.83</v>
      </c>
      <c r="AV183">
        <v>1.72</v>
      </c>
      <c r="AW183">
        <v>4.7699999999999996</v>
      </c>
      <c r="AX183">
        <v>0.79</v>
      </c>
      <c r="AY183">
        <v>82.72</v>
      </c>
      <c r="AZ183">
        <v>16.670000000000002</v>
      </c>
      <c r="BA183">
        <v>189</v>
      </c>
      <c r="BC183">
        <v>0.17</v>
      </c>
      <c r="BD183">
        <v>0.71</v>
      </c>
      <c r="BF183">
        <v>1964</v>
      </c>
    </row>
    <row r="184" spans="1:58" x14ac:dyDescent="0.25">
      <c r="A184" t="s">
        <v>364</v>
      </c>
      <c r="B184" t="s">
        <v>80</v>
      </c>
      <c r="C184" t="s">
        <v>355</v>
      </c>
      <c r="D184" t="s">
        <v>772</v>
      </c>
      <c r="E184">
        <v>84.67</v>
      </c>
      <c r="F184">
        <v>46</v>
      </c>
      <c r="G184">
        <v>2.85</v>
      </c>
      <c r="H184">
        <v>0.98</v>
      </c>
      <c r="I184">
        <v>6.26</v>
      </c>
      <c r="J184">
        <v>4.28</v>
      </c>
      <c r="K184">
        <v>3.63</v>
      </c>
      <c r="L184">
        <v>0.65</v>
      </c>
      <c r="M184">
        <v>0.95</v>
      </c>
      <c r="N184">
        <v>6.64</v>
      </c>
      <c r="P184">
        <v>0.11</v>
      </c>
      <c r="Q184">
        <v>0.1</v>
      </c>
      <c r="R184">
        <v>0.63</v>
      </c>
      <c r="S184">
        <v>0.44</v>
      </c>
      <c r="T184">
        <v>0.3</v>
      </c>
      <c r="U184">
        <v>45.2</v>
      </c>
      <c r="V184">
        <v>7.02</v>
      </c>
      <c r="W184">
        <v>35.68</v>
      </c>
      <c r="X184">
        <v>62.55</v>
      </c>
      <c r="Y184">
        <v>45.56</v>
      </c>
      <c r="Z184">
        <v>1.17</v>
      </c>
      <c r="AA184">
        <v>163</v>
      </c>
      <c r="AB184">
        <v>0.7</v>
      </c>
      <c r="AC184">
        <v>0.39</v>
      </c>
      <c r="AD184">
        <v>0.17</v>
      </c>
      <c r="AE184">
        <v>0.59</v>
      </c>
      <c r="AF184">
        <v>0.01</v>
      </c>
      <c r="AG184">
        <v>0.97</v>
      </c>
      <c r="AH184">
        <v>11.1</v>
      </c>
      <c r="AI184">
        <v>4.01</v>
      </c>
      <c r="AJ184">
        <v>5.12</v>
      </c>
      <c r="AK184">
        <v>16.07</v>
      </c>
      <c r="AL184">
        <v>4.7699999999999996</v>
      </c>
      <c r="AM184">
        <v>4.12</v>
      </c>
      <c r="AN184">
        <v>5.31</v>
      </c>
      <c r="AO184">
        <v>0.55000000000000004</v>
      </c>
      <c r="AP184">
        <v>4.3499999999999996</v>
      </c>
      <c r="AQ184">
        <v>1.67</v>
      </c>
      <c r="AR184">
        <v>3.74</v>
      </c>
      <c r="AS184">
        <v>8.1</v>
      </c>
      <c r="AT184">
        <v>2.69</v>
      </c>
      <c r="AU184">
        <v>5.41</v>
      </c>
      <c r="AV184">
        <v>3.12</v>
      </c>
      <c r="AW184">
        <v>7.12</v>
      </c>
      <c r="AX184">
        <v>0.97</v>
      </c>
      <c r="AY184">
        <v>259</v>
      </c>
      <c r="AZ184">
        <v>46.7</v>
      </c>
      <c r="BA184">
        <v>428</v>
      </c>
      <c r="BC184">
        <v>1.06</v>
      </c>
      <c r="BD184">
        <v>3.54</v>
      </c>
      <c r="BF184">
        <v>39.86</v>
      </c>
    </row>
    <row r="185" spans="1:58" x14ac:dyDescent="0.25">
      <c r="A185" t="s">
        <v>364</v>
      </c>
      <c r="B185" t="s">
        <v>81</v>
      </c>
      <c r="C185" t="s">
        <v>355</v>
      </c>
      <c r="D185" t="s">
        <v>773</v>
      </c>
      <c r="E185">
        <v>84.08</v>
      </c>
      <c r="F185">
        <v>30</v>
      </c>
      <c r="G185">
        <v>3.95</v>
      </c>
      <c r="H185">
        <v>0.15</v>
      </c>
      <c r="I185">
        <v>2.19</v>
      </c>
      <c r="J185">
        <v>8.5299999999999994</v>
      </c>
      <c r="K185">
        <v>6.56</v>
      </c>
      <c r="L185">
        <v>1.97</v>
      </c>
      <c r="M185">
        <v>1.1000000000000001</v>
      </c>
      <c r="N185">
        <v>99</v>
      </c>
      <c r="P185">
        <v>7.0000000000000007E-2</v>
      </c>
      <c r="Q185">
        <v>7.0000000000000007E-2</v>
      </c>
      <c r="R185">
        <v>0.32</v>
      </c>
      <c r="S185">
        <v>0.4</v>
      </c>
      <c r="T185">
        <v>0.35</v>
      </c>
      <c r="U185">
        <v>130</v>
      </c>
      <c r="V185">
        <v>5.63</v>
      </c>
      <c r="W185">
        <v>67.95</v>
      </c>
      <c r="X185">
        <v>73.73</v>
      </c>
      <c r="Y185">
        <v>38.69</v>
      </c>
      <c r="Z185">
        <v>20.28</v>
      </c>
      <c r="AA185">
        <v>352</v>
      </c>
      <c r="AB185">
        <v>1.0900000000000001</v>
      </c>
      <c r="AC185">
        <v>0.49</v>
      </c>
      <c r="AD185">
        <v>0.21</v>
      </c>
      <c r="AE185">
        <v>0.56999999999999995</v>
      </c>
      <c r="AF185">
        <v>7.86</v>
      </c>
      <c r="AG185">
        <v>0.9</v>
      </c>
      <c r="AH185">
        <v>13.96</v>
      </c>
      <c r="AI185">
        <v>2.94</v>
      </c>
      <c r="AJ185">
        <v>4.6900000000000004</v>
      </c>
      <c r="AK185">
        <v>13.56</v>
      </c>
      <c r="AL185">
        <v>4.26</v>
      </c>
      <c r="AM185">
        <v>4.87</v>
      </c>
      <c r="AN185">
        <v>6.43</v>
      </c>
      <c r="AO185">
        <v>0.56999999999999995</v>
      </c>
      <c r="AP185">
        <v>5.3</v>
      </c>
      <c r="AQ185">
        <v>1.22</v>
      </c>
      <c r="AR185">
        <v>4.37</v>
      </c>
      <c r="AS185">
        <v>7.73</v>
      </c>
      <c r="AT185">
        <v>2.73</v>
      </c>
      <c r="AU185">
        <v>4.28</v>
      </c>
      <c r="AV185">
        <v>2.71</v>
      </c>
      <c r="AW185">
        <v>6.01</v>
      </c>
      <c r="AX185">
        <v>0.9</v>
      </c>
      <c r="AY185">
        <v>45.25</v>
      </c>
      <c r="AZ185">
        <v>7.87</v>
      </c>
      <c r="BA185">
        <v>66.87</v>
      </c>
      <c r="BC185">
        <v>1.24</v>
      </c>
      <c r="BD185">
        <v>0.86</v>
      </c>
      <c r="BF185">
        <v>5.94</v>
      </c>
    </row>
    <row r="186" spans="1:58" x14ac:dyDescent="0.25">
      <c r="A186" t="s">
        <v>364</v>
      </c>
      <c r="B186" t="s">
        <v>302</v>
      </c>
      <c r="C186" t="s">
        <v>355</v>
      </c>
      <c r="D186" t="s">
        <v>774</v>
      </c>
      <c r="E186">
        <v>84.08</v>
      </c>
      <c r="F186">
        <v>30</v>
      </c>
      <c r="G186">
        <v>3.95</v>
      </c>
      <c r="H186">
        <v>0.15</v>
      </c>
      <c r="I186">
        <v>2.19</v>
      </c>
      <c r="J186">
        <v>8.5299999999999994</v>
      </c>
      <c r="K186">
        <v>6.56</v>
      </c>
      <c r="L186">
        <v>1.97</v>
      </c>
      <c r="M186">
        <v>1.1000000000000001</v>
      </c>
      <c r="N186">
        <v>99.77</v>
      </c>
      <c r="P186">
        <v>7.0000000000000007E-2</v>
      </c>
      <c r="Q186">
        <v>7.0000000000000007E-2</v>
      </c>
      <c r="R186">
        <v>0.32</v>
      </c>
      <c r="S186">
        <v>0.4</v>
      </c>
      <c r="T186">
        <v>0.35</v>
      </c>
      <c r="U186">
        <v>130</v>
      </c>
      <c r="V186">
        <v>5.63</v>
      </c>
      <c r="W186">
        <v>69.77</v>
      </c>
      <c r="X186">
        <v>61.18</v>
      </c>
      <c r="Y186">
        <v>33.49</v>
      </c>
      <c r="Z186">
        <v>14.1</v>
      </c>
      <c r="AA186">
        <v>252</v>
      </c>
      <c r="AB186">
        <v>1.9</v>
      </c>
      <c r="AC186">
        <v>0.42</v>
      </c>
      <c r="AD186">
        <v>0.16</v>
      </c>
      <c r="AE186">
        <v>0.44</v>
      </c>
      <c r="AG186">
        <v>0.7</v>
      </c>
      <c r="AH186">
        <v>14.76</v>
      </c>
      <c r="AI186">
        <v>3.89</v>
      </c>
      <c r="AJ186">
        <v>5.7</v>
      </c>
      <c r="AK186">
        <v>15.39</v>
      </c>
      <c r="AL186">
        <v>4.3099999999999996</v>
      </c>
      <c r="AM186">
        <v>4.84</v>
      </c>
      <c r="AN186">
        <v>5.84</v>
      </c>
      <c r="AO186">
        <v>0.57999999999999996</v>
      </c>
      <c r="AP186">
        <v>5.49</v>
      </c>
      <c r="AQ186">
        <v>0.96</v>
      </c>
      <c r="AR186">
        <v>4.34</v>
      </c>
      <c r="AS186">
        <v>8.08</v>
      </c>
      <c r="AT186">
        <v>3.4</v>
      </c>
      <c r="AU186">
        <v>4.63</v>
      </c>
      <c r="AV186">
        <v>2.64</v>
      </c>
      <c r="AW186">
        <v>4.29</v>
      </c>
      <c r="AX186">
        <v>0.7</v>
      </c>
      <c r="AY186">
        <v>187</v>
      </c>
      <c r="AZ186">
        <v>36.17</v>
      </c>
      <c r="BA186">
        <v>297</v>
      </c>
      <c r="BE186">
        <v>75.33</v>
      </c>
      <c r="BF186">
        <v>561</v>
      </c>
    </row>
    <row r="187" spans="1:58" x14ac:dyDescent="0.25">
      <c r="A187" t="s">
        <v>364</v>
      </c>
      <c r="B187" t="s">
        <v>314</v>
      </c>
      <c r="C187" t="s">
        <v>355</v>
      </c>
      <c r="D187" t="s">
        <v>776</v>
      </c>
      <c r="E187">
        <v>90.11</v>
      </c>
      <c r="F187">
        <v>22</v>
      </c>
      <c r="G187">
        <v>2.12</v>
      </c>
      <c r="H187">
        <v>0.19</v>
      </c>
      <c r="I187">
        <v>2.63</v>
      </c>
      <c r="J187">
        <v>4.18</v>
      </c>
      <c r="K187">
        <v>3.53</v>
      </c>
      <c r="L187">
        <v>0.65</v>
      </c>
      <c r="M187">
        <v>0.77</v>
      </c>
      <c r="N187">
        <v>32.33</v>
      </c>
      <c r="P187">
        <v>0.05</v>
      </c>
      <c r="Q187">
        <v>0.05</v>
      </c>
      <c r="R187">
        <v>0.77</v>
      </c>
      <c r="S187">
        <v>0.27</v>
      </c>
      <c r="T187">
        <v>0.44</v>
      </c>
      <c r="U187">
        <v>61.98</v>
      </c>
      <c r="V187">
        <v>1.38</v>
      </c>
      <c r="W187">
        <v>49.9</v>
      </c>
      <c r="X187">
        <v>45.9</v>
      </c>
      <c r="Y187">
        <v>34.979999999999997</v>
      </c>
      <c r="Z187">
        <v>9.18</v>
      </c>
      <c r="AA187">
        <v>317</v>
      </c>
      <c r="AB187">
        <v>0.98</v>
      </c>
      <c r="AC187">
        <v>0.27</v>
      </c>
      <c r="AD187">
        <v>7.0000000000000007E-2</v>
      </c>
      <c r="AE187">
        <v>0.37</v>
      </c>
      <c r="AG187">
        <v>0.8</v>
      </c>
      <c r="AH187">
        <v>11.43</v>
      </c>
      <c r="AI187">
        <v>4.32</v>
      </c>
      <c r="AJ187">
        <v>5.2</v>
      </c>
      <c r="AK187">
        <v>13.06</v>
      </c>
      <c r="AL187">
        <v>5.81</v>
      </c>
      <c r="AM187">
        <v>3.9</v>
      </c>
      <c r="AN187">
        <v>4.08</v>
      </c>
      <c r="AO187">
        <v>0.53</v>
      </c>
      <c r="AP187">
        <v>5.98</v>
      </c>
      <c r="AQ187">
        <v>1.07</v>
      </c>
      <c r="AR187">
        <v>4.3499999999999996</v>
      </c>
      <c r="AS187">
        <v>6.71</v>
      </c>
      <c r="AT187">
        <v>2.95</v>
      </c>
      <c r="AU187">
        <v>4.22</v>
      </c>
      <c r="AV187">
        <v>2.57</v>
      </c>
      <c r="AW187">
        <v>4.83</v>
      </c>
      <c r="AX187">
        <v>0.8</v>
      </c>
      <c r="AY187">
        <v>66.8</v>
      </c>
      <c r="AZ187">
        <v>11.85</v>
      </c>
      <c r="BA187">
        <v>135</v>
      </c>
      <c r="BC187">
        <v>1</v>
      </c>
      <c r="BD187">
        <v>0.77</v>
      </c>
      <c r="BE187">
        <v>388</v>
      </c>
    </row>
    <row r="188" spans="1:58" x14ac:dyDescent="0.25">
      <c r="A188" t="s">
        <v>364</v>
      </c>
      <c r="B188" t="s">
        <v>83</v>
      </c>
      <c r="C188" t="s">
        <v>355</v>
      </c>
      <c r="D188" t="s">
        <v>778</v>
      </c>
      <c r="E188">
        <v>85.97</v>
      </c>
      <c r="F188">
        <v>37</v>
      </c>
      <c r="G188">
        <v>2.0499999999999998</v>
      </c>
      <c r="H188">
        <v>0.76</v>
      </c>
      <c r="I188">
        <v>4.8499999999999996</v>
      </c>
      <c r="J188">
        <v>3.69</v>
      </c>
      <c r="K188">
        <v>2.1800000000000002</v>
      </c>
      <c r="L188">
        <v>1.51</v>
      </c>
      <c r="M188">
        <v>2.68</v>
      </c>
      <c r="P188">
        <v>0.02</v>
      </c>
      <c r="Q188">
        <v>0.15</v>
      </c>
      <c r="R188">
        <v>0.32</v>
      </c>
      <c r="S188">
        <v>0.32</v>
      </c>
      <c r="T188">
        <v>0.13</v>
      </c>
      <c r="U188">
        <v>11.89</v>
      </c>
      <c r="V188">
        <v>40.619999999999997</v>
      </c>
      <c r="W188">
        <v>172</v>
      </c>
      <c r="X188">
        <v>33.85</v>
      </c>
      <c r="Y188">
        <v>113</v>
      </c>
      <c r="Z188">
        <v>75</v>
      </c>
      <c r="AA188">
        <v>486</v>
      </c>
      <c r="AB188">
        <v>6.1</v>
      </c>
      <c r="AC188">
        <v>1.1200000000000001</v>
      </c>
      <c r="AD188">
        <v>0.14000000000000001</v>
      </c>
      <c r="AE188">
        <v>0.18</v>
      </c>
      <c r="AF188">
        <v>65.92</v>
      </c>
      <c r="AY188">
        <v>189</v>
      </c>
      <c r="AZ188">
        <v>78.739999999999995</v>
      </c>
      <c r="BA188">
        <v>308</v>
      </c>
      <c r="BC188">
        <v>0.13</v>
      </c>
      <c r="BD188">
        <v>2.02</v>
      </c>
    </row>
    <row r="189" spans="1:58" x14ac:dyDescent="0.25">
      <c r="A189" t="s">
        <v>364</v>
      </c>
      <c r="B189" t="s">
        <v>86</v>
      </c>
      <c r="C189" t="s">
        <v>355</v>
      </c>
      <c r="D189" t="s">
        <v>782</v>
      </c>
      <c r="E189">
        <v>94.5</v>
      </c>
      <c r="F189">
        <v>13</v>
      </c>
      <c r="G189">
        <v>0.42</v>
      </c>
      <c r="H189">
        <v>0.12</v>
      </c>
      <c r="I189">
        <v>2.5299999999999998</v>
      </c>
      <c r="J189">
        <v>2.1</v>
      </c>
      <c r="K189">
        <v>1.72</v>
      </c>
      <c r="L189">
        <v>0.38</v>
      </c>
      <c r="M189">
        <v>0.34</v>
      </c>
      <c r="P189">
        <v>0.03</v>
      </c>
      <c r="Q189">
        <v>0.01</v>
      </c>
      <c r="R189">
        <v>0.14000000000000001</v>
      </c>
      <c r="S189">
        <v>0.5</v>
      </c>
      <c r="T189">
        <v>0.02</v>
      </c>
      <c r="U189">
        <v>49.59</v>
      </c>
      <c r="V189">
        <v>4.54</v>
      </c>
      <c r="W189">
        <v>15.05</v>
      </c>
      <c r="X189">
        <v>16.989999999999998</v>
      </c>
      <c r="Y189">
        <v>10.89</v>
      </c>
      <c r="Z189">
        <v>1.52</v>
      </c>
      <c r="AA189">
        <v>116</v>
      </c>
      <c r="AB189">
        <v>0.28000000000000003</v>
      </c>
      <c r="AC189">
        <v>0.11</v>
      </c>
      <c r="AD189">
        <v>0.05</v>
      </c>
      <c r="AE189">
        <v>0.15</v>
      </c>
      <c r="AF189">
        <v>1.8</v>
      </c>
      <c r="AG189">
        <v>1.67</v>
      </c>
      <c r="AH189">
        <v>9.23</v>
      </c>
      <c r="AI189">
        <v>4.62</v>
      </c>
      <c r="AJ189">
        <v>5.0999999999999996</v>
      </c>
      <c r="AK189">
        <v>16.190000000000001</v>
      </c>
      <c r="AL189">
        <v>4.74</v>
      </c>
      <c r="AM189">
        <v>5.12</v>
      </c>
      <c r="AN189">
        <v>6.91</v>
      </c>
      <c r="AO189">
        <v>0.6</v>
      </c>
      <c r="AP189">
        <v>6.64</v>
      </c>
      <c r="AQ189">
        <v>0.97</v>
      </c>
      <c r="AR189">
        <v>5.2</v>
      </c>
      <c r="AS189">
        <v>7.8</v>
      </c>
      <c r="AT189">
        <v>3.56</v>
      </c>
      <c r="AU189">
        <v>3.41</v>
      </c>
      <c r="AV189">
        <v>2.1</v>
      </c>
      <c r="AW189">
        <v>4.97</v>
      </c>
      <c r="AX189">
        <v>1.67</v>
      </c>
      <c r="AY189">
        <v>41.07</v>
      </c>
      <c r="AZ189">
        <v>3.47</v>
      </c>
      <c r="BA189">
        <v>63.46</v>
      </c>
      <c r="BC189">
        <v>0.34</v>
      </c>
      <c r="BD189">
        <v>0.67</v>
      </c>
    </row>
    <row r="190" spans="1:58" x14ac:dyDescent="0.25">
      <c r="A190" t="s">
        <v>364</v>
      </c>
      <c r="B190" t="s">
        <v>89</v>
      </c>
      <c r="C190" t="s">
        <v>355</v>
      </c>
      <c r="D190" t="s">
        <v>785</v>
      </c>
      <c r="E190">
        <v>89.14</v>
      </c>
      <c r="F190">
        <v>29</v>
      </c>
      <c r="G190">
        <v>1.49</v>
      </c>
      <c r="H190">
        <v>0.31</v>
      </c>
      <c r="I190">
        <v>4.51</v>
      </c>
      <c r="J190">
        <v>3.92</v>
      </c>
      <c r="K190">
        <v>2.61</v>
      </c>
      <c r="L190">
        <v>1.31</v>
      </c>
      <c r="M190">
        <v>0.64</v>
      </c>
      <c r="N190">
        <v>23</v>
      </c>
      <c r="P190">
        <v>0.04</v>
      </c>
      <c r="Q190">
        <v>0.12</v>
      </c>
      <c r="R190">
        <v>0.54</v>
      </c>
      <c r="S190">
        <v>0.34</v>
      </c>
      <c r="T190">
        <v>0.09</v>
      </c>
      <c r="U190">
        <v>30.99</v>
      </c>
      <c r="V190">
        <v>1.49</v>
      </c>
      <c r="W190">
        <v>18.95</v>
      </c>
      <c r="X190">
        <v>26.81</v>
      </c>
      <c r="Y190">
        <v>18</v>
      </c>
      <c r="Z190">
        <v>3</v>
      </c>
      <c r="AA190">
        <v>260</v>
      </c>
      <c r="AB190">
        <v>0.32</v>
      </c>
      <c r="AC190">
        <v>0.15</v>
      </c>
      <c r="AD190">
        <v>0.11</v>
      </c>
      <c r="AE190">
        <v>0.19</v>
      </c>
      <c r="AG190">
        <v>0.8</v>
      </c>
      <c r="AH190">
        <v>16.670000000000002</v>
      </c>
      <c r="AI190">
        <v>3.43</v>
      </c>
      <c r="AJ190">
        <v>3.82</v>
      </c>
      <c r="AK190">
        <v>18.850000000000001</v>
      </c>
      <c r="AL190">
        <v>3.74</v>
      </c>
      <c r="AM190">
        <v>3.71</v>
      </c>
      <c r="AN190">
        <v>5.43</v>
      </c>
      <c r="AO190">
        <v>0.84</v>
      </c>
      <c r="AP190">
        <v>5.98</v>
      </c>
      <c r="AQ190">
        <v>0.76</v>
      </c>
      <c r="AR190">
        <v>4.12</v>
      </c>
      <c r="AS190">
        <v>5.77</v>
      </c>
      <c r="AT190">
        <v>2.79</v>
      </c>
      <c r="AU190">
        <v>5.47</v>
      </c>
      <c r="AV190">
        <v>2.2999999999999998</v>
      </c>
      <c r="AW190">
        <v>4.66</v>
      </c>
      <c r="AX190">
        <v>0.8</v>
      </c>
      <c r="AY190">
        <v>82.96</v>
      </c>
      <c r="AZ190">
        <v>15.45</v>
      </c>
      <c r="BA190">
        <v>150</v>
      </c>
      <c r="BC190">
        <v>1.1499999999999999</v>
      </c>
      <c r="BD190">
        <v>1.1200000000000001</v>
      </c>
      <c r="BF190">
        <v>138</v>
      </c>
    </row>
    <row r="191" spans="1:58" x14ac:dyDescent="0.25">
      <c r="A191" t="s">
        <v>364</v>
      </c>
      <c r="B191" t="s">
        <v>90</v>
      </c>
      <c r="C191" t="s">
        <v>355</v>
      </c>
      <c r="D191" t="s">
        <v>786</v>
      </c>
      <c r="E191">
        <v>89.94</v>
      </c>
      <c r="F191">
        <v>21</v>
      </c>
      <c r="G191">
        <v>1.45</v>
      </c>
      <c r="H191">
        <v>0.26</v>
      </c>
      <c r="I191">
        <v>2.6</v>
      </c>
      <c r="J191">
        <v>4.9000000000000004</v>
      </c>
      <c r="K191">
        <v>3.59</v>
      </c>
      <c r="L191">
        <v>1.31</v>
      </c>
      <c r="M191">
        <v>0.86</v>
      </c>
      <c r="N191">
        <v>18.329999999999998</v>
      </c>
      <c r="P191">
        <v>0.08</v>
      </c>
      <c r="Q191">
        <v>0.11</v>
      </c>
      <c r="R191">
        <v>0.43</v>
      </c>
      <c r="S191">
        <v>0.25</v>
      </c>
      <c r="T191">
        <v>0.09</v>
      </c>
      <c r="U191">
        <v>31.18</v>
      </c>
      <c r="V191">
        <v>2.71</v>
      </c>
      <c r="W191">
        <v>17.239999999999998</v>
      </c>
      <c r="X191">
        <v>38.69</v>
      </c>
      <c r="Y191">
        <v>37.22</v>
      </c>
      <c r="Z191">
        <v>3.74</v>
      </c>
      <c r="AA191">
        <v>187</v>
      </c>
      <c r="AB191">
        <v>0.37</v>
      </c>
      <c r="AC191">
        <v>0.15</v>
      </c>
      <c r="AD191">
        <v>0.11</v>
      </c>
      <c r="AE191">
        <v>0.24</v>
      </c>
      <c r="AG191">
        <v>0.77</v>
      </c>
      <c r="AH191">
        <v>15.73</v>
      </c>
      <c r="AI191">
        <v>3.22</v>
      </c>
      <c r="AJ191">
        <v>3.96</v>
      </c>
      <c r="AK191">
        <v>20.39</v>
      </c>
      <c r="AL191">
        <v>4.12</v>
      </c>
      <c r="AM191">
        <v>3.98</v>
      </c>
      <c r="AN191">
        <v>4.99</v>
      </c>
      <c r="AO191">
        <v>0.84</v>
      </c>
      <c r="AP191">
        <v>5.07</v>
      </c>
      <c r="AQ191">
        <v>0.91</v>
      </c>
      <c r="AR191">
        <v>4</v>
      </c>
      <c r="AS191">
        <v>6.01</v>
      </c>
      <c r="AT191">
        <v>2.99</v>
      </c>
      <c r="AU191">
        <v>4.37</v>
      </c>
      <c r="AV191">
        <v>1.86</v>
      </c>
      <c r="AW191">
        <v>3.89</v>
      </c>
      <c r="AX191">
        <v>0.77</v>
      </c>
      <c r="AY191">
        <v>51.54</v>
      </c>
      <c r="AZ191">
        <v>17.93</v>
      </c>
      <c r="BA191">
        <v>139</v>
      </c>
      <c r="BC191">
        <v>1.1000000000000001</v>
      </c>
      <c r="BD191">
        <v>0.95</v>
      </c>
      <c r="BF191">
        <v>110</v>
      </c>
    </row>
    <row r="192" spans="1:58" x14ac:dyDescent="0.25">
      <c r="A192" t="s">
        <v>364</v>
      </c>
      <c r="B192" t="s">
        <v>91</v>
      </c>
      <c r="C192" t="s">
        <v>355</v>
      </c>
      <c r="D192" t="s">
        <v>787</v>
      </c>
      <c r="E192">
        <v>93.19</v>
      </c>
      <c r="F192">
        <v>17</v>
      </c>
      <c r="G192">
        <v>1.58</v>
      </c>
      <c r="H192">
        <v>0.13</v>
      </c>
      <c r="I192">
        <v>2.36</v>
      </c>
      <c r="J192">
        <v>2.0099999999999998</v>
      </c>
      <c r="K192">
        <v>1.55</v>
      </c>
      <c r="L192">
        <v>0.45</v>
      </c>
      <c r="M192">
        <v>0.73</v>
      </c>
      <c r="N192">
        <v>0.91</v>
      </c>
      <c r="P192">
        <v>0.01</v>
      </c>
      <c r="Q192">
        <v>0.05</v>
      </c>
      <c r="R192">
        <v>0.38</v>
      </c>
      <c r="S192">
        <v>0.57999999999999996</v>
      </c>
      <c r="T192">
        <v>0.19</v>
      </c>
      <c r="U192">
        <v>54.51</v>
      </c>
      <c r="V192">
        <v>19.32</v>
      </c>
      <c r="W192">
        <v>58.46</v>
      </c>
      <c r="X192">
        <v>33.049999999999997</v>
      </c>
      <c r="Y192">
        <v>11.51</v>
      </c>
      <c r="Z192">
        <v>20.28</v>
      </c>
      <c r="AA192">
        <v>258</v>
      </c>
      <c r="AB192">
        <v>0.39</v>
      </c>
      <c r="AC192">
        <v>0.19</v>
      </c>
      <c r="AD192">
        <v>0.05</v>
      </c>
      <c r="AE192">
        <v>0.19</v>
      </c>
      <c r="AF192">
        <v>1.85</v>
      </c>
      <c r="AG192">
        <v>1.24</v>
      </c>
      <c r="AH192">
        <v>10.84</v>
      </c>
      <c r="AI192">
        <v>4.01</v>
      </c>
      <c r="AJ192">
        <v>5.82</v>
      </c>
      <c r="AK192">
        <v>21.42</v>
      </c>
      <c r="AL192">
        <v>3.76</v>
      </c>
      <c r="AM192">
        <v>3.82</v>
      </c>
      <c r="AN192">
        <v>6.37</v>
      </c>
      <c r="AO192">
        <v>0.94</v>
      </c>
      <c r="AP192">
        <v>5.4</v>
      </c>
      <c r="AQ192">
        <v>1.06</v>
      </c>
      <c r="AR192">
        <v>5.72</v>
      </c>
      <c r="AS192">
        <v>5.69</v>
      </c>
      <c r="AT192">
        <v>2.0499999999999998</v>
      </c>
      <c r="AU192">
        <v>3.27</v>
      </c>
      <c r="AV192">
        <v>1.97</v>
      </c>
      <c r="AW192">
        <v>5.78</v>
      </c>
      <c r="AX192">
        <v>1.24</v>
      </c>
      <c r="AY192">
        <v>33.01</v>
      </c>
      <c r="AZ192">
        <v>15.97</v>
      </c>
      <c r="BA192">
        <v>55.01</v>
      </c>
      <c r="BC192">
        <v>0.42</v>
      </c>
      <c r="BD192">
        <v>1</v>
      </c>
      <c r="BF192">
        <v>5.5</v>
      </c>
    </row>
    <row r="193" spans="1:58" x14ac:dyDescent="0.25">
      <c r="A193" t="s">
        <v>364</v>
      </c>
      <c r="B193" t="s">
        <v>92</v>
      </c>
      <c r="C193" t="s">
        <v>355</v>
      </c>
      <c r="D193" t="s">
        <v>788</v>
      </c>
      <c r="E193">
        <v>89.53</v>
      </c>
      <c r="F193">
        <v>30</v>
      </c>
      <c r="G193">
        <v>3.63</v>
      </c>
      <c r="H193">
        <v>0.27</v>
      </c>
      <c r="I193">
        <v>2.79</v>
      </c>
      <c r="J193">
        <v>2.98</v>
      </c>
      <c r="K193">
        <v>2.04</v>
      </c>
      <c r="L193">
        <v>0.94</v>
      </c>
      <c r="M193">
        <v>0.81</v>
      </c>
      <c r="N193">
        <v>8.66</v>
      </c>
      <c r="P193">
        <v>0.03</v>
      </c>
      <c r="Q193">
        <v>0.05</v>
      </c>
      <c r="R193">
        <v>0.26</v>
      </c>
      <c r="S193">
        <v>0.49</v>
      </c>
      <c r="T193">
        <v>0.24</v>
      </c>
      <c r="U193">
        <v>63.46</v>
      </c>
      <c r="V193">
        <v>40.76</v>
      </c>
      <c r="W193">
        <v>170</v>
      </c>
      <c r="X193">
        <v>54.67</v>
      </c>
      <c r="Y193">
        <v>45.9</v>
      </c>
      <c r="Z193">
        <v>22.98</v>
      </c>
      <c r="AA193">
        <v>292</v>
      </c>
      <c r="AB193">
        <v>2.67</v>
      </c>
      <c r="AC193">
        <v>1.27</v>
      </c>
      <c r="AD193">
        <v>0.06</v>
      </c>
      <c r="AE193">
        <v>0.35</v>
      </c>
      <c r="AF193">
        <v>2.35</v>
      </c>
      <c r="AG193">
        <v>1.24</v>
      </c>
      <c r="AH193">
        <v>11.13</v>
      </c>
      <c r="AI193">
        <v>4.04</v>
      </c>
      <c r="AJ193">
        <v>4.2</v>
      </c>
      <c r="AK193">
        <v>21.91</v>
      </c>
      <c r="AL193">
        <v>5.35</v>
      </c>
      <c r="AM193">
        <v>5.61</v>
      </c>
      <c r="AN193">
        <v>7.68</v>
      </c>
      <c r="AO193">
        <v>0.91</v>
      </c>
      <c r="AP193">
        <v>5.64</v>
      </c>
      <c r="AQ193">
        <v>1.1100000000000001</v>
      </c>
      <c r="AR193">
        <v>3.81</v>
      </c>
      <c r="AS193">
        <v>6.67</v>
      </c>
      <c r="AT193">
        <v>2.78</v>
      </c>
      <c r="AU193">
        <v>4.5599999999999996</v>
      </c>
      <c r="AV193">
        <v>1.62</v>
      </c>
      <c r="AW193">
        <v>3.62</v>
      </c>
      <c r="AX193">
        <v>1.24</v>
      </c>
      <c r="AY193">
        <v>61.87</v>
      </c>
      <c r="AZ193">
        <v>37.19</v>
      </c>
      <c r="BA193">
        <v>117</v>
      </c>
      <c r="BC193">
        <v>0.76</v>
      </c>
      <c r="BD193">
        <v>1.59</v>
      </c>
      <c r="BE193">
        <v>104</v>
      </c>
    </row>
    <row r="194" spans="1:58" x14ac:dyDescent="0.25">
      <c r="A194" t="s">
        <v>364</v>
      </c>
      <c r="B194" t="s">
        <v>94</v>
      </c>
      <c r="C194" t="s">
        <v>355</v>
      </c>
      <c r="D194" t="s">
        <v>790</v>
      </c>
      <c r="E194">
        <v>91.66</v>
      </c>
      <c r="F194">
        <v>23</v>
      </c>
      <c r="G194">
        <v>1.51</v>
      </c>
      <c r="H194">
        <v>0.22</v>
      </c>
      <c r="I194">
        <v>3.62</v>
      </c>
      <c r="J194">
        <v>2.3199999999999998</v>
      </c>
      <c r="K194">
        <v>1.7</v>
      </c>
      <c r="L194">
        <v>0.62</v>
      </c>
      <c r="M194">
        <v>0.68</v>
      </c>
      <c r="N194">
        <v>5.3</v>
      </c>
      <c r="P194">
        <v>0.04</v>
      </c>
      <c r="Q194">
        <v>0.05</v>
      </c>
      <c r="R194">
        <v>0.26</v>
      </c>
      <c r="S194">
        <v>0.24</v>
      </c>
      <c r="T194">
        <v>0.19</v>
      </c>
      <c r="U194">
        <v>38.53</v>
      </c>
      <c r="V194">
        <v>38.71</v>
      </c>
      <c r="X194">
        <v>20.32</v>
      </c>
      <c r="Y194">
        <v>24.01</v>
      </c>
      <c r="Z194">
        <v>22.1</v>
      </c>
      <c r="AA194">
        <v>188</v>
      </c>
      <c r="AB194">
        <v>0.17</v>
      </c>
      <c r="AC194">
        <v>0.15</v>
      </c>
      <c r="AD194">
        <v>0.02</v>
      </c>
      <c r="AE194">
        <v>0.11</v>
      </c>
      <c r="AF194">
        <v>0.95</v>
      </c>
      <c r="AG194">
        <v>0.95</v>
      </c>
      <c r="AH194">
        <v>11.31</v>
      </c>
      <c r="AI194">
        <v>2.16</v>
      </c>
      <c r="AJ194">
        <v>3.4</v>
      </c>
      <c r="AK194">
        <v>30.65</v>
      </c>
      <c r="AL194">
        <v>5.78</v>
      </c>
      <c r="AM194">
        <v>2.66</v>
      </c>
      <c r="AN194">
        <v>6.4</v>
      </c>
      <c r="AO194">
        <v>0.56000000000000005</v>
      </c>
      <c r="AP194">
        <v>5.41</v>
      </c>
      <c r="AQ194">
        <v>0.87</v>
      </c>
      <c r="AR194">
        <v>3.7</v>
      </c>
      <c r="AS194">
        <v>4.8</v>
      </c>
      <c r="AT194">
        <v>2.1800000000000002</v>
      </c>
      <c r="AU194">
        <v>2.35</v>
      </c>
      <c r="AV194">
        <v>1.37</v>
      </c>
      <c r="AW194">
        <v>2.74</v>
      </c>
      <c r="AX194">
        <v>0.95</v>
      </c>
      <c r="AY194">
        <v>57.06</v>
      </c>
      <c r="AZ194">
        <v>40.6</v>
      </c>
      <c r="BA194">
        <v>110</v>
      </c>
      <c r="BC194">
        <v>0.86</v>
      </c>
      <c r="BD194">
        <v>0.59</v>
      </c>
      <c r="BF194">
        <v>31.82</v>
      </c>
    </row>
    <row r="195" spans="1:58" x14ac:dyDescent="0.25">
      <c r="A195" t="s">
        <v>364</v>
      </c>
      <c r="B195" t="s">
        <v>95</v>
      </c>
      <c r="C195" t="s">
        <v>355</v>
      </c>
      <c r="D195" t="s">
        <v>791</v>
      </c>
      <c r="E195">
        <v>88.3</v>
      </c>
      <c r="F195">
        <v>33</v>
      </c>
      <c r="G195">
        <v>2.52</v>
      </c>
      <c r="H195">
        <v>0.52</v>
      </c>
      <c r="I195">
        <v>4.3</v>
      </c>
      <c r="J195">
        <v>3.23</v>
      </c>
      <c r="K195">
        <v>2.68</v>
      </c>
      <c r="L195">
        <v>0.56000000000000005</v>
      </c>
      <c r="M195">
        <v>1.1399999999999999</v>
      </c>
      <c r="N195">
        <v>286</v>
      </c>
      <c r="Q195">
        <v>7.0000000000000007E-2</v>
      </c>
      <c r="R195">
        <v>0.96</v>
      </c>
      <c r="S195">
        <v>0.31</v>
      </c>
      <c r="T195">
        <v>0.22</v>
      </c>
      <c r="U195">
        <v>80.97</v>
      </c>
      <c r="V195">
        <v>4.72</v>
      </c>
      <c r="W195">
        <v>130</v>
      </c>
      <c r="X195">
        <v>22.04</v>
      </c>
      <c r="Y195">
        <v>36.33</v>
      </c>
      <c r="Z195">
        <v>15.65</v>
      </c>
      <c r="AA195">
        <v>573</v>
      </c>
      <c r="AB195">
        <v>0.18</v>
      </c>
      <c r="AC195">
        <v>3.97</v>
      </c>
      <c r="AD195">
        <v>0.09</v>
      </c>
      <c r="AE195">
        <v>0.44</v>
      </c>
      <c r="AF195">
        <v>4.47</v>
      </c>
      <c r="AG195">
        <v>0.69</v>
      </c>
      <c r="AH195">
        <v>8.58</v>
      </c>
      <c r="AI195">
        <v>4.49</v>
      </c>
      <c r="AJ195">
        <v>4.8899999999999997</v>
      </c>
      <c r="AK195">
        <v>12.03</v>
      </c>
      <c r="AL195">
        <v>5.0999999999999996</v>
      </c>
      <c r="AM195">
        <v>4.97</v>
      </c>
      <c r="AN195">
        <v>5.52</v>
      </c>
      <c r="AO195">
        <v>0.85</v>
      </c>
      <c r="AP195">
        <v>4.84</v>
      </c>
      <c r="AQ195">
        <v>1.07</v>
      </c>
      <c r="AR195">
        <v>4.41</v>
      </c>
      <c r="AS195">
        <v>8.2899999999999991</v>
      </c>
      <c r="AT195">
        <v>4.08</v>
      </c>
      <c r="AU195">
        <v>5.52</v>
      </c>
      <c r="AV195">
        <v>2.2999999999999998</v>
      </c>
      <c r="AW195">
        <v>5.75</v>
      </c>
      <c r="AX195">
        <v>5.75</v>
      </c>
      <c r="AY195">
        <v>203</v>
      </c>
      <c r="AZ195">
        <v>19.62</v>
      </c>
      <c r="BA195">
        <v>194</v>
      </c>
      <c r="BC195">
        <v>0.28999999999999998</v>
      </c>
      <c r="BD195">
        <v>3.94</v>
      </c>
      <c r="BF195">
        <v>1720</v>
      </c>
    </row>
    <row r="196" spans="1:58" x14ac:dyDescent="0.25">
      <c r="A196" t="s">
        <v>364</v>
      </c>
      <c r="B196" t="s">
        <v>96</v>
      </c>
      <c r="C196" t="s">
        <v>355</v>
      </c>
      <c r="D196" t="s">
        <v>792</v>
      </c>
      <c r="E196">
        <v>94.2</v>
      </c>
      <c r="F196">
        <v>13</v>
      </c>
      <c r="G196">
        <v>1.25</v>
      </c>
      <c r="H196">
        <v>0.28999999999999998</v>
      </c>
      <c r="I196">
        <v>1.28</v>
      </c>
      <c r="J196">
        <v>2.2200000000000002</v>
      </c>
      <c r="K196">
        <v>1.77</v>
      </c>
      <c r="L196">
        <v>0.46</v>
      </c>
      <c r="M196">
        <v>0.77</v>
      </c>
      <c r="N196">
        <v>52.83</v>
      </c>
      <c r="P196">
        <v>0.05</v>
      </c>
      <c r="Q196">
        <v>0.02</v>
      </c>
      <c r="R196">
        <v>0.5</v>
      </c>
      <c r="S196">
        <v>0.16</v>
      </c>
      <c r="T196">
        <v>0.16</v>
      </c>
      <c r="U196">
        <v>51.8</v>
      </c>
      <c r="V196">
        <v>126</v>
      </c>
      <c r="W196">
        <v>17.53</v>
      </c>
      <c r="X196">
        <v>21.1</v>
      </c>
      <c r="Y196">
        <v>10.9</v>
      </c>
      <c r="Z196">
        <v>1.91</v>
      </c>
      <c r="AA196">
        <v>157</v>
      </c>
      <c r="AB196">
        <v>0.59</v>
      </c>
      <c r="AC196">
        <v>0.06</v>
      </c>
      <c r="AD196">
        <v>0.04</v>
      </c>
      <c r="AE196">
        <v>0.12</v>
      </c>
      <c r="AF196">
        <v>0.18</v>
      </c>
      <c r="AG196">
        <v>1.17</v>
      </c>
      <c r="AH196">
        <v>15.96</v>
      </c>
      <c r="AI196">
        <v>3.44</v>
      </c>
      <c r="AJ196">
        <v>3.22</v>
      </c>
      <c r="AK196">
        <v>26.78</v>
      </c>
      <c r="AL196">
        <v>3.43</v>
      </c>
      <c r="AM196">
        <v>5.07</v>
      </c>
      <c r="AN196">
        <v>6.36</v>
      </c>
      <c r="AO196">
        <v>0.99</v>
      </c>
      <c r="AP196">
        <v>4.58</v>
      </c>
      <c r="AQ196">
        <v>1.33</v>
      </c>
      <c r="AR196">
        <v>2.84</v>
      </c>
      <c r="AS196">
        <v>5.32</v>
      </c>
      <c r="AT196">
        <v>4.6399999999999997</v>
      </c>
      <c r="AU196">
        <v>2.33</v>
      </c>
      <c r="AV196">
        <v>3.26</v>
      </c>
      <c r="AW196">
        <v>2.91</v>
      </c>
      <c r="AX196">
        <v>1.17</v>
      </c>
      <c r="AY196">
        <v>70.12</v>
      </c>
      <c r="AZ196">
        <v>11.37</v>
      </c>
      <c r="BA196">
        <v>151</v>
      </c>
      <c r="BC196">
        <v>0.86</v>
      </c>
      <c r="BD196">
        <v>0.33</v>
      </c>
      <c r="BF196">
        <v>317</v>
      </c>
    </row>
    <row r="197" spans="1:58" x14ac:dyDescent="0.25">
      <c r="A197" t="s">
        <v>364</v>
      </c>
      <c r="B197" t="s">
        <v>99</v>
      </c>
      <c r="C197" t="s">
        <v>355</v>
      </c>
      <c r="D197" t="s">
        <v>795</v>
      </c>
      <c r="E197">
        <v>93.04</v>
      </c>
      <c r="F197">
        <v>19</v>
      </c>
      <c r="G197">
        <v>1.59</v>
      </c>
      <c r="H197">
        <v>0.39</v>
      </c>
      <c r="I197">
        <v>2.11</v>
      </c>
      <c r="J197">
        <v>2.0099999999999998</v>
      </c>
      <c r="K197">
        <v>1.33</v>
      </c>
      <c r="L197">
        <v>0.69</v>
      </c>
      <c r="M197">
        <v>0.86</v>
      </c>
      <c r="N197">
        <v>30.16</v>
      </c>
      <c r="P197">
        <v>0.14000000000000001</v>
      </c>
      <c r="Q197">
        <v>0.01</v>
      </c>
      <c r="R197">
        <v>0.32</v>
      </c>
      <c r="S197">
        <v>0.23</v>
      </c>
      <c r="V197">
        <v>146</v>
      </c>
      <c r="W197">
        <v>20.13</v>
      </c>
      <c r="X197">
        <v>58.08</v>
      </c>
      <c r="Y197">
        <v>22.53</v>
      </c>
      <c r="Z197">
        <v>1.49</v>
      </c>
      <c r="AA197">
        <v>185</v>
      </c>
      <c r="AB197">
        <v>0.55000000000000004</v>
      </c>
      <c r="AC197">
        <v>0.23</v>
      </c>
      <c r="AD197">
        <v>0.09</v>
      </c>
      <c r="AE197">
        <v>0.37</v>
      </c>
      <c r="AY197">
        <v>99</v>
      </c>
      <c r="AZ197">
        <v>57.3</v>
      </c>
      <c r="BA197">
        <v>199</v>
      </c>
      <c r="BC197">
        <v>0.96</v>
      </c>
      <c r="BD197">
        <v>0.12</v>
      </c>
      <c r="BF197">
        <v>181</v>
      </c>
    </row>
    <row r="198" spans="1:58" x14ac:dyDescent="0.25">
      <c r="A198" t="s">
        <v>364</v>
      </c>
      <c r="B198" t="s">
        <v>29</v>
      </c>
      <c r="C198" t="s">
        <v>355</v>
      </c>
      <c r="D198" t="s">
        <v>829</v>
      </c>
      <c r="E198">
        <v>90.82</v>
      </c>
      <c r="F198">
        <v>23</v>
      </c>
      <c r="G198">
        <v>2.09</v>
      </c>
      <c r="H198">
        <v>0.48</v>
      </c>
      <c r="I198">
        <v>2</v>
      </c>
      <c r="J198">
        <v>3.76</v>
      </c>
      <c r="K198">
        <v>2.61</v>
      </c>
      <c r="L198">
        <v>1.1499999999999999</v>
      </c>
      <c r="M198">
        <v>0.85</v>
      </c>
      <c r="N198">
        <v>0.14000000000000001</v>
      </c>
      <c r="P198">
        <v>0.04</v>
      </c>
      <c r="Q198">
        <v>0.06</v>
      </c>
      <c r="R198">
        <v>0.31</v>
      </c>
      <c r="S198">
        <v>0.6</v>
      </c>
      <c r="T198">
        <v>0.11</v>
      </c>
      <c r="U198">
        <v>46.67</v>
      </c>
      <c r="V198">
        <v>50.17</v>
      </c>
      <c r="W198">
        <v>22.44</v>
      </c>
      <c r="X198">
        <v>51.4</v>
      </c>
      <c r="Y198">
        <v>18.52</v>
      </c>
      <c r="Z198">
        <v>34.32</v>
      </c>
      <c r="AA198">
        <v>291</v>
      </c>
      <c r="AB198">
        <v>0.76</v>
      </c>
      <c r="AC198">
        <v>0.2</v>
      </c>
      <c r="AD198">
        <v>0.04</v>
      </c>
      <c r="AE198">
        <v>0.27</v>
      </c>
      <c r="AF198">
        <v>0.43</v>
      </c>
      <c r="AG198">
        <v>1.08</v>
      </c>
      <c r="AH198">
        <v>8.8800000000000008</v>
      </c>
      <c r="AI198">
        <v>4.47</v>
      </c>
      <c r="AJ198">
        <v>6.07</v>
      </c>
      <c r="AK198">
        <v>16.39</v>
      </c>
      <c r="AL198">
        <v>4.58</v>
      </c>
      <c r="AM198">
        <v>4.3899999999999997</v>
      </c>
      <c r="AN198">
        <v>9.34</v>
      </c>
      <c r="AO198">
        <v>0.62</v>
      </c>
      <c r="AP198">
        <v>7.05</v>
      </c>
      <c r="AQ198">
        <v>0.93</v>
      </c>
      <c r="AR198">
        <v>4.33</v>
      </c>
      <c r="AS198">
        <v>6.89</v>
      </c>
      <c r="AT198">
        <v>3.06</v>
      </c>
      <c r="AU198">
        <v>4.32</v>
      </c>
      <c r="AV198">
        <v>2.02</v>
      </c>
      <c r="AW198">
        <v>3.77</v>
      </c>
      <c r="AX198">
        <v>1.08</v>
      </c>
      <c r="AY198">
        <v>128</v>
      </c>
      <c r="AZ198">
        <v>25.9</v>
      </c>
      <c r="BA198">
        <v>230</v>
      </c>
      <c r="BC198">
        <v>0.51</v>
      </c>
      <c r="BD198">
        <v>0.51</v>
      </c>
      <c r="BF198">
        <v>0.89</v>
      </c>
    </row>
    <row r="199" spans="1:58" x14ac:dyDescent="0.25">
      <c r="A199" t="s">
        <v>364</v>
      </c>
      <c r="B199" t="s">
        <v>30</v>
      </c>
      <c r="C199" t="s">
        <v>355</v>
      </c>
      <c r="D199" t="s">
        <v>797</v>
      </c>
      <c r="E199">
        <v>93.1</v>
      </c>
      <c r="F199">
        <v>15</v>
      </c>
      <c r="G199">
        <v>0.82</v>
      </c>
      <c r="H199">
        <v>0.2</v>
      </c>
      <c r="I199">
        <v>2.2200000000000002</v>
      </c>
      <c r="J199">
        <v>2.2400000000000002</v>
      </c>
      <c r="K199">
        <v>1.57</v>
      </c>
      <c r="L199">
        <v>0.67</v>
      </c>
      <c r="M199">
        <v>1.41</v>
      </c>
      <c r="N199">
        <v>66.83</v>
      </c>
      <c r="P199">
        <v>0.02</v>
      </c>
      <c r="Q199">
        <v>0.04</v>
      </c>
      <c r="R199">
        <v>0.51</v>
      </c>
      <c r="S199">
        <v>0.4</v>
      </c>
      <c r="T199">
        <v>0.06</v>
      </c>
      <c r="U199">
        <v>23.06</v>
      </c>
      <c r="V199">
        <v>14.95</v>
      </c>
      <c r="W199">
        <v>38.409999999999997</v>
      </c>
      <c r="X199">
        <v>39.049999999999997</v>
      </c>
      <c r="Y199">
        <v>11.41</v>
      </c>
      <c r="Z199">
        <v>10.63</v>
      </c>
      <c r="AA199">
        <v>289</v>
      </c>
      <c r="AB199">
        <v>1.29</v>
      </c>
      <c r="AC199">
        <v>0.23</v>
      </c>
      <c r="AD199">
        <v>0.04</v>
      </c>
      <c r="AE199">
        <v>0.15</v>
      </c>
      <c r="AF199">
        <v>4.93</v>
      </c>
      <c r="AG199">
        <v>1.1200000000000001</v>
      </c>
      <c r="AH199">
        <v>20.63</v>
      </c>
      <c r="AI199">
        <v>3.07</v>
      </c>
      <c r="AJ199">
        <v>4.0199999999999996</v>
      </c>
      <c r="AK199">
        <v>25.89</v>
      </c>
      <c r="AL199">
        <v>2.86</v>
      </c>
      <c r="AM199">
        <v>3.46</v>
      </c>
      <c r="AN199">
        <v>3.05</v>
      </c>
      <c r="AO199">
        <v>0.43</v>
      </c>
      <c r="AP199">
        <v>4.6100000000000003</v>
      </c>
      <c r="AQ199">
        <v>0.85</v>
      </c>
      <c r="AR199">
        <v>2.84</v>
      </c>
      <c r="AS199">
        <v>4.22</v>
      </c>
      <c r="AT199">
        <v>2.2599999999999998</v>
      </c>
      <c r="AU199">
        <v>2.33</v>
      </c>
      <c r="AV199">
        <v>1.43</v>
      </c>
      <c r="AW199">
        <v>3.08</v>
      </c>
      <c r="AX199">
        <v>1.1200000000000001</v>
      </c>
      <c r="AY199">
        <v>54.82</v>
      </c>
      <c r="AZ199">
        <v>5.21</v>
      </c>
      <c r="BA199">
        <v>116</v>
      </c>
      <c r="BC199">
        <v>0.81</v>
      </c>
      <c r="BD199">
        <v>0.7</v>
      </c>
      <c r="BF199">
        <v>401</v>
      </c>
    </row>
    <row r="200" spans="1:58" x14ac:dyDescent="0.25">
      <c r="A200" t="s">
        <v>364</v>
      </c>
      <c r="B200" t="s">
        <v>31</v>
      </c>
      <c r="C200" t="s">
        <v>355</v>
      </c>
      <c r="D200" t="s">
        <v>830</v>
      </c>
      <c r="E200">
        <v>93.59</v>
      </c>
      <c r="F200">
        <v>19</v>
      </c>
      <c r="G200">
        <v>0.57999999999999996</v>
      </c>
      <c r="H200">
        <v>0.12</v>
      </c>
      <c r="I200">
        <v>3.73</v>
      </c>
      <c r="J200">
        <v>1.6</v>
      </c>
      <c r="K200">
        <v>1.2</v>
      </c>
      <c r="L200">
        <v>0.4</v>
      </c>
      <c r="M200">
        <v>0.39</v>
      </c>
      <c r="N200">
        <v>0.3</v>
      </c>
      <c r="P200">
        <v>0.01</v>
      </c>
      <c r="Q200">
        <v>0.04</v>
      </c>
      <c r="R200">
        <v>0.25</v>
      </c>
      <c r="S200">
        <v>0.22</v>
      </c>
      <c r="T200">
        <v>7.0000000000000007E-2</v>
      </c>
      <c r="U200">
        <v>63.81</v>
      </c>
      <c r="V200">
        <v>23.76</v>
      </c>
      <c r="W200">
        <v>20.55</v>
      </c>
      <c r="X200">
        <v>24.02</v>
      </c>
      <c r="Y200">
        <v>13.02</v>
      </c>
      <c r="Z200">
        <v>1.24</v>
      </c>
      <c r="AA200">
        <v>141</v>
      </c>
      <c r="AB200">
        <v>0.49</v>
      </c>
      <c r="AC200">
        <v>0.28999999999999998</v>
      </c>
      <c r="AD200">
        <v>7.0000000000000007E-2</v>
      </c>
      <c r="AE200">
        <v>0.12</v>
      </c>
      <c r="AF200">
        <v>0.1</v>
      </c>
      <c r="AG200">
        <v>0.95</v>
      </c>
      <c r="AH200">
        <v>11.38</v>
      </c>
      <c r="AI200">
        <v>4.6399999999999997</v>
      </c>
      <c r="AJ200">
        <v>6.28</v>
      </c>
      <c r="AK200">
        <v>16.149999999999999</v>
      </c>
      <c r="AL200">
        <v>5.44</v>
      </c>
      <c r="AM200">
        <v>5.33</v>
      </c>
      <c r="AN200">
        <v>7.08</v>
      </c>
      <c r="AO200">
        <v>0.83</v>
      </c>
      <c r="AP200">
        <v>7.51</v>
      </c>
      <c r="AQ200">
        <v>1.53</v>
      </c>
      <c r="AR200">
        <v>5.58</v>
      </c>
      <c r="AS200">
        <v>9.3699999999999992</v>
      </c>
      <c r="AT200">
        <v>2.81</v>
      </c>
      <c r="AU200">
        <v>5.16</v>
      </c>
      <c r="AV200">
        <v>1.21</v>
      </c>
      <c r="AW200">
        <v>3.04</v>
      </c>
      <c r="AX200">
        <v>0.95</v>
      </c>
      <c r="AY200">
        <v>78</v>
      </c>
      <c r="AZ200">
        <v>13.37</v>
      </c>
      <c r="BA200">
        <v>20.63</v>
      </c>
      <c r="BC200">
        <v>0.75</v>
      </c>
      <c r="BD200">
        <v>1.18</v>
      </c>
      <c r="BF200">
        <v>1.85</v>
      </c>
    </row>
    <row r="201" spans="1:58" x14ac:dyDescent="0.25">
      <c r="A201" t="s">
        <v>364</v>
      </c>
      <c r="B201" t="s">
        <v>32</v>
      </c>
      <c r="C201" t="s">
        <v>355</v>
      </c>
      <c r="D201" t="s">
        <v>798</v>
      </c>
      <c r="E201">
        <v>84.52</v>
      </c>
      <c r="F201">
        <v>39</v>
      </c>
      <c r="G201">
        <v>3.14</v>
      </c>
      <c r="H201">
        <v>1.42</v>
      </c>
      <c r="I201">
        <v>2.97</v>
      </c>
      <c r="J201">
        <v>5.57</v>
      </c>
      <c r="K201">
        <v>4.25</v>
      </c>
      <c r="L201">
        <v>1.32</v>
      </c>
      <c r="M201">
        <v>2.39</v>
      </c>
      <c r="P201">
        <v>0.06</v>
      </c>
      <c r="Q201">
        <v>7.0000000000000007E-2</v>
      </c>
      <c r="R201">
        <v>0.89</v>
      </c>
      <c r="S201">
        <v>0.25</v>
      </c>
      <c r="T201">
        <v>0.3</v>
      </c>
      <c r="U201">
        <v>160</v>
      </c>
      <c r="V201">
        <v>44.99</v>
      </c>
      <c r="W201">
        <v>266</v>
      </c>
      <c r="X201">
        <v>55.72</v>
      </c>
      <c r="Y201">
        <v>72.12</v>
      </c>
      <c r="Z201">
        <v>15.21</v>
      </c>
      <c r="AA201">
        <v>314</v>
      </c>
      <c r="AB201">
        <v>3.74</v>
      </c>
      <c r="AC201">
        <v>1.1499999999999999</v>
      </c>
      <c r="AD201">
        <v>0.24</v>
      </c>
      <c r="AE201">
        <v>0.77</v>
      </c>
      <c r="AF201">
        <v>3.91</v>
      </c>
      <c r="AG201">
        <v>0.74</v>
      </c>
      <c r="AH201">
        <v>5.88</v>
      </c>
      <c r="AI201">
        <v>4.2699999999999996</v>
      </c>
      <c r="AJ201">
        <v>4.5599999999999996</v>
      </c>
      <c r="AK201">
        <v>13.73</v>
      </c>
      <c r="AL201">
        <v>5.16</v>
      </c>
      <c r="AM201">
        <v>4.25</v>
      </c>
      <c r="AN201">
        <v>11.7</v>
      </c>
      <c r="AO201">
        <v>1.34</v>
      </c>
      <c r="AP201">
        <v>3.3</v>
      </c>
      <c r="AQ201">
        <v>2.2000000000000002</v>
      </c>
      <c r="AR201">
        <v>2.6</v>
      </c>
      <c r="AS201">
        <v>7.17</v>
      </c>
      <c r="AT201">
        <v>3.88</v>
      </c>
      <c r="AU201">
        <v>3.76</v>
      </c>
      <c r="AV201">
        <v>4.88</v>
      </c>
      <c r="AW201">
        <v>4.21</v>
      </c>
      <c r="AX201">
        <v>0.74</v>
      </c>
      <c r="AY201">
        <v>435</v>
      </c>
      <c r="AZ201">
        <v>46.52</v>
      </c>
      <c r="BA201">
        <v>655</v>
      </c>
      <c r="BC201">
        <v>0.7</v>
      </c>
      <c r="BD201">
        <v>2.13</v>
      </c>
    </row>
    <row r="202" spans="1:58" x14ac:dyDescent="0.25">
      <c r="A202" t="s">
        <v>364</v>
      </c>
      <c r="B202" t="s">
        <v>33</v>
      </c>
      <c r="C202" t="s">
        <v>355</v>
      </c>
      <c r="D202" t="s">
        <v>799</v>
      </c>
      <c r="E202">
        <v>91.15</v>
      </c>
      <c r="F202">
        <v>23</v>
      </c>
      <c r="G202">
        <v>0.76</v>
      </c>
      <c r="H202">
        <v>0.34</v>
      </c>
      <c r="I202">
        <v>3.83</v>
      </c>
      <c r="J202">
        <v>3.01</v>
      </c>
      <c r="K202">
        <v>1.81</v>
      </c>
      <c r="L202">
        <v>1.2</v>
      </c>
      <c r="M202">
        <v>0.91</v>
      </c>
      <c r="N202">
        <v>0.41</v>
      </c>
      <c r="P202">
        <v>0.02</v>
      </c>
      <c r="Q202">
        <v>0.04</v>
      </c>
      <c r="R202">
        <v>0.16</v>
      </c>
      <c r="S202">
        <v>0.47</v>
      </c>
      <c r="T202">
        <v>0.06</v>
      </c>
      <c r="U202">
        <v>30.88</v>
      </c>
      <c r="V202">
        <v>5.15</v>
      </c>
      <c r="W202">
        <v>29.46</v>
      </c>
      <c r="X202">
        <v>20.309999999999999</v>
      </c>
      <c r="Y202">
        <v>11.07</v>
      </c>
      <c r="Z202">
        <v>0.45</v>
      </c>
      <c r="AA202">
        <v>381</v>
      </c>
      <c r="AB202">
        <v>0.77</v>
      </c>
      <c r="AC202">
        <v>2</v>
      </c>
      <c r="AD202">
        <v>0.05</v>
      </c>
      <c r="AE202">
        <v>0.54</v>
      </c>
      <c r="AF202">
        <v>0.82</v>
      </c>
      <c r="AG202">
        <v>0.75</v>
      </c>
      <c r="AH202">
        <v>13.23</v>
      </c>
      <c r="AI202">
        <v>4.28</v>
      </c>
      <c r="AJ202">
        <v>5.53</v>
      </c>
      <c r="AK202">
        <v>16.36</v>
      </c>
      <c r="AL202">
        <v>4.63</v>
      </c>
      <c r="AM202">
        <v>5.87</v>
      </c>
      <c r="AN202">
        <v>7.77</v>
      </c>
      <c r="AO202">
        <v>1.51</v>
      </c>
      <c r="AP202">
        <v>5.96</v>
      </c>
      <c r="AQ202">
        <v>1.22</v>
      </c>
      <c r="AR202">
        <v>4.0999999999999996</v>
      </c>
      <c r="AS202">
        <v>7.53</v>
      </c>
      <c r="AT202">
        <v>3.56</v>
      </c>
      <c r="AU202">
        <v>4.0599999999999996</v>
      </c>
      <c r="AV202">
        <v>2.2799999999999998</v>
      </c>
      <c r="AW202">
        <v>4.09</v>
      </c>
      <c r="AX202">
        <v>0.75</v>
      </c>
      <c r="AY202">
        <v>103</v>
      </c>
      <c r="AZ202">
        <v>14.98</v>
      </c>
      <c r="BA202">
        <v>154</v>
      </c>
      <c r="BC202">
        <v>0.53</v>
      </c>
      <c r="BD202">
        <v>0.55000000000000004</v>
      </c>
      <c r="BE202">
        <v>4.97</v>
      </c>
    </row>
    <row r="203" spans="1:58" x14ac:dyDescent="0.25">
      <c r="A203" t="s">
        <v>364</v>
      </c>
      <c r="B203" t="s">
        <v>34</v>
      </c>
      <c r="C203" t="s">
        <v>355</v>
      </c>
      <c r="D203" t="s">
        <v>800</v>
      </c>
      <c r="E203">
        <v>92.67</v>
      </c>
      <c r="F203">
        <v>19</v>
      </c>
      <c r="G203">
        <v>0.91</v>
      </c>
      <c r="H203">
        <v>0.22</v>
      </c>
      <c r="I203">
        <v>2.86</v>
      </c>
      <c r="J203">
        <v>2.33</v>
      </c>
      <c r="K203">
        <v>1.26</v>
      </c>
      <c r="L203">
        <v>1.07</v>
      </c>
      <c r="M203">
        <v>1</v>
      </c>
      <c r="N203">
        <v>0.19</v>
      </c>
      <c r="P203">
        <v>0.02</v>
      </c>
      <c r="Q203">
        <v>0.03</v>
      </c>
      <c r="R203">
        <v>0.22</v>
      </c>
      <c r="S203">
        <v>0.5</v>
      </c>
      <c r="T203">
        <v>7.0000000000000007E-2</v>
      </c>
      <c r="U203">
        <v>25.32</v>
      </c>
      <c r="V203">
        <v>5.83</v>
      </c>
      <c r="W203">
        <v>40.21</v>
      </c>
      <c r="X203">
        <v>30.73</v>
      </c>
      <c r="Y203">
        <v>19.559999999999999</v>
      </c>
      <c r="Z203">
        <v>0.6</v>
      </c>
      <c r="AA203">
        <v>414</v>
      </c>
      <c r="AB203">
        <v>0.55000000000000004</v>
      </c>
      <c r="AC203">
        <v>0.37</v>
      </c>
      <c r="AD203">
        <v>0.08</v>
      </c>
      <c r="AE203">
        <v>0.2</v>
      </c>
      <c r="AF203">
        <v>1.48</v>
      </c>
      <c r="AG203">
        <v>0.73</v>
      </c>
      <c r="AH203">
        <v>11.84</v>
      </c>
      <c r="AI203">
        <v>4.22</v>
      </c>
      <c r="AJ203">
        <v>4.9400000000000004</v>
      </c>
      <c r="AK203">
        <v>18.86</v>
      </c>
      <c r="AL203">
        <v>4.1399999999999997</v>
      </c>
      <c r="AM203">
        <v>6.69</v>
      </c>
      <c r="AN203">
        <v>7.37</v>
      </c>
      <c r="AO203">
        <v>0.8</v>
      </c>
      <c r="AP203">
        <v>5.96</v>
      </c>
      <c r="AQ203">
        <v>1.2</v>
      </c>
      <c r="AR203">
        <v>4.26</v>
      </c>
      <c r="AS203">
        <v>7.2</v>
      </c>
      <c r="AT203">
        <v>3.08</v>
      </c>
      <c r="AU203">
        <v>4.1399999999999997</v>
      </c>
      <c r="AV203">
        <v>2.37</v>
      </c>
      <c r="AW203">
        <v>3.33</v>
      </c>
      <c r="AX203">
        <v>0.73</v>
      </c>
      <c r="AY203">
        <v>67.53</v>
      </c>
      <c r="AZ203">
        <v>7.78</v>
      </c>
      <c r="BA203">
        <v>110</v>
      </c>
      <c r="BC203">
        <v>0.25</v>
      </c>
      <c r="BD203">
        <v>0.89</v>
      </c>
      <c r="BE203">
        <v>2.2999999999999998</v>
      </c>
    </row>
    <row r="204" spans="1:58" x14ac:dyDescent="0.25">
      <c r="A204" t="s">
        <v>364</v>
      </c>
      <c r="B204" t="s">
        <v>35</v>
      </c>
      <c r="C204" t="s">
        <v>355</v>
      </c>
      <c r="D204" t="s">
        <v>831</v>
      </c>
      <c r="E204">
        <v>75.44</v>
      </c>
      <c r="F204">
        <v>73</v>
      </c>
      <c r="G204">
        <v>2.69</v>
      </c>
      <c r="H204">
        <v>1.33</v>
      </c>
      <c r="I204">
        <v>11.66</v>
      </c>
      <c r="J204">
        <v>6.09</v>
      </c>
      <c r="K204">
        <v>4.47</v>
      </c>
      <c r="L204">
        <v>1.62</v>
      </c>
      <c r="M204">
        <v>2.79</v>
      </c>
      <c r="N204">
        <v>0.25</v>
      </c>
      <c r="P204">
        <v>0.15</v>
      </c>
      <c r="Q204">
        <v>7.0000000000000007E-2</v>
      </c>
      <c r="R204">
        <v>0.53</v>
      </c>
      <c r="S204">
        <v>0.94</v>
      </c>
      <c r="T204">
        <v>0.16</v>
      </c>
      <c r="U204">
        <v>45.53</v>
      </c>
      <c r="V204">
        <v>8.59</v>
      </c>
      <c r="W204">
        <v>76.510000000000005</v>
      </c>
      <c r="X204">
        <v>8.69</v>
      </c>
      <c r="Y204">
        <v>25.47</v>
      </c>
      <c r="Z204">
        <v>1.4</v>
      </c>
      <c r="AA204">
        <v>260</v>
      </c>
      <c r="AB204">
        <v>1.45</v>
      </c>
      <c r="AC204">
        <v>0.19</v>
      </c>
      <c r="AD204">
        <v>0.12</v>
      </c>
      <c r="AE204">
        <v>1.1299999999999999</v>
      </c>
      <c r="AF204">
        <v>0.22</v>
      </c>
      <c r="AG204">
        <v>0.96</v>
      </c>
      <c r="AH204">
        <v>12.4</v>
      </c>
      <c r="AI204">
        <v>4.83</v>
      </c>
      <c r="AJ204">
        <v>4.2300000000000004</v>
      </c>
      <c r="AK204">
        <v>17.2</v>
      </c>
      <c r="AL204">
        <v>4.66</v>
      </c>
      <c r="AM204">
        <v>5.84</v>
      </c>
      <c r="AN204">
        <v>6.85</v>
      </c>
      <c r="AO204">
        <v>1.27</v>
      </c>
      <c r="AP204">
        <v>4.87</v>
      </c>
      <c r="AQ204">
        <v>1.59</v>
      </c>
      <c r="AR204">
        <v>4.3499999999999996</v>
      </c>
      <c r="AS204">
        <v>8.0299999999999994</v>
      </c>
      <c r="AT204">
        <v>3.15</v>
      </c>
      <c r="AU204">
        <v>4.8499999999999996</v>
      </c>
      <c r="AV204">
        <v>2.13</v>
      </c>
      <c r="AW204">
        <v>3.36</v>
      </c>
      <c r="AX204">
        <v>0.96</v>
      </c>
      <c r="AY204">
        <v>211</v>
      </c>
      <c r="AZ204">
        <v>392</v>
      </c>
      <c r="BA204">
        <v>459</v>
      </c>
      <c r="BC204">
        <v>0.49</v>
      </c>
      <c r="BD204">
        <v>4.12</v>
      </c>
      <c r="BF204">
        <v>1.52</v>
      </c>
    </row>
    <row r="205" spans="1:58" x14ac:dyDescent="0.25">
      <c r="A205" t="s">
        <v>364</v>
      </c>
      <c r="B205" t="s">
        <v>37</v>
      </c>
      <c r="C205" t="s">
        <v>355</v>
      </c>
      <c r="D205" t="s">
        <v>833</v>
      </c>
      <c r="E205">
        <v>93.46</v>
      </c>
      <c r="F205">
        <v>17</v>
      </c>
      <c r="G205">
        <v>1.01</v>
      </c>
      <c r="H205">
        <v>0.25</v>
      </c>
      <c r="I205">
        <v>2.56</v>
      </c>
      <c r="J205">
        <v>2.2200000000000002</v>
      </c>
      <c r="K205">
        <v>1.55</v>
      </c>
      <c r="L205">
        <v>0.67</v>
      </c>
      <c r="M205">
        <v>0.51</v>
      </c>
      <c r="N205">
        <v>0.76</v>
      </c>
      <c r="P205">
        <v>0.02</v>
      </c>
      <c r="Q205">
        <v>0.01</v>
      </c>
      <c r="R205">
        <v>0.37</v>
      </c>
      <c r="S205">
        <v>0.38</v>
      </c>
      <c r="T205">
        <v>7.0000000000000007E-2</v>
      </c>
      <c r="U205">
        <v>17.34</v>
      </c>
      <c r="V205">
        <v>8.07</v>
      </c>
      <c r="W205">
        <v>25.72</v>
      </c>
      <c r="X205">
        <v>34.130000000000003</v>
      </c>
      <c r="Y205">
        <v>26.2</v>
      </c>
      <c r="Z205">
        <v>8.06</v>
      </c>
      <c r="AA205">
        <v>229</v>
      </c>
      <c r="AB205">
        <v>0.63</v>
      </c>
      <c r="AC205">
        <v>0.1</v>
      </c>
      <c r="AD205">
        <v>0.06</v>
      </c>
      <c r="AE205">
        <v>0.22</v>
      </c>
      <c r="AF205">
        <v>0.13</v>
      </c>
      <c r="AG205">
        <v>0.56999999999999995</v>
      </c>
      <c r="AH205">
        <v>7.33</v>
      </c>
      <c r="AI205">
        <v>3.93</v>
      </c>
      <c r="AJ205">
        <v>3.58</v>
      </c>
      <c r="AK205">
        <v>30.01</v>
      </c>
      <c r="AL205">
        <v>3.89</v>
      </c>
      <c r="AM205">
        <v>4.75</v>
      </c>
      <c r="AN205">
        <v>6.7</v>
      </c>
      <c r="AO205">
        <v>0.77</v>
      </c>
      <c r="AP205">
        <v>5.98</v>
      </c>
      <c r="AQ205">
        <v>0.76</v>
      </c>
      <c r="AR205">
        <v>4.34</v>
      </c>
      <c r="AS205">
        <v>6.33</v>
      </c>
      <c r="AT205">
        <v>3.09</v>
      </c>
      <c r="AU205">
        <v>1.07</v>
      </c>
      <c r="AV205">
        <v>2.02</v>
      </c>
      <c r="AW205">
        <v>3.42</v>
      </c>
      <c r="AX205">
        <v>0.56999999999999995</v>
      </c>
      <c r="AY205">
        <v>74.22</v>
      </c>
      <c r="AZ205">
        <v>7.18</v>
      </c>
      <c r="BA205">
        <v>70.599999999999994</v>
      </c>
      <c r="BC205">
        <v>0.21</v>
      </c>
      <c r="BD205">
        <v>0.67</v>
      </c>
      <c r="BF205">
        <v>4.58</v>
      </c>
    </row>
    <row r="206" spans="1:58" x14ac:dyDescent="0.25">
      <c r="A206" t="s">
        <v>364</v>
      </c>
      <c r="B206" t="s">
        <v>38</v>
      </c>
      <c r="C206" t="s">
        <v>355</v>
      </c>
      <c r="D206" t="s">
        <v>834</v>
      </c>
      <c r="E206">
        <v>92.64</v>
      </c>
      <c r="F206">
        <v>21</v>
      </c>
      <c r="G206">
        <v>0.77</v>
      </c>
      <c r="H206">
        <v>0.18</v>
      </c>
      <c r="I206">
        <v>3.93</v>
      </c>
      <c r="J206">
        <v>1.94</v>
      </c>
      <c r="K206">
        <v>1.42</v>
      </c>
      <c r="L206">
        <v>0.52</v>
      </c>
      <c r="M206">
        <v>0.55000000000000004</v>
      </c>
      <c r="N206">
        <v>0.92</v>
      </c>
      <c r="P206">
        <v>0.02</v>
      </c>
      <c r="Q206">
        <v>0.01</v>
      </c>
      <c r="R206">
        <v>0.31</v>
      </c>
      <c r="S206">
        <v>0.44</v>
      </c>
      <c r="T206">
        <v>0.08</v>
      </c>
      <c r="U206">
        <v>19.66</v>
      </c>
      <c r="V206">
        <v>4.08</v>
      </c>
      <c r="W206">
        <v>14.05</v>
      </c>
      <c r="X206">
        <v>25.13</v>
      </c>
      <c r="Y206">
        <v>16.22</v>
      </c>
      <c r="Z206">
        <v>5.99</v>
      </c>
      <c r="AA206">
        <v>149</v>
      </c>
      <c r="AB206">
        <v>0.23</v>
      </c>
      <c r="AC206">
        <v>0.06</v>
      </c>
      <c r="AD206">
        <v>0.03</v>
      </c>
      <c r="AE206">
        <v>0.15</v>
      </c>
      <c r="AF206">
        <v>0.15</v>
      </c>
      <c r="AG206">
        <v>0.2</v>
      </c>
      <c r="AH206">
        <v>6.2</v>
      </c>
      <c r="AI206">
        <v>2.61</v>
      </c>
      <c r="AJ206">
        <v>3.28</v>
      </c>
      <c r="AK206">
        <v>21.84</v>
      </c>
      <c r="AL206">
        <v>4.13</v>
      </c>
      <c r="AM206">
        <v>3.95</v>
      </c>
      <c r="AN206">
        <v>9.16</v>
      </c>
      <c r="AO206">
        <v>0.72</v>
      </c>
      <c r="AP206">
        <v>5.84</v>
      </c>
      <c r="AQ206">
        <v>0.73</v>
      </c>
      <c r="AR206">
        <v>3.82</v>
      </c>
      <c r="AS206">
        <v>6.52</v>
      </c>
      <c r="AT206">
        <v>2.85</v>
      </c>
      <c r="AU206">
        <v>2.82</v>
      </c>
      <c r="AV206">
        <v>2.14</v>
      </c>
      <c r="AW206">
        <v>3.27</v>
      </c>
      <c r="AX206">
        <v>0.2</v>
      </c>
      <c r="AY206">
        <v>64.23</v>
      </c>
      <c r="AZ206">
        <v>10.16</v>
      </c>
      <c r="BA206">
        <v>69.62</v>
      </c>
      <c r="BC206">
        <v>0.31</v>
      </c>
      <c r="BD206">
        <v>0.45</v>
      </c>
      <c r="BF206">
        <v>5.52</v>
      </c>
    </row>
    <row r="207" spans="1:58" x14ac:dyDescent="0.25">
      <c r="A207" t="s">
        <v>364</v>
      </c>
      <c r="B207" t="s">
        <v>41</v>
      </c>
      <c r="C207" t="s">
        <v>355</v>
      </c>
      <c r="D207" t="s">
        <v>837</v>
      </c>
      <c r="E207">
        <v>84.77</v>
      </c>
      <c r="F207">
        <v>47</v>
      </c>
      <c r="G207">
        <v>5.29</v>
      </c>
      <c r="H207">
        <v>0.79</v>
      </c>
      <c r="I207">
        <v>4.21</v>
      </c>
      <c r="J207">
        <v>2.59</v>
      </c>
      <c r="K207">
        <v>1.85</v>
      </c>
      <c r="L207">
        <v>0.74</v>
      </c>
      <c r="M207">
        <v>2.35</v>
      </c>
      <c r="P207">
        <v>0.03</v>
      </c>
      <c r="Q207">
        <v>0.05</v>
      </c>
      <c r="R207">
        <v>1.25</v>
      </c>
      <c r="S207">
        <v>0.21</v>
      </c>
      <c r="T207">
        <v>0.19</v>
      </c>
      <c r="U207">
        <v>57.85</v>
      </c>
      <c r="V207">
        <v>46.55</v>
      </c>
      <c r="W207">
        <v>223</v>
      </c>
      <c r="X207">
        <v>38.53</v>
      </c>
      <c r="Y207">
        <v>79.86</v>
      </c>
      <c r="Z207">
        <v>25.31</v>
      </c>
      <c r="AA207">
        <v>380</v>
      </c>
      <c r="AB207">
        <v>5.36</v>
      </c>
      <c r="AC207">
        <v>1.19</v>
      </c>
      <c r="AD207">
        <v>0.21</v>
      </c>
      <c r="AE207">
        <v>0.78</v>
      </c>
      <c r="AF207">
        <v>11.96</v>
      </c>
      <c r="AG207">
        <v>1.54</v>
      </c>
      <c r="AH207">
        <v>14.02</v>
      </c>
      <c r="AI207">
        <v>5.04</v>
      </c>
      <c r="AJ207">
        <v>2.4300000000000002</v>
      </c>
      <c r="AK207">
        <v>12.49</v>
      </c>
      <c r="AL207">
        <v>6.42</v>
      </c>
      <c r="AM207">
        <v>5.1100000000000003</v>
      </c>
      <c r="AN207">
        <v>7.97</v>
      </c>
      <c r="AO207">
        <v>0.44</v>
      </c>
      <c r="AP207">
        <v>7.84</v>
      </c>
      <c r="AQ207">
        <v>2.4500000000000002</v>
      </c>
      <c r="AR207">
        <v>5.09</v>
      </c>
      <c r="AS207">
        <v>9.42</v>
      </c>
      <c r="AT207">
        <v>3.16</v>
      </c>
      <c r="AU207">
        <v>4.16</v>
      </c>
      <c r="AV207">
        <v>1.28</v>
      </c>
      <c r="AW207">
        <v>4.8</v>
      </c>
      <c r="AX207">
        <v>1.54</v>
      </c>
      <c r="AY207">
        <v>23.9</v>
      </c>
      <c r="AZ207">
        <v>8.1</v>
      </c>
      <c r="BA207">
        <v>59.26</v>
      </c>
    </row>
    <row r="208" spans="1:58" x14ac:dyDescent="0.25">
      <c r="A208" t="s">
        <v>364</v>
      </c>
      <c r="B208" t="s">
        <v>42</v>
      </c>
      <c r="C208" t="s">
        <v>355</v>
      </c>
      <c r="D208" t="s">
        <v>838</v>
      </c>
      <c r="E208">
        <v>86.36</v>
      </c>
      <c r="F208">
        <v>31</v>
      </c>
      <c r="G208">
        <v>2.33</v>
      </c>
      <c r="H208">
        <v>0.34</v>
      </c>
      <c r="I208">
        <v>4.58</v>
      </c>
      <c r="J208">
        <v>5.39</v>
      </c>
      <c r="K208">
        <v>5.1100000000000003</v>
      </c>
      <c r="L208">
        <v>0.28999999999999998</v>
      </c>
      <c r="M208">
        <v>1.01</v>
      </c>
      <c r="N208">
        <v>16.760000000000002</v>
      </c>
      <c r="Q208">
        <v>0.01</v>
      </c>
      <c r="R208">
        <v>0.38</v>
      </c>
      <c r="S208">
        <v>0.47</v>
      </c>
      <c r="T208">
        <v>0.11</v>
      </c>
      <c r="U208">
        <v>17.84</v>
      </c>
      <c r="V208">
        <v>4.92</v>
      </c>
      <c r="W208">
        <v>11.3</v>
      </c>
      <c r="X208">
        <v>57.62</v>
      </c>
      <c r="Y208">
        <v>23.75</v>
      </c>
      <c r="Z208">
        <v>13.77</v>
      </c>
      <c r="AA208">
        <v>491</v>
      </c>
      <c r="AB208">
        <v>1.39</v>
      </c>
      <c r="AC208">
        <v>0.3</v>
      </c>
      <c r="AD208">
        <v>0.63</v>
      </c>
      <c r="AE208">
        <v>0.6</v>
      </c>
      <c r="AF208">
        <v>16.559999999999999</v>
      </c>
      <c r="AG208">
        <v>0.52</v>
      </c>
      <c r="AH208">
        <v>9.39</v>
      </c>
      <c r="AI208">
        <v>4.84</v>
      </c>
      <c r="AJ208">
        <v>5.97</v>
      </c>
      <c r="AK208">
        <v>14.53</v>
      </c>
      <c r="AL208">
        <v>4.54</v>
      </c>
      <c r="AM208">
        <v>5.63</v>
      </c>
      <c r="AN208">
        <v>6.49</v>
      </c>
      <c r="AO208">
        <v>0.89</v>
      </c>
      <c r="AP208">
        <v>5.57</v>
      </c>
      <c r="AQ208">
        <v>1.1000000000000001</v>
      </c>
      <c r="AR208">
        <v>4.67</v>
      </c>
      <c r="AS208">
        <v>7.72</v>
      </c>
      <c r="AT208">
        <v>4.01</v>
      </c>
      <c r="AU208">
        <v>5.16</v>
      </c>
      <c r="AV208">
        <v>2.67</v>
      </c>
      <c r="AW208">
        <v>5.74</v>
      </c>
      <c r="AX208">
        <v>6.32</v>
      </c>
      <c r="AY208">
        <v>144</v>
      </c>
      <c r="AZ208">
        <v>34.96</v>
      </c>
      <c r="BA208">
        <v>88.64</v>
      </c>
      <c r="BC208">
        <v>1.22</v>
      </c>
      <c r="BD208">
        <v>2.98</v>
      </c>
      <c r="BF208">
        <v>100</v>
      </c>
    </row>
    <row r="209" spans="1:58" x14ac:dyDescent="0.25">
      <c r="A209" t="s">
        <v>364</v>
      </c>
      <c r="B209" t="s">
        <v>44</v>
      </c>
      <c r="C209" t="s">
        <v>355</v>
      </c>
      <c r="D209" t="s">
        <v>499</v>
      </c>
      <c r="E209">
        <v>91.51</v>
      </c>
      <c r="F209">
        <v>20</v>
      </c>
      <c r="G209">
        <v>2.42</v>
      </c>
      <c r="H209">
        <v>0.21</v>
      </c>
      <c r="I209">
        <v>2</v>
      </c>
      <c r="J209">
        <v>1.84</v>
      </c>
      <c r="K209">
        <v>1.57</v>
      </c>
      <c r="L209">
        <v>0.27</v>
      </c>
      <c r="M209">
        <v>2.04</v>
      </c>
      <c r="N209">
        <v>1149</v>
      </c>
      <c r="Q209">
        <v>0.03</v>
      </c>
      <c r="R209">
        <v>1</v>
      </c>
      <c r="S209">
        <v>0.63</v>
      </c>
      <c r="T209">
        <v>0.13</v>
      </c>
      <c r="U209">
        <v>58.54</v>
      </c>
      <c r="V209">
        <v>9.89</v>
      </c>
      <c r="W209">
        <v>59.57</v>
      </c>
      <c r="X209">
        <v>38.17</v>
      </c>
      <c r="Y209">
        <v>42.93</v>
      </c>
      <c r="Z209">
        <v>53.5</v>
      </c>
      <c r="AA209">
        <v>252</v>
      </c>
      <c r="AB209">
        <v>0.13</v>
      </c>
      <c r="AC209">
        <v>0.97</v>
      </c>
      <c r="AD209">
        <v>0.27</v>
      </c>
      <c r="AE209">
        <v>0.75</v>
      </c>
      <c r="AF209">
        <v>21.57</v>
      </c>
      <c r="AG209">
        <v>0.75</v>
      </c>
      <c r="AH209">
        <v>9.19</v>
      </c>
      <c r="AI209">
        <v>4.2300000000000004</v>
      </c>
      <c r="AJ209">
        <v>4.6399999999999997</v>
      </c>
      <c r="AK209">
        <v>13.67</v>
      </c>
      <c r="AL209">
        <v>5.58</v>
      </c>
      <c r="AM209">
        <v>4.67</v>
      </c>
      <c r="AN209">
        <v>5.81</v>
      </c>
      <c r="AO209">
        <v>1</v>
      </c>
      <c r="AP209">
        <v>4.6100000000000003</v>
      </c>
      <c r="AQ209">
        <v>1.55</v>
      </c>
      <c r="AR209">
        <v>4.92</v>
      </c>
      <c r="AS209">
        <v>8.6999999999999993</v>
      </c>
      <c r="AT209">
        <v>3.93</v>
      </c>
      <c r="AU209">
        <v>5.47</v>
      </c>
      <c r="AV209">
        <v>2.46</v>
      </c>
      <c r="AW209">
        <v>5.14</v>
      </c>
      <c r="AX209">
        <v>6.27</v>
      </c>
      <c r="AY209">
        <v>48.12</v>
      </c>
      <c r="AZ209">
        <v>10.45</v>
      </c>
      <c r="BA209">
        <v>109</v>
      </c>
      <c r="BC209">
        <v>0.09</v>
      </c>
      <c r="BD209">
        <v>1.75</v>
      </c>
      <c r="BF209">
        <v>6894</v>
      </c>
    </row>
    <row r="210" spans="1:58" x14ac:dyDescent="0.25">
      <c r="A210" t="s">
        <v>364</v>
      </c>
      <c r="B210" t="s">
        <v>308</v>
      </c>
      <c r="C210" t="s">
        <v>355</v>
      </c>
      <c r="D210" t="s">
        <v>801</v>
      </c>
      <c r="E210">
        <v>92.86</v>
      </c>
      <c r="F210">
        <v>16</v>
      </c>
      <c r="G210">
        <v>1.69</v>
      </c>
      <c r="H210">
        <v>0.34</v>
      </c>
      <c r="I210">
        <v>1.53</v>
      </c>
      <c r="J210">
        <v>2.8</v>
      </c>
      <c r="K210">
        <v>2.4</v>
      </c>
      <c r="L210">
        <v>0.41</v>
      </c>
      <c r="M210">
        <v>0.77</v>
      </c>
      <c r="P210">
        <v>0.04</v>
      </c>
      <c r="Q210">
        <v>0.05</v>
      </c>
      <c r="R210">
        <v>0.35</v>
      </c>
      <c r="S210">
        <v>0.39</v>
      </c>
      <c r="T210">
        <v>0.19</v>
      </c>
      <c r="U210">
        <v>12.7</v>
      </c>
      <c r="V210">
        <v>77.64</v>
      </c>
      <c r="W210">
        <v>40.090000000000003</v>
      </c>
      <c r="X210">
        <v>43.16</v>
      </c>
      <c r="Y210">
        <v>19.350000000000001</v>
      </c>
      <c r="Z210">
        <v>27.46</v>
      </c>
      <c r="AA210">
        <v>367</v>
      </c>
      <c r="AB210">
        <v>0.23</v>
      </c>
      <c r="AC210">
        <v>0.12</v>
      </c>
      <c r="AD210">
        <v>0.04</v>
      </c>
      <c r="AE210">
        <v>0.18</v>
      </c>
      <c r="AG210">
        <v>0.82</v>
      </c>
      <c r="AH210">
        <v>9.9700000000000006</v>
      </c>
      <c r="AI210">
        <v>3.63</v>
      </c>
      <c r="AJ210">
        <v>4.3600000000000003</v>
      </c>
      <c r="AK210">
        <v>35.619999999999997</v>
      </c>
      <c r="AL210">
        <v>3.54</v>
      </c>
      <c r="AM210">
        <v>3.39</v>
      </c>
      <c r="AN210">
        <v>6.63</v>
      </c>
      <c r="AO210">
        <v>0.68</v>
      </c>
      <c r="AP210">
        <v>5.09</v>
      </c>
      <c r="AQ210">
        <v>0.92</v>
      </c>
      <c r="AR210">
        <v>3.26</v>
      </c>
      <c r="AS210">
        <v>4.17</v>
      </c>
      <c r="AT210">
        <v>2.13</v>
      </c>
      <c r="AU210">
        <v>1.85</v>
      </c>
      <c r="AV210">
        <v>0.08</v>
      </c>
      <c r="AW210">
        <v>3.52</v>
      </c>
      <c r="AX210">
        <v>0.82</v>
      </c>
      <c r="AY210">
        <v>97.12</v>
      </c>
      <c r="AZ210">
        <v>30.77</v>
      </c>
      <c r="BA210">
        <v>128</v>
      </c>
      <c r="BC210">
        <v>0.42</v>
      </c>
      <c r="BD210">
        <v>0.5</v>
      </c>
    </row>
    <row r="211" spans="1:58" x14ac:dyDescent="0.25">
      <c r="A211" t="s">
        <v>364</v>
      </c>
      <c r="B211" t="s">
        <v>303</v>
      </c>
      <c r="C211" t="s">
        <v>355</v>
      </c>
      <c r="D211" t="s">
        <v>796</v>
      </c>
      <c r="E211">
        <v>86.2</v>
      </c>
      <c r="F211">
        <v>42</v>
      </c>
      <c r="G211">
        <v>3.12</v>
      </c>
      <c r="H211">
        <v>0.35</v>
      </c>
      <c r="I211">
        <v>6.16</v>
      </c>
      <c r="J211">
        <v>2.76</v>
      </c>
      <c r="K211">
        <v>1.81</v>
      </c>
      <c r="L211">
        <v>0.95</v>
      </c>
      <c r="M211">
        <v>1.42</v>
      </c>
      <c r="N211">
        <v>1</v>
      </c>
      <c r="P211">
        <v>0.06</v>
      </c>
      <c r="Q211">
        <v>0.15</v>
      </c>
      <c r="R211">
        <v>0.86</v>
      </c>
      <c r="S211">
        <v>0.27</v>
      </c>
      <c r="T211">
        <v>0.28000000000000003</v>
      </c>
      <c r="U211">
        <v>41.55</v>
      </c>
      <c r="V211">
        <v>71.11</v>
      </c>
      <c r="W211">
        <v>368</v>
      </c>
      <c r="X211">
        <v>55.02</v>
      </c>
      <c r="Y211">
        <v>66</v>
      </c>
      <c r="Z211">
        <v>26.8</v>
      </c>
      <c r="AA211">
        <v>309</v>
      </c>
      <c r="AB211">
        <v>2.5099999999999998</v>
      </c>
      <c r="AC211">
        <v>0.7</v>
      </c>
      <c r="AD211">
        <v>7.0000000000000007E-2</v>
      </c>
      <c r="AE211">
        <v>0.42</v>
      </c>
      <c r="AF211">
        <v>10.5</v>
      </c>
      <c r="AG211">
        <v>1.05</v>
      </c>
      <c r="AH211">
        <v>10.33</v>
      </c>
      <c r="AI211">
        <v>4.45</v>
      </c>
      <c r="AJ211">
        <v>4.4800000000000004</v>
      </c>
      <c r="AK211">
        <v>18</v>
      </c>
      <c r="AL211">
        <v>5.39</v>
      </c>
      <c r="AM211">
        <v>5.31</v>
      </c>
      <c r="AN211">
        <v>6.76</v>
      </c>
      <c r="AO211">
        <v>0.95</v>
      </c>
      <c r="AP211">
        <v>5.7</v>
      </c>
      <c r="AQ211">
        <v>1.37</v>
      </c>
      <c r="AR211">
        <v>4.3099999999999996</v>
      </c>
      <c r="AS211">
        <v>7.2</v>
      </c>
      <c r="AT211">
        <v>2.9</v>
      </c>
      <c r="AU211">
        <v>4.93</v>
      </c>
      <c r="AV211">
        <v>1.96</v>
      </c>
      <c r="AW211">
        <v>4.2699999999999996</v>
      </c>
      <c r="AX211">
        <v>1.05</v>
      </c>
      <c r="AY211">
        <v>107</v>
      </c>
      <c r="AZ211">
        <v>18.91</v>
      </c>
      <c r="BA211">
        <v>154</v>
      </c>
      <c r="BC211">
        <v>0.1</v>
      </c>
      <c r="BD211">
        <v>4.47</v>
      </c>
      <c r="BE211">
        <v>12.04</v>
      </c>
    </row>
    <row r="212" spans="1:58" x14ac:dyDescent="0.25">
      <c r="A212" t="s">
        <v>364</v>
      </c>
      <c r="B212" t="s">
        <v>305</v>
      </c>
      <c r="C212" t="s">
        <v>355</v>
      </c>
      <c r="D212" t="s">
        <v>844</v>
      </c>
      <c r="E212">
        <v>87.69</v>
      </c>
      <c r="F212">
        <v>33</v>
      </c>
      <c r="G212">
        <v>4.0999999999999996</v>
      </c>
      <c r="H212">
        <v>0.83</v>
      </c>
      <c r="I212">
        <v>2.0299999999999998</v>
      </c>
      <c r="J212">
        <v>4.05</v>
      </c>
      <c r="K212">
        <v>3.2</v>
      </c>
      <c r="L212">
        <v>0.86</v>
      </c>
      <c r="M212">
        <v>1.31</v>
      </c>
      <c r="N212">
        <v>300</v>
      </c>
      <c r="Q212">
        <v>0.02</v>
      </c>
      <c r="R212">
        <v>0.1</v>
      </c>
      <c r="S212">
        <v>0.54</v>
      </c>
      <c r="T212">
        <v>0.17</v>
      </c>
      <c r="U212">
        <v>56.76</v>
      </c>
      <c r="V212">
        <v>5.56</v>
      </c>
      <c r="W212">
        <v>19.5</v>
      </c>
      <c r="X212">
        <v>12.77</v>
      </c>
      <c r="Y212">
        <v>20.32</v>
      </c>
      <c r="Z212">
        <v>13.87</v>
      </c>
      <c r="AA212">
        <v>120</v>
      </c>
      <c r="AB212">
        <v>0.25</v>
      </c>
      <c r="AD212">
        <v>0.02</v>
      </c>
      <c r="AE212">
        <v>0.3</v>
      </c>
      <c r="AF212">
        <v>6.68</v>
      </c>
      <c r="AG212">
        <v>0.69</v>
      </c>
      <c r="AH212">
        <v>12.54</v>
      </c>
      <c r="AI212">
        <v>4.1900000000000004</v>
      </c>
      <c r="AJ212">
        <v>4.46</v>
      </c>
      <c r="AK212">
        <v>11.05</v>
      </c>
      <c r="AL212">
        <v>5.08</v>
      </c>
      <c r="AM212">
        <v>4.5599999999999996</v>
      </c>
      <c r="AN212">
        <v>5.62</v>
      </c>
      <c r="AO212">
        <v>0.94</v>
      </c>
      <c r="AP212">
        <v>4.8499999999999996</v>
      </c>
      <c r="AQ212">
        <v>1.39</v>
      </c>
      <c r="AR212">
        <v>4.17</v>
      </c>
      <c r="AS212">
        <v>7.28</v>
      </c>
      <c r="AT212">
        <v>4.1100000000000003</v>
      </c>
      <c r="AU212">
        <v>4.9000000000000004</v>
      </c>
      <c r="AV212">
        <v>2.5</v>
      </c>
      <c r="AW212">
        <v>5.86</v>
      </c>
      <c r="AX212">
        <v>5.72</v>
      </c>
      <c r="AY212">
        <v>269</v>
      </c>
      <c r="AZ212">
        <v>27.64</v>
      </c>
      <c r="BA212">
        <v>368</v>
      </c>
      <c r="BC212">
        <v>0.02</v>
      </c>
      <c r="BD212">
        <v>1.82</v>
      </c>
      <c r="BF212">
        <v>1805</v>
      </c>
    </row>
    <row r="213" spans="1:58" x14ac:dyDescent="0.25">
      <c r="A213" t="s">
        <v>364</v>
      </c>
      <c r="B213" t="s">
        <v>306</v>
      </c>
      <c r="C213" t="s">
        <v>355</v>
      </c>
      <c r="D213" t="s">
        <v>846</v>
      </c>
      <c r="E213">
        <v>93.11</v>
      </c>
      <c r="F213">
        <v>19</v>
      </c>
      <c r="G213">
        <v>1.05</v>
      </c>
      <c r="H213">
        <v>0.24</v>
      </c>
      <c r="I213">
        <v>3.08</v>
      </c>
      <c r="J213">
        <v>1.52</v>
      </c>
      <c r="K213">
        <v>1.37</v>
      </c>
      <c r="L213">
        <v>0.15</v>
      </c>
      <c r="M213">
        <v>1.01</v>
      </c>
      <c r="P213">
        <v>0.04</v>
      </c>
      <c r="Q213">
        <v>0.1</v>
      </c>
      <c r="R213">
        <v>0.18</v>
      </c>
      <c r="S213">
        <v>0.12</v>
      </c>
      <c r="T213">
        <v>0.06</v>
      </c>
      <c r="U213">
        <v>37.479999999999997</v>
      </c>
      <c r="V213">
        <v>11.64</v>
      </c>
      <c r="W213">
        <v>58.23</v>
      </c>
      <c r="X213">
        <v>31.24</v>
      </c>
      <c r="Y213">
        <v>36.89</v>
      </c>
      <c r="Z213">
        <v>18.39</v>
      </c>
      <c r="AA213">
        <v>228</v>
      </c>
      <c r="AB213">
        <v>2.0699999999999998</v>
      </c>
      <c r="AC213">
        <v>0.2</v>
      </c>
      <c r="AD213">
        <v>0.08</v>
      </c>
      <c r="AE213">
        <v>0.27</v>
      </c>
      <c r="AF213">
        <v>4.2300000000000004</v>
      </c>
      <c r="AG213">
        <v>0.89</v>
      </c>
      <c r="AH213">
        <v>12.84</v>
      </c>
      <c r="AI213">
        <v>4.03</v>
      </c>
      <c r="AJ213">
        <v>3.63</v>
      </c>
      <c r="AK213">
        <v>20.149999999999999</v>
      </c>
      <c r="AL213">
        <v>4.0599999999999996</v>
      </c>
      <c r="AM213">
        <v>5.8</v>
      </c>
      <c r="AN213">
        <v>6.63</v>
      </c>
      <c r="AO213">
        <v>0.79</v>
      </c>
      <c r="AP213">
        <v>4.93</v>
      </c>
      <c r="AQ213">
        <v>0.89</v>
      </c>
      <c r="AR213">
        <v>2.4700000000000002</v>
      </c>
      <c r="AS213">
        <v>5.75</v>
      </c>
      <c r="AT213">
        <v>2.4300000000000002</v>
      </c>
      <c r="AU213">
        <v>2.42</v>
      </c>
      <c r="AV213">
        <v>1.64</v>
      </c>
      <c r="AW213">
        <v>4.8</v>
      </c>
      <c r="AX213">
        <v>0.89</v>
      </c>
      <c r="AY213">
        <v>103</v>
      </c>
      <c r="AZ213">
        <v>19.03</v>
      </c>
      <c r="BA213">
        <v>182</v>
      </c>
      <c r="BC213">
        <v>0.18</v>
      </c>
      <c r="BD213">
        <v>1.62</v>
      </c>
    </row>
    <row r="214" spans="1:58" x14ac:dyDescent="0.25">
      <c r="A214" t="s">
        <v>364</v>
      </c>
      <c r="B214" t="s">
        <v>50</v>
      </c>
      <c r="C214" t="s">
        <v>355</v>
      </c>
      <c r="D214" t="s">
        <v>710</v>
      </c>
      <c r="E214">
        <v>93.56</v>
      </c>
      <c r="F214">
        <v>16</v>
      </c>
      <c r="G214">
        <v>1.41</v>
      </c>
      <c r="H214">
        <v>0.25</v>
      </c>
      <c r="I214">
        <v>1.78</v>
      </c>
      <c r="J214">
        <v>1.91</v>
      </c>
      <c r="K214">
        <v>1.44</v>
      </c>
      <c r="L214">
        <v>0.47</v>
      </c>
      <c r="M214">
        <v>1.1000000000000001</v>
      </c>
      <c r="N214">
        <v>205</v>
      </c>
      <c r="P214">
        <v>0.02</v>
      </c>
      <c r="Q214">
        <v>0.22</v>
      </c>
      <c r="R214">
        <v>0.66</v>
      </c>
      <c r="S214">
        <v>0.31</v>
      </c>
      <c r="T214">
        <v>0.96</v>
      </c>
      <c r="U214">
        <v>98.5</v>
      </c>
      <c r="V214">
        <v>55.6</v>
      </c>
      <c r="W214">
        <v>150</v>
      </c>
      <c r="X214">
        <v>25.95</v>
      </c>
      <c r="Y214">
        <v>45.28</v>
      </c>
      <c r="Z214">
        <v>33.729999999999997</v>
      </c>
      <c r="AA214">
        <v>250</v>
      </c>
      <c r="AB214">
        <v>3.78</v>
      </c>
      <c r="AC214">
        <v>0.36</v>
      </c>
      <c r="AD214">
        <v>0.06</v>
      </c>
      <c r="AE214">
        <v>0.16</v>
      </c>
      <c r="AF214">
        <v>0.79</v>
      </c>
      <c r="AG214">
        <v>1.23</v>
      </c>
      <c r="AH214">
        <v>9.58</v>
      </c>
      <c r="AI214">
        <v>5.03</v>
      </c>
      <c r="AJ214">
        <v>4.6100000000000003</v>
      </c>
      <c r="AK214">
        <v>12.86</v>
      </c>
      <c r="AL214">
        <v>4.76</v>
      </c>
      <c r="AM214">
        <v>4.87</v>
      </c>
      <c r="AN214">
        <v>5.86</v>
      </c>
      <c r="AO214">
        <v>1.1200000000000001</v>
      </c>
      <c r="AP214">
        <v>5.67</v>
      </c>
      <c r="AQ214">
        <v>1.96</v>
      </c>
      <c r="AR214">
        <v>3.78</v>
      </c>
      <c r="AS214">
        <v>7.98</v>
      </c>
      <c r="AT214">
        <v>3.48</v>
      </c>
      <c r="AU214">
        <v>5.89</v>
      </c>
      <c r="AV214">
        <v>2.48</v>
      </c>
      <c r="AW214">
        <v>6.26</v>
      </c>
      <c r="AX214">
        <v>1.23</v>
      </c>
      <c r="AY214">
        <v>94.01</v>
      </c>
      <c r="AZ214">
        <v>23.03</v>
      </c>
      <c r="BA214">
        <v>138</v>
      </c>
      <c r="BC214">
        <v>0.52</v>
      </c>
      <c r="BD214">
        <v>1.1000000000000001</v>
      </c>
      <c r="BE214">
        <v>2450</v>
      </c>
    </row>
    <row r="215" spans="1:58" x14ac:dyDescent="0.25">
      <c r="A215" t="s">
        <v>364</v>
      </c>
      <c r="B215" t="s">
        <v>52</v>
      </c>
      <c r="C215" t="s">
        <v>355</v>
      </c>
      <c r="D215" t="s">
        <v>498</v>
      </c>
      <c r="E215">
        <v>77.760000000000005</v>
      </c>
      <c r="F215">
        <v>72</v>
      </c>
      <c r="G215">
        <v>5.55</v>
      </c>
      <c r="H215">
        <v>1.1399999999999999</v>
      </c>
      <c r="I215">
        <v>9.43</v>
      </c>
      <c r="J215">
        <v>3.87</v>
      </c>
      <c r="K215">
        <v>2.79</v>
      </c>
      <c r="L215">
        <v>1.0900000000000001</v>
      </c>
      <c r="M215">
        <v>2.25</v>
      </c>
      <c r="N215">
        <v>226</v>
      </c>
      <c r="P215">
        <v>0.19</v>
      </c>
      <c r="Q215">
        <v>0.1</v>
      </c>
      <c r="R215">
        <v>0.36</v>
      </c>
      <c r="S215">
        <v>0.2</v>
      </c>
      <c r="T215">
        <v>0.19</v>
      </c>
      <c r="U215">
        <v>197</v>
      </c>
      <c r="V215">
        <v>133</v>
      </c>
      <c r="W215">
        <v>288</v>
      </c>
      <c r="X215">
        <v>78.56</v>
      </c>
      <c r="Y215">
        <v>49.18</v>
      </c>
      <c r="Z215">
        <v>53.08</v>
      </c>
      <c r="AA215">
        <v>466</v>
      </c>
      <c r="AB215">
        <v>5.51</v>
      </c>
      <c r="AC215">
        <v>0.91</v>
      </c>
      <c r="AD215">
        <v>0.19</v>
      </c>
      <c r="AE215">
        <v>1.29</v>
      </c>
      <c r="AF215">
        <v>10.24</v>
      </c>
      <c r="AG215">
        <v>1.68</v>
      </c>
      <c r="AH215">
        <v>11.18</v>
      </c>
      <c r="AI215">
        <v>4.91</v>
      </c>
      <c r="AJ215">
        <v>4.5599999999999996</v>
      </c>
      <c r="AK215">
        <v>12.86</v>
      </c>
      <c r="AL215">
        <v>4.63</v>
      </c>
      <c r="AM215">
        <v>5.0599999999999996</v>
      </c>
      <c r="AN215">
        <v>7.18</v>
      </c>
      <c r="AO215">
        <v>0.87</v>
      </c>
      <c r="AP215">
        <v>6.19</v>
      </c>
      <c r="AQ215">
        <v>1.32</v>
      </c>
      <c r="AR215">
        <v>4.78</v>
      </c>
      <c r="AS215">
        <v>7.82</v>
      </c>
      <c r="AT215">
        <v>3</v>
      </c>
      <c r="AU215">
        <v>5.31</v>
      </c>
      <c r="AV215">
        <v>1.76</v>
      </c>
      <c r="AW215">
        <v>5.75</v>
      </c>
      <c r="AX215">
        <v>1.68</v>
      </c>
      <c r="AY215">
        <v>62.96</v>
      </c>
      <c r="AZ215">
        <v>32.94</v>
      </c>
      <c r="BA215">
        <v>476</v>
      </c>
      <c r="BC215">
        <v>0.69</v>
      </c>
      <c r="BD215">
        <v>6.36</v>
      </c>
      <c r="BE215">
        <v>2710</v>
      </c>
    </row>
    <row r="216" spans="1:58" x14ac:dyDescent="0.25">
      <c r="A216" t="s">
        <v>364</v>
      </c>
      <c r="B216" t="s">
        <v>55</v>
      </c>
      <c r="C216" t="s">
        <v>355</v>
      </c>
      <c r="D216" t="s">
        <v>714</v>
      </c>
      <c r="E216">
        <v>89.23</v>
      </c>
      <c r="F216">
        <v>34</v>
      </c>
      <c r="G216">
        <v>1.1299999999999999</v>
      </c>
      <c r="H216">
        <v>0.69</v>
      </c>
      <c r="I216">
        <v>5.53</v>
      </c>
      <c r="J216">
        <v>2.34</v>
      </c>
      <c r="K216">
        <v>1.51</v>
      </c>
      <c r="L216">
        <v>0.84</v>
      </c>
      <c r="M216">
        <v>1.1000000000000001</v>
      </c>
      <c r="N216">
        <v>7.98</v>
      </c>
      <c r="Q216">
        <v>0.01</v>
      </c>
      <c r="R216">
        <v>1.1499999999999999</v>
      </c>
      <c r="S216">
        <v>0.38</v>
      </c>
      <c r="T216">
        <v>0.04</v>
      </c>
      <c r="U216">
        <v>24.29</v>
      </c>
      <c r="V216">
        <v>20.87</v>
      </c>
      <c r="W216">
        <v>154</v>
      </c>
      <c r="X216">
        <v>28.95</v>
      </c>
      <c r="Y216">
        <v>88.22</v>
      </c>
      <c r="Z216">
        <v>2.46</v>
      </c>
      <c r="AA216">
        <v>235</v>
      </c>
      <c r="AB216">
        <v>1.3</v>
      </c>
      <c r="AC216">
        <v>53.52</v>
      </c>
      <c r="AD216">
        <v>0.15</v>
      </c>
      <c r="AE216">
        <v>0.75</v>
      </c>
      <c r="AF216">
        <v>5.35</v>
      </c>
      <c r="AG216">
        <v>0.65</v>
      </c>
      <c r="AH216">
        <v>9.82</v>
      </c>
      <c r="AI216">
        <v>3.97</v>
      </c>
      <c r="AJ216">
        <v>4.87</v>
      </c>
      <c r="AK216">
        <v>13.58</v>
      </c>
      <c r="AL216">
        <v>4.1900000000000004</v>
      </c>
      <c r="AM216">
        <v>5.42</v>
      </c>
      <c r="AN216">
        <v>6.04</v>
      </c>
      <c r="AO216">
        <v>0.89</v>
      </c>
      <c r="AP216">
        <v>5.54</v>
      </c>
      <c r="AQ216">
        <v>0.79</v>
      </c>
      <c r="AR216">
        <v>4.8099999999999996</v>
      </c>
      <c r="AS216">
        <v>7.84</v>
      </c>
      <c r="AT216">
        <v>5.94</v>
      </c>
      <c r="AU216">
        <v>6.14</v>
      </c>
      <c r="AV216">
        <v>2.72</v>
      </c>
      <c r="AW216">
        <v>4.97</v>
      </c>
      <c r="AX216">
        <v>5.42</v>
      </c>
      <c r="AY216">
        <v>253</v>
      </c>
      <c r="AZ216">
        <v>52.86</v>
      </c>
      <c r="BA216">
        <v>123</v>
      </c>
      <c r="BC216">
        <v>0.03</v>
      </c>
      <c r="BD216">
        <v>4.54</v>
      </c>
      <c r="BF216">
        <v>47.87</v>
      </c>
    </row>
    <row r="217" spans="1:58" x14ac:dyDescent="0.25">
      <c r="A217" t="s">
        <v>364</v>
      </c>
      <c r="B217" t="s">
        <v>57</v>
      </c>
      <c r="C217" t="s">
        <v>355</v>
      </c>
      <c r="D217" t="s">
        <v>716</v>
      </c>
      <c r="E217">
        <v>75.98</v>
      </c>
      <c r="F217">
        <v>79</v>
      </c>
      <c r="G217">
        <v>0.99</v>
      </c>
      <c r="H217">
        <v>0.22</v>
      </c>
      <c r="I217">
        <v>17.71</v>
      </c>
      <c r="J217">
        <v>3.84</v>
      </c>
      <c r="K217">
        <v>2.95</v>
      </c>
      <c r="L217">
        <v>0.89</v>
      </c>
      <c r="M217">
        <v>1.26</v>
      </c>
      <c r="N217">
        <v>0.36</v>
      </c>
      <c r="P217">
        <v>0.01</v>
      </c>
      <c r="Q217">
        <v>0.05</v>
      </c>
      <c r="R217">
        <v>0.34</v>
      </c>
      <c r="S217">
        <v>0.26</v>
      </c>
      <c r="T217">
        <v>0.1</v>
      </c>
      <c r="U217">
        <v>19.12</v>
      </c>
      <c r="V217">
        <v>24.48</v>
      </c>
      <c r="W217">
        <v>16.61</v>
      </c>
      <c r="X217">
        <v>35.81</v>
      </c>
      <c r="Y217">
        <v>40.76</v>
      </c>
      <c r="Z217">
        <v>18.37</v>
      </c>
      <c r="AA217">
        <v>417</v>
      </c>
      <c r="AB217">
        <v>0.28000000000000003</v>
      </c>
      <c r="AC217">
        <v>0.28999999999999998</v>
      </c>
      <c r="AD217">
        <v>0.1</v>
      </c>
      <c r="AE217">
        <v>0.19</v>
      </c>
      <c r="AF217">
        <v>0.26</v>
      </c>
      <c r="AG217">
        <v>0.47</v>
      </c>
      <c r="AH217">
        <v>15</v>
      </c>
      <c r="AI217">
        <v>3.16</v>
      </c>
      <c r="AJ217">
        <v>4.38</v>
      </c>
      <c r="AK217">
        <v>23.29</v>
      </c>
      <c r="AL217">
        <v>3.22</v>
      </c>
      <c r="AM217">
        <v>3.59</v>
      </c>
      <c r="AN217">
        <v>4.66</v>
      </c>
      <c r="AO217">
        <v>0.74</v>
      </c>
      <c r="AP217">
        <v>5.84</v>
      </c>
      <c r="AQ217">
        <v>0.91</v>
      </c>
      <c r="AR217">
        <v>2.97</v>
      </c>
      <c r="AS217">
        <v>5.09</v>
      </c>
      <c r="AT217">
        <v>2.46</v>
      </c>
      <c r="AU217">
        <v>4.68</v>
      </c>
      <c r="AV217">
        <v>2.76</v>
      </c>
      <c r="AW217">
        <v>4.05</v>
      </c>
      <c r="AX217">
        <v>0.47</v>
      </c>
      <c r="AY217">
        <v>280</v>
      </c>
      <c r="AZ217">
        <v>16.27</v>
      </c>
      <c r="BA217">
        <v>101</v>
      </c>
      <c r="BC217">
        <v>0.85</v>
      </c>
      <c r="BD217">
        <v>13.72</v>
      </c>
      <c r="BF217">
        <v>2.15</v>
      </c>
    </row>
    <row r="218" spans="1:58" x14ac:dyDescent="0.25">
      <c r="A218" t="s">
        <v>364</v>
      </c>
      <c r="B218" t="s">
        <v>62</v>
      </c>
      <c r="C218" t="s">
        <v>355</v>
      </c>
      <c r="D218" t="s">
        <v>871</v>
      </c>
      <c r="E218">
        <v>92.41</v>
      </c>
      <c r="F218">
        <v>21</v>
      </c>
      <c r="G218">
        <v>0.95</v>
      </c>
      <c r="H218">
        <v>0.16</v>
      </c>
      <c r="I218">
        <v>3.33</v>
      </c>
      <c r="J218">
        <v>2.66</v>
      </c>
      <c r="K218">
        <v>1.49</v>
      </c>
      <c r="L218">
        <v>1.17</v>
      </c>
      <c r="M218">
        <v>0.49</v>
      </c>
      <c r="N218">
        <v>31.53</v>
      </c>
      <c r="P218">
        <v>0.03</v>
      </c>
      <c r="Q218">
        <v>0.03</v>
      </c>
      <c r="R218">
        <v>0.42</v>
      </c>
      <c r="S218">
        <v>0.16</v>
      </c>
      <c r="T218">
        <v>0.06</v>
      </c>
      <c r="U218">
        <v>24.54</v>
      </c>
      <c r="V218">
        <v>8.73</v>
      </c>
      <c r="W218">
        <v>16.87</v>
      </c>
      <c r="X218">
        <v>19.079999999999998</v>
      </c>
      <c r="Y218">
        <v>7.37</v>
      </c>
      <c r="Z218">
        <v>8.7100000000000009</v>
      </c>
      <c r="AA218">
        <v>213</v>
      </c>
      <c r="AB218">
        <v>0.39</v>
      </c>
      <c r="AC218">
        <v>0.08</v>
      </c>
      <c r="AD218">
        <v>0.05</v>
      </c>
      <c r="AE218">
        <v>0.1</v>
      </c>
      <c r="AF218">
        <v>0.35</v>
      </c>
      <c r="AG218">
        <v>1.0900000000000001</v>
      </c>
      <c r="AH218">
        <v>11.75</v>
      </c>
      <c r="AI218">
        <v>4.49</v>
      </c>
      <c r="AJ218">
        <v>4.59</v>
      </c>
      <c r="AK218">
        <v>20.41</v>
      </c>
      <c r="AL218">
        <v>4.1500000000000004</v>
      </c>
      <c r="AM218">
        <v>5.39</v>
      </c>
      <c r="AN218">
        <v>4.7</v>
      </c>
      <c r="AO218">
        <v>0.78</v>
      </c>
      <c r="AP218">
        <v>6.73</v>
      </c>
      <c r="AQ218">
        <v>1.24</v>
      </c>
      <c r="AR218">
        <v>5.58</v>
      </c>
      <c r="AS218">
        <v>5.54</v>
      </c>
      <c r="AT218">
        <v>2.97</v>
      </c>
      <c r="AU218">
        <v>3.62</v>
      </c>
      <c r="AV218">
        <v>1.74</v>
      </c>
      <c r="AW218">
        <v>3.82</v>
      </c>
      <c r="AX218">
        <v>1.0900000000000001</v>
      </c>
      <c r="AY218">
        <v>53.32</v>
      </c>
      <c r="AZ218">
        <v>22.9</v>
      </c>
      <c r="BA218">
        <v>63.03</v>
      </c>
      <c r="BC218">
        <v>2.84</v>
      </c>
      <c r="BD218">
        <v>0.37</v>
      </c>
      <c r="BE218">
        <v>94.31</v>
      </c>
      <c r="BF218">
        <v>142</v>
      </c>
    </row>
    <row r="219" spans="1:58" x14ac:dyDescent="0.25">
      <c r="A219" t="s">
        <v>364</v>
      </c>
      <c r="B219" t="s">
        <v>63</v>
      </c>
      <c r="C219" t="s">
        <v>355</v>
      </c>
      <c r="D219" t="s">
        <v>719</v>
      </c>
      <c r="E219">
        <v>90.51</v>
      </c>
      <c r="F219">
        <v>27</v>
      </c>
      <c r="G219">
        <v>2.23</v>
      </c>
      <c r="H219">
        <v>0.56000000000000005</v>
      </c>
      <c r="I219">
        <v>3.14</v>
      </c>
      <c r="J219">
        <v>1.9</v>
      </c>
      <c r="K219">
        <v>1.23</v>
      </c>
      <c r="L219">
        <v>0.68</v>
      </c>
      <c r="M219">
        <v>1.65</v>
      </c>
      <c r="N219">
        <v>508</v>
      </c>
      <c r="P219">
        <v>0.06</v>
      </c>
      <c r="Q219">
        <v>0.18</v>
      </c>
      <c r="R219">
        <v>0.57999999999999996</v>
      </c>
      <c r="S219">
        <v>0.13</v>
      </c>
      <c r="T219">
        <v>0.14000000000000001</v>
      </c>
      <c r="U219">
        <v>45.74</v>
      </c>
      <c r="V219">
        <v>91.58</v>
      </c>
      <c r="W219">
        <v>288</v>
      </c>
      <c r="X219">
        <v>36.299999999999997</v>
      </c>
      <c r="Y219">
        <v>63.62</v>
      </c>
      <c r="Z219">
        <v>20.96</v>
      </c>
      <c r="AA219">
        <v>301</v>
      </c>
      <c r="AB219">
        <v>4.42</v>
      </c>
      <c r="AC219">
        <v>0.54</v>
      </c>
      <c r="AD219">
        <v>0.28999999999999998</v>
      </c>
      <c r="AE219">
        <v>0.45</v>
      </c>
      <c r="AG219">
        <v>0.85</v>
      </c>
      <c r="AH219">
        <v>9.86</v>
      </c>
      <c r="AI219">
        <v>4.83</v>
      </c>
      <c r="AJ219">
        <v>4.49</v>
      </c>
      <c r="AK219">
        <v>14.12</v>
      </c>
      <c r="AL219">
        <v>5.0199999999999996</v>
      </c>
      <c r="AM219">
        <v>5.39</v>
      </c>
      <c r="AN219">
        <v>7.06</v>
      </c>
      <c r="AO219">
        <v>0.86</v>
      </c>
      <c r="AP219">
        <v>5.99</v>
      </c>
      <c r="AQ219">
        <v>1.52</v>
      </c>
      <c r="AR219">
        <v>4.57</v>
      </c>
      <c r="AS219">
        <v>8.49</v>
      </c>
      <c r="AT219">
        <v>3.62</v>
      </c>
      <c r="AU219">
        <v>6.57</v>
      </c>
      <c r="AV219">
        <v>2.2799999999999998</v>
      </c>
      <c r="AW219">
        <v>6.19</v>
      </c>
      <c r="AX219">
        <v>0.85</v>
      </c>
      <c r="AY219">
        <v>42.07</v>
      </c>
      <c r="AZ219">
        <v>27.31</v>
      </c>
      <c r="BA219">
        <v>267</v>
      </c>
      <c r="BC219">
        <v>0.31</v>
      </c>
      <c r="BD219">
        <v>1.79</v>
      </c>
      <c r="BF219">
        <v>3047</v>
      </c>
    </row>
    <row r="220" spans="1:58" x14ac:dyDescent="0.25">
      <c r="A220" t="s">
        <v>364</v>
      </c>
      <c r="B220" t="s">
        <v>67</v>
      </c>
      <c r="C220" t="s">
        <v>355</v>
      </c>
      <c r="D220" t="s">
        <v>723</v>
      </c>
      <c r="E220">
        <v>95.07</v>
      </c>
      <c r="F220">
        <v>11</v>
      </c>
      <c r="G220">
        <v>0.82</v>
      </c>
      <c r="H220">
        <v>0.25</v>
      </c>
      <c r="I220">
        <v>1.25</v>
      </c>
      <c r="J220">
        <v>2.17</v>
      </c>
      <c r="K220">
        <v>1.57</v>
      </c>
      <c r="L220">
        <v>0.6</v>
      </c>
      <c r="M220">
        <v>0.44</v>
      </c>
      <c r="N220">
        <v>10.41</v>
      </c>
      <c r="P220">
        <v>0.04</v>
      </c>
      <c r="Q220">
        <v>0.03</v>
      </c>
      <c r="R220">
        <v>0.31</v>
      </c>
      <c r="S220">
        <v>0.28000000000000003</v>
      </c>
      <c r="T220">
        <v>0.12</v>
      </c>
      <c r="U220">
        <v>18.09</v>
      </c>
      <c r="V220">
        <v>3.54</v>
      </c>
      <c r="W220">
        <v>26.83</v>
      </c>
      <c r="X220">
        <v>26.9</v>
      </c>
      <c r="Y220">
        <v>25.84</v>
      </c>
      <c r="Z220">
        <v>8.76</v>
      </c>
      <c r="AA220">
        <v>133</v>
      </c>
      <c r="AB220">
        <v>0.41</v>
      </c>
      <c r="AC220">
        <v>0.18</v>
      </c>
      <c r="AD220">
        <v>0.11</v>
      </c>
      <c r="AE220">
        <v>0.11</v>
      </c>
      <c r="AG220">
        <v>0.59</v>
      </c>
      <c r="AH220">
        <v>10.14</v>
      </c>
      <c r="AI220">
        <v>4</v>
      </c>
      <c r="AJ220">
        <v>5.39</v>
      </c>
      <c r="AK220">
        <v>19.12</v>
      </c>
      <c r="AL220">
        <v>4.4000000000000004</v>
      </c>
      <c r="AM220">
        <v>4.7699999999999996</v>
      </c>
      <c r="AN220">
        <v>6.72</v>
      </c>
      <c r="AO220">
        <v>0.67</v>
      </c>
      <c r="AP220">
        <v>5.26</v>
      </c>
      <c r="AQ220">
        <v>0.93</v>
      </c>
      <c r="AR220">
        <v>4.09</v>
      </c>
      <c r="AS220">
        <v>5.16</v>
      </c>
      <c r="AT220">
        <v>2.54</v>
      </c>
      <c r="AU220">
        <v>4.13</v>
      </c>
      <c r="AV220">
        <v>1.6</v>
      </c>
      <c r="AW220">
        <v>3.81</v>
      </c>
      <c r="AX220">
        <v>0.59</v>
      </c>
      <c r="AY220">
        <v>53.32</v>
      </c>
      <c r="AZ220">
        <v>22.9</v>
      </c>
      <c r="BA220">
        <v>63.03</v>
      </c>
      <c r="BC220">
        <v>0.46</v>
      </c>
      <c r="BD220">
        <v>0.69</v>
      </c>
      <c r="BF220">
        <v>62.47</v>
      </c>
    </row>
    <row r="221" spans="1:58" x14ac:dyDescent="0.25">
      <c r="A221" t="s">
        <v>364</v>
      </c>
      <c r="B221" t="s">
        <v>310</v>
      </c>
      <c r="C221" t="s">
        <v>355</v>
      </c>
      <c r="D221" t="s">
        <v>725</v>
      </c>
      <c r="E221">
        <v>77.42</v>
      </c>
      <c r="F221">
        <v>71</v>
      </c>
      <c r="G221">
        <v>7.53</v>
      </c>
      <c r="H221">
        <v>2.19</v>
      </c>
      <c r="I221">
        <v>5</v>
      </c>
      <c r="J221">
        <v>5.55</v>
      </c>
      <c r="K221">
        <v>4.8</v>
      </c>
      <c r="L221">
        <v>0.76</v>
      </c>
      <c r="M221">
        <v>2.33</v>
      </c>
      <c r="N221">
        <v>507</v>
      </c>
      <c r="Q221">
        <v>0.18</v>
      </c>
      <c r="R221">
        <v>0.15</v>
      </c>
      <c r="S221">
        <v>0.56999999999999995</v>
      </c>
      <c r="T221">
        <v>1.07</v>
      </c>
      <c r="U221">
        <v>117</v>
      </c>
      <c r="V221">
        <v>29.1</v>
      </c>
      <c r="W221">
        <v>43.32</v>
      </c>
      <c r="X221">
        <v>37.369999999999997</v>
      </c>
      <c r="Y221">
        <v>35.340000000000003</v>
      </c>
      <c r="Z221">
        <v>2.21</v>
      </c>
      <c r="AA221">
        <v>669</v>
      </c>
      <c r="AB221">
        <v>1.2</v>
      </c>
      <c r="AC221">
        <v>0.99</v>
      </c>
      <c r="AD221">
        <v>0.15</v>
      </c>
      <c r="AE221">
        <v>1.42</v>
      </c>
      <c r="AF221">
        <v>34.19</v>
      </c>
      <c r="AG221">
        <v>0.66</v>
      </c>
      <c r="AH221">
        <v>7.79</v>
      </c>
      <c r="AI221">
        <v>4.3600000000000003</v>
      </c>
      <c r="AJ221">
        <v>4.08</v>
      </c>
      <c r="AK221">
        <v>12.56</v>
      </c>
      <c r="AL221">
        <v>6.53</v>
      </c>
      <c r="AM221">
        <v>4.8600000000000003</v>
      </c>
      <c r="AN221">
        <v>5.93</v>
      </c>
      <c r="AO221">
        <v>1.08</v>
      </c>
      <c r="AP221">
        <v>4.68</v>
      </c>
      <c r="AQ221">
        <v>1.37</v>
      </c>
      <c r="AR221">
        <v>4.4000000000000004</v>
      </c>
      <c r="AS221">
        <v>8.2200000000000006</v>
      </c>
      <c r="AT221">
        <v>5.85</v>
      </c>
      <c r="AU221">
        <v>5.39</v>
      </c>
      <c r="AV221">
        <v>2.6</v>
      </c>
      <c r="AW221">
        <v>4.97</v>
      </c>
      <c r="AX221">
        <v>6.04</v>
      </c>
      <c r="AY221">
        <v>170</v>
      </c>
      <c r="AZ221">
        <v>148</v>
      </c>
      <c r="BA221">
        <v>847</v>
      </c>
      <c r="BC221">
        <v>2.06</v>
      </c>
      <c r="BD221">
        <v>2.76</v>
      </c>
      <c r="BF221">
        <v>3047</v>
      </c>
    </row>
    <row r="222" spans="1:58" x14ac:dyDescent="0.25">
      <c r="A222" t="s">
        <v>364</v>
      </c>
      <c r="B222" t="s">
        <v>69</v>
      </c>
      <c r="C222" t="s">
        <v>355</v>
      </c>
      <c r="D222" t="s">
        <v>726</v>
      </c>
      <c r="E222">
        <v>71.69</v>
      </c>
      <c r="F222">
        <v>71</v>
      </c>
      <c r="G222">
        <v>5.84</v>
      </c>
      <c r="H222">
        <v>0.49</v>
      </c>
      <c r="I222">
        <v>10.039999999999999</v>
      </c>
      <c r="J222">
        <v>10.7</v>
      </c>
      <c r="K222">
        <v>9.34</v>
      </c>
      <c r="L222">
        <v>1.36</v>
      </c>
      <c r="M222">
        <v>1.25</v>
      </c>
      <c r="N222">
        <v>28</v>
      </c>
      <c r="P222">
        <v>0.12</v>
      </c>
      <c r="Q222">
        <v>0.03</v>
      </c>
      <c r="R222">
        <v>0.79</v>
      </c>
      <c r="S222">
        <v>0.3</v>
      </c>
      <c r="T222">
        <v>0.14000000000000001</v>
      </c>
      <c r="U222">
        <v>91.82</v>
      </c>
      <c r="V222">
        <v>28.22</v>
      </c>
      <c r="W222">
        <v>66.930000000000007</v>
      </c>
      <c r="X222">
        <v>86.86</v>
      </c>
      <c r="Y222">
        <v>42.1</v>
      </c>
      <c r="Z222">
        <v>13.43</v>
      </c>
      <c r="AA222">
        <v>465</v>
      </c>
      <c r="AB222">
        <v>2.84</v>
      </c>
      <c r="AC222">
        <v>0.64</v>
      </c>
      <c r="AD222">
        <v>0.56000000000000005</v>
      </c>
      <c r="AE222">
        <v>0.93</v>
      </c>
      <c r="AF222">
        <v>2.4500000000000002</v>
      </c>
      <c r="AG222">
        <v>1.47</v>
      </c>
      <c r="AH222">
        <v>8.2899999999999991</v>
      </c>
      <c r="AI222">
        <v>4.6399999999999997</v>
      </c>
      <c r="AJ222">
        <v>4.32</v>
      </c>
      <c r="AK222">
        <v>13.45</v>
      </c>
      <c r="AL222">
        <v>4.68</v>
      </c>
      <c r="AM222">
        <v>5.81</v>
      </c>
      <c r="AN222">
        <v>6.63</v>
      </c>
      <c r="AO222">
        <v>0.63</v>
      </c>
      <c r="AP222">
        <v>5.65</v>
      </c>
      <c r="AQ222">
        <v>1.26</v>
      </c>
      <c r="AR222">
        <v>4.2</v>
      </c>
      <c r="AS222">
        <v>8.6999999999999993</v>
      </c>
      <c r="AT222">
        <v>3.93</v>
      </c>
      <c r="AU222">
        <v>4.8600000000000003</v>
      </c>
      <c r="AV222">
        <v>2.19</v>
      </c>
      <c r="AW222">
        <v>4.6900000000000004</v>
      </c>
      <c r="AX222">
        <v>1.47</v>
      </c>
      <c r="AY222">
        <v>752</v>
      </c>
      <c r="AZ222">
        <v>42.3</v>
      </c>
      <c r="BA222">
        <v>306</v>
      </c>
      <c r="BC222">
        <v>0.17</v>
      </c>
      <c r="BD222">
        <v>6.85</v>
      </c>
      <c r="BF222">
        <v>168</v>
      </c>
    </row>
    <row r="223" spans="1:58" x14ac:dyDescent="0.25">
      <c r="A223" t="s">
        <v>364</v>
      </c>
      <c r="B223" t="s">
        <v>70</v>
      </c>
      <c r="C223" t="s">
        <v>355</v>
      </c>
      <c r="D223" t="s">
        <v>727</v>
      </c>
      <c r="E223">
        <v>93.52</v>
      </c>
      <c r="F223">
        <v>19</v>
      </c>
      <c r="G223">
        <v>1.1299999999999999</v>
      </c>
      <c r="H223">
        <v>0.24</v>
      </c>
      <c r="I223">
        <v>2.94</v>
      </c>
      <c r="J223">
        <v>1.58</v>
      </c>
      <c r="K223">
        <v>1.06</v>
      </c>
      <c r="L223">
        <v>0.52</v>
      </c>
      <c r="M223">
        <v>0.59</v>
      </c>
      <c r="N223">
        <v>6</v>
      </c>
      <c r="P223">
        <v>0.08</v>
      </c>
      <c r="Q223">
        <v>0.06</v>
      </c>
      <c r="R223">
        <v>0.35</v>
      </c>
      <c r="S223">
        <v>0.28999999999999998</v>
      </c>
      <c r="T223">
        <v>7.0000000000000007E-2</v>
      </c>
      <c r="U223">
        <v>14.11</v>
      </c>
      <c r="V223">
        <v>13.19</v>
      </c>
      <c r="W223">
        <v>8.25</v>
      </c>
      <c r="X223">
        <v>22.81</v>
      </c>
      <c r="Y223">
        <v>13.88</v>
      </c>
      <c r="Z223">
        <v>8.69</v>
      </c>
      <c r="AA223">
        <v>220</v>
      </c>
      <c r="AB223">
        <v>0.42</v>
      </c>
      <c r="AC223">
        <v>0.1</v>
      </c>
      <c r="AD223">
        <v>7.0000000000000007E-2</v>
      </c>
      <c r="AE223">
        <v>0.15</v>
      </c>
      <c r="AF223">
        <v>8.76</v>
      </c>
      <c r="AG223">
        <v>0.7</v>
      </c>
      <c r="AH223">
        <v>10.050000000000001</v>
      </c>
      <c r="AI223">
        <v>2.91</v>
      </c>
      <c r="AJ223">
        <v>4.33</v>
      </c>
      <c r="AK223">
        <v>28.19</v>
      </c>
      <c r="AL223">
        <v>2.04</v>
      </c>
      <c r="AM223">
        <v>3.56</v>
      </c>
      <c r="AN223">
        <v>2.2799999999999998</v>
      </c>
      <c r="AO223">
        <v>0.88</v>
      </c>
      <c r="AP223">
        <v>3.29</v>
      </c>
      <c r="AQ223">
        <v>1.18</v>
      </c>
      <c r="AR223">
        <v>3.04</v>
      </c>
      <c r="AS223">
        <v>3.79</v>
      </c>
      <c r="AT223">
        <v>2.27</v>
      </c>
      <c r="AU223">
        <v>3.85</v>
      </c>
      <c r="AV223">
        <v>3.79</v>
      </c>
      <c r="AW223">
        <v>4.95</v>
      </c>
      <c r="AX223">
        <v>0.7</v>
      </c>
      <c r="AY223">
        <v>176</v>
      </c>
      <c r="AZ223">
        <v>37.950000000000003</v>
      </c>
      <c r="BA223">
        <v>107</v>
      </c>
      <c r="BC223">
        <v>0.84</v>
      </c>
      <c r="BD223">
        <v>0.51</v>
      </c>
      <c r="BF223">
        <v>35.979999999999997</v>
      </c>
    </row>
    <row r="224" spans="1:58" x14ac:dyDescent="0.25">
      <c r="A224" t="s">
        <v>364</v>
      </c>
      <c r="B224" t="s">
        <v>71</v>
      </c>
      <c r="C224" t="s">
        <v>355</v>
      </c>
      <c r="D224" t="s">
        <v>872</v>
      </c>
      <c r="E224">
        <v>94.41</v>
      </c>
      <c r="F224">
        <v>16</v>
      </c>
      <c r="G224">
        <v>0.7</v>
      </c>
      <c r="H224">
        <v>0.24</v>
      </c>
      <c r="I224">
        <v>2.78</v>
      </c>
      <c r="J224">
        <v>1.5</v>
      </c>
      <c r="K224">
        <v>1.23</v>
      </c>
      <c r="L224">
        <v>0.27</v>
      </c>
      <c r="M224">
        <v>0.37</v>
      </c>
      <c r="N224">
        <v>258</v>
      </c>
      <c r="P224">
        <v>0.04</v>
      </c>
      <c r="Q224">
        <v>0.02</v>
      </c>
      <c r="R224">
        <v>0.48</v>
      </c>
      <c r="S224">
        <v>0.19</v>
      </c>
      <c r="T224">
        <v>0.08</v>
      </c>
      <c r="U224">
        <v>11.8</v>
      </c>
      <c r="V224">
        <v>19.21</v>
      </c>
      <c r="W224">
        <v>9.0399999999999991</v>
      </c>
      <c r="X224">
        <v>18.059999999999999</v>
      </c>
      <c r="Y224">
        <v>10.76</v>
      </c>
      <c r="Z224">
        <v>15.72</v>
      </c>
      <c r="AA224">
        <v>152</v>
      </c>
      <c r="AB224">
        <v>0.22</v>
      </c>
      <c r="AC224">
        <v>0.08</v>
      </c>
      <c r="AD224">
        <v>0.03</v>
      </c>
      <c r="AE224">
        <v>0.08</v>
      </c>
      <c r="AG224">
        <v>0.51</v>
      </c>
      <c r="AH224">
        <v>14.42</v>
      </c>
      <c r="AI224">
        <v>3.21</v>
      </c>
      <c r="AJ224">
        <v>3.83</v>
      </c>
      <c r="AK224">
        <v>33.479999999999997</v>
      </c>
      <c r="AL224">
        <v>2.63</v>
      </c>
      <c r="AM224">
        <v>4</v>
      </c>
      <c r="AN224">
        <v>4.49</v>
      </c>
      <c r="AO224">
        <v>1.08</v>
      </c>
      <c r="AP224">
        <v>3.75</v>
      </c>
      <c r="AQ224">
        <v>0.88</v>
      </c>
      <c r="AR224">
        <v>3.17</v>
      </c>
      <c r="AS224">
        <v>5.12</v>
      </c>
      <c r="AT224">
        <v>3.02</v>
      </c>
      <c r="AU224">
        <v>5.1100000000000003</v>
      </c>
      <c r="AV224">
        <v>1.79</v>
      </c>
      <c r="AW224">
        <v>3.22</v>
      </c>
      <c r="AX224">
        <v>0.51</v>
      </c>
      <c r="AY224">
        <v>47.33</v>
      </c>
      <c r="AZ224">
        <v>33.479999999999997</v>
      </c>
      <c r="BA224">
        <v>111</v>
      </c>
      <c r="BC224">
        <v>1.92</v>
      </c>
      <c r="BF224">
        <v>1549</v>
      </c>
    </row>
    <row r="225" spans="1:58" x14ac:dyDescent="0.25">
      <c r="A225" t="s">
        <v>364</v>
      </c>
      <c r="B225" t="s">
        <v>75</v>
      </c>
      <c r="C225" t="s">
        <v>355</v>
      </c>
      <c r="D225" t="s">
        <v>731</v>
      </c>
      <c r="E225">
        <v>92.83</v>
      </c>
      <c r="F225">
        <v>20</v>
      </c>
      <c r="G225">
        <v>1.1000000000000001</v>
      </c>
      <c r="H225">
        <v>0.51</v>
      </c>
      <c r="I225">
        <v>2.33</v>
      </c>
      <c r="J225">
        <v>2.2999999999999998</v>
      </c>
      <c r="K225">
        <v>1.42</v>
      </c>
      <c r="L225">
        <v>0.88</v>
      </c>
      <c r="M225">
        <v>0.93</v>
      </c>
      <c r="N225">
        <v>7.15</v>
      </c>
      <c r="P225">
        <v>0.05</v>
      </c>
      <c r="Q225">
        <v>0.09</v>
      </c>
      <c r="R225">
        <v>1.03</v>
      </c>
      <c r="S225">
        <v>0.99</v>
      </c>
      <c r="T225">
        <v>0.25</v>
      </c>
      <c r="U225">
        <v>18.850000000000001</v>
      </c>
      <c r="V225">
        <v>15.78</v>
      </c>
      <c r="W225">
        <v>17.260000000000002</v>
      </c>
      <c r="X225">
        <v>21.38</v>
      </c>
      <c r="Y225">
        <v>15.41</v>
      </c>
      <c r="Z225">
        <v>0.4</v>
      </c>
      <c r="AA225">
        <v>178</v>
      </c>
      <c r="AB225">
        <v>0.52</v>
      </c>
      <c r="AC225">
        <v>0.13</v>
      </c>
      <c r="AD225">
        <v>7.0000000000000007E-2</v>
      </c>
      <c r="AE225">
        <v>0.28999999999999998</v>
      </c>
      <c r="AF225">
        <v>0.21</v>
      </c>
      <c r="AG225">
        <v>0.85</v>
      </c>
      <c r="AH225">
        <v>10.039999999999999</v>
      </c>
      <c r="AI225">
        <v>3.82</v>
      </c>
      <c r="AJ225">
        <v>4.42</v>
      </c>
      <c r="AK225">
        <v>22.68</v>
      </c>
      <c r="AL225">
        <v>4.26</v>
      </c>
      <c r="AM225">
        <v>3.48</v>
      </c>
      <c r="AN225">
        <v>6.86</v>
      </c>
      <c r="AO225">
        <v>0.56999999999999995</v>
      </c>
      <c r="AP225">
        <v>5.87</v>
      </c>
      <c r="AQ225">
        <v>0.78</v>
      </c>
      <c r="AR225">
        <v>4.24</v>
      </c>
      <c r="AS225">
        <v>5.68</v>
      </c>
      <c r="AT225">
        <v>2.87</v>
      </c>
      <c r="AU225">
        <v>4.7300000000000004</v>
      </c>
      <c r="AV225">
        <v>1.98</v>
      </c>
      <c r="AW225">
        <v>4.67</v>
      </c>
      <c r="AX225">
        <v>0.85</v>
      </c>
      <c r="AY225">
        <v>97.32</v>
      </c>
      <c r="AZ225">
        <v>39.26</v>
      </c>
      <c r="BA225">
        <v>251</v>
      </c>
      <c r="BC225">
        <v>0.14000000000000001</v>
      </c>
      <c r="BD225">
        <v>1.47</v>
      </c>
      <c r="BE225">
        <v>85.79</v>
      </c>
    </row>
    <row r="226" spans="1:58" x14ac:dyDescent="0.25">
      <c r="A226" t="s">
        <v>364</v>
      </c>
      <c r="B226" t="s">
        <v>76</v>
      </c>
      <c r="C226" t="s">
        <v>355</v>
      </c>
      <c r="D226" t="s">
        <v>732</v>
      </c>
      <c r="E226">
        <v>93.15</v>
      </c>
      <c r="F226">
        <v>18</v>
      </c>
      <c r="G226">
        <v>1.31</v>
      </c>
      <c r="H226">
        <v>0.44</v>
      </c>
      <c r="I226">
        <v>2.2000000000000002</v>
      </c>
      <c r="J226">
        <v>1.84</v>
      </c>
      <c r="K226">
        <v>1.37</v>
      </c>
      <c r="L226">
        <v>0.47</v>
      </c>
      <c r="M226">
        <v>1.08</v>
      </c>
      <c r="N226">
        <v>5.83</v>
      </c>
      <c r="P226">
        <v>0.03</v>
      </c>
      <c r="Q226">
        <v>0.02</v>
      </c>
      <c r="R226">
        <v>0.42</v>
      </c>
      <c r="S226">
        <v>0.72</v>
      </c>
      <c r="T226">
        <v>0.2</v>
      </c>
      <c r="U226">
        <v>21.5</v>
      </c>
      <c r="V226">
        <v>16.71</v>
      </c>
      <c r="W226">
        <v>20.98</v>
      </c>
      <c r="X226">
        <v>32.03</v>
      </c>
      <c r="Y226">
        <v>10.82</v>
      </c>
      <c r="Z226">
        <v>0.39</v>
      </c>
      <c r="AA226">
        <v>131</v>
      </c>
      <c r="AB226">
        <v>0.34</v>
      </c>
      <c r="AC226">
        <v>0.21</v>
      </c>
      <c r="AD226">
        <v>0.11</v>
      </c>
      <c r="AE226">
        <v>0.27</v>
      </c>
      <c r="AF226">
        <v>0.3</v>
      </c>
      <c r="AG226">
        <v>0.86</v>
      </c>
      <c r="AH226">
        <v>10.68</v>
      </c>
      <c r="AI226">
        <v>3.81</v>
      </c>
      <c r="AJ226">
        <v>4.4400000000000004</v>
      </c>
      <c r="AK226">
        <v>22.29</v>
      </c>
      <c r="AL226">
        <v>4.71</v>
      </c>
      <c r="AM226">
        <v>3.56</v>
      </c>
      <c r="AN226">
        <v>6.66</v>
      </c>
      <c r="AO226">
        <v>0.68</v>
      </c>
      <c r="AP226">
        <v>5.71</v>
      </c>
      <c r="AQ226">
        <v>0.75</v>
      </c>
      <c r="AR226">
        <v>4.25</v>
      </c>
      <c r="AS226">
        <v>5.5</v>
      </c>
      <c r="AT226">
        <v>2.89</v>
      </c>
      <c r="AU226">
        <v>5.54</v>
      </c>
      <c r="AV226">
        <v>1.74</v>
      </c>
      <c r="AW226">
        <v>5.03</v>
      </c>
      <c r="AX226">
        <v>0.86</v>
      </c>
      <c r="AY226">
        <v>119</v>
      </c>
      <c r="AZ226">
        <v>21.32</v>
      </c>
      <c r="BA226">
        <v>114</v>
      </c>
      <c r="BC226">
        <v>0.28999999999999998</v>
      </c>
      <c r="BD226">
        <v>1.07</v>
      </c>
      <c r="BE226">
        <v>69.900000000000006</v>
      </c>
    </row>
    <row r="227" spans="1:58" x14ac:dyDescent="0.25">
      <c r="A227" t="s">
        <v>364</v>
      </c>
      <c r="B227" t="s">
        <v>273</v>
      </c>
      <c r="C227" t="s">
        <v>356</v>
      </c>
      <c r="D227" t="s">
        <v>613</v>
      </c>
      <c r="E227">
        <v>85.54</v>
      </c>
      <c r="F227">
        <v>51</v>
      </c>
      <c r="G227">
        <v>0.46</v>
      </c>
      <c r="H227">
        <v>0.5</v>
      </c>
      <c r="I227">
        <v>10.65</v>
      </c>
      <c r="J227">
        <v>2.54</v>
      </c>
      <c r="K227">
        <v>1.72</v>
      </c>
      <c r="L227">
        <v>0.81</v>
      </c>
      <c r="M227">
        <v>0.31</v>
      </c>
      <c r="N227">
        <v>0.4</v>
      </c>
      <c r="P227">
        <v>0.03</v>
      </c>
      <c r="Q227">
        <v>0.01</v>
      </c>
      <c r="R227">
        <v>0.25</v>
      </c>
      <c r="S227">
        <v>0.09</v>
      </c>
      <c r="T227">
        <v>0.04</v>
      </c>
      <c r="U227">
        <v>3.04</v>
      </c>
      <c r="V227">
        <v>3.57</v>
      </c>
      <c r="W227">
        <v>13.68</v>
      </c>
      <c r="X227">
        <v>10.44</v>
      </c>
      <c r="Y227">
        <v>8.09</v>
      </c>
      <c r="Z227">
        <v>1.43</v>
      </c>
      <c r="AA227">
        <v>116</v>
      </c>
      <c r="AB227">
        <v>0.26</v>
      </c>
      <c r="AC227">
        <v>0.05</v>
      </c>
      <c r="AD227">
        <v>0.04</v>
      </c>
      <c r="AE227">
        <v>0.09</v>
      </c>
      <c r="AF227">
        <v>0.47</v>
      </c>
      <c r="AG227">
        <v>0.86</v>
      </c>
      <c r="AH227">
        <v>25.16</v>
      </c>
      <c r="AI227">
        <v>3.85</v>
      </c>
      <c r="AJ227">
        <v>5.64</v>
      </c>
      <c r="AK227">
        <v>8.92</v>
      </c>
      <c r="AL227">
        <v>3.28</v>
      </c>
      <c r="AM227">
        <v>3.58</v>
      </c>
      <c r="AN227">
        <v>8.2200000000000006</v>
      </c>
      <c r="AO227">
        <v>0.75</v>
      </c>
      <c r="AP227">
        <v>3.5</v>
      </c>
      <c r="AQ227">
        <v>1.23</v>
      </c>
      <c r="AR227">
        <v>3.56</v>
      </c>
      <c r="AS227">
        <v>5.17</v>
      </c>
      <c r="AT227">
        <v>2.67</v>
      </c>
      <c r="AU227">
        <v>3.39</v>
      </c>
      <c r="AV227">
        <v>2.2599999999999998</v>
      </c>
      <c r="AW227">
        <v>3.01</v>
      </c>
      <c r="AX227">
        <v>3.19</v>
      </c>
      <c r="AY227">
        <v>154</v>
      </c>
      <c r="AZ227">
        <v>51.13</v>
      </c>
      <c r="BA227">
        <v>282</v>
      </c>
      <c r="BC227">
        <v>9.5299999999999994</v>
      </c>
      <c r="BF227">
        <v>2.41</v>
      </c>
    </row>
    <row r="228" spans="1:58" x14ac:dyDescent="0.25">
      <c r="A228" t="s">
        <v>364</v>
      </c>
      <c r="B228" t="s">
        <v>100</v>
      </c>
      <c r="C228" t="s">
        <v>356</v>
      </c>
      <c r="D228" t="s">
        <v>614</v>
      </c>
      <c r="E228">
        <v>83.01</v>
      </c>
      <c r="F228">
        <v>62</v>
      </c>
      <c r="G228">
        <v>0.28999999999999998</v>
      </c>
      <c r="H228">
        <v>0.64</v>
      </c>
      <c r="I228">
        <v>13.11</v>
      </c>
      <c r="J228">
        <v>2.59</v>
      </c>
      <c r="K228">
        <v>1.43</v>
      </c>
      <c r="L228">
        <v>1.1599999999999999</v>
      </c>
      <c r="M228">
        <v>0.36</v>
      </c>
      <c r="N228">
        <v>0.36</v>
      </c>
      <c r="P228">
        <v>0.01</v>
      </c>
      <c r="Q228">
        <v>0.02</v>
      </c>
      <c r="R228">
        <v>0.21</v>
      </c>
      <c r="S228">
        <v>0.12</v>
      </c>
      <c r="T228">
        <v>0.08</v>
      </c>
      <c r="U228">
        <v>3.43</v>
      </c>
      <c r="V228">
        <v>2.9</v>
      </c>
      <c r="W228">
        <v>6.53</v>
      </c>
      <c r="X228">
        <v>7.48</v>
      </c>
      <c r="Y228">
        <v>5.42</v>
      </c>
      <c r="Z228">
        <v>1.47</v>
      </c>
      <c r="AA228">
        <v>94.55</v>
      </c>
      <c r="AB228">
        <v>0.2</v>
      </c>
      <c r="AC228">
        <v>0.02</v>
      </c>
      <c r="AD228">
        <v>0.33</v>
      </c>
      <c r="AE228">
        <v>0.08</v>
      </c>
      <c r="AF228">
        <v>0.25</v>
      </c>
      <c r="AG228">
        <v>0.78</v>
      </c>
      <c r="AH228">
        <v>20.64</v>
      </c>
      <c r="AI228">
        <v>4.4000000000000004</v>
      </c>
      <c r="AJ228">
        <v>5.31</v>
      </c>
      <c r="AK228">
        <v>9.6</v>
      </c>
      <c r="AL228">
        <v>4.1500000000000004</v>
      </c>
      <c r="AM228">
        <v>4.79</v>
      </c>
      <c r="AN228">
        <v>7.12</v>
      </c>
      <c r="AO228">
        <v>0.67</v>
      </c>
      <c r="AP228">
        <v>3.66</v>
      </c>
      <c r="AQ228">
        <v>1.4</v>
      </c>
      <c r="AR228">
        <v>4.8499999999999996</v>
      </c>
      <c r="AS228">
        <v>5.75</v>
      </c>
      <c r="AT228">
        <v>2.1</v>
      </c>
      <c r="AU228">
        <v>3.86</v>
      </c>
      <c r="AV228">
        <v>2.67</v>
      </c>
      <c r="AW228">
        <v>3.11</v>
      </c>
      <c r="AX228">
        <v>3.96</v>
      </c>
      <c r="AY228">
        <v>116</v>
      </c>
      <c r="AZ228">
        <v>40.99</v>
      </c>
      <c r="BA228">
        <v>223</v>
      </c>
      <c r="BC228">
        <v>8.39</v>
      </c>
      <c r="BF228">
        <v>2.2000000000000002</v>
      </c>
    </row>
    <row r="229" spans="1:58" x14ac:dyDescent="0.25">
      <c r="A229" t="s">
        <v>364</v>
      </c>
      <c r="B229" t="s">
        <v>101</v>
      </c>
      <c r="C229" t="s">
        <v>356</v>
      </c>
      <c r="D229" t="s">
        <v>615</v>
      </c>
      <c r="E229">
        <v>73.56</v>
      </c>
      <c r="F229">
        <v>144</v>
      </c>
      <c r="G229">
        <v>2.95</v>
      </c>
      <c r="H229">
        <v>13.86</v>
      </c>
      <c r="I229">
        <v>1.75</v>
      </c>
      <c r="J229">
        <v>6.69</v>
      </c>
      <c r="K229">
        <v>5.26</v>
      </c>
      <c r="L229">
        <v>1.42</v>
      </c>
      <c r="M229">
        <v>1.19</v>
      </c>
      <c r="N229">
        <v>2</v>
      </c>
      <c r="P229">
        <v>7.0000000000000007E-2</v>
      </c>
      <c r="Q229">
        <v>0.08</v>
      </c>
      <c r="R229">
        <v>0.9</v>
      </c>
      <c r="S229">
        <v>1.26</v>
      </c>
      <c r="T229">
        <v>0.18</v>
      </c>
      <c r="U229">
        <v>67.17</v>
      </c>
      <c r="V229">
        <v>9.36</v>
      </c>
      <c r="W229">
        <v>28.48</v>
      </c>
      <c r="X229">
        <v>63.14</v>
      </c>
      <c r="Y229">
        <v>48.14</v>
      </c>
      <c r="Z229">
        <v>2.81</v>
      </c>
      <c r="AA229">
        <v>377</v>
      </c>
      <c r="AB229">
        <v>0.81</v>
      </c>
      <c r="AC229">
        <v>0.74</v>
      </c>
      <c r="AD229">
        <v>0.39</v>
      </c>
      <c r="AE229">
        <v>0.75</v>
      </c>
      <c r="AG229">
        <v>1.04</v>
      </c>
      <c r="AH229">
        <v>15.56</v>
      </c>
      <c r="AI229">
        <v>3.48</v>
      </c>
      <c r="AJ229">
        <v>4.46</v>
      </c>
      <c r="AK229">
        <v>13.37</v>
      </c>
      <c r="AL229">
        <v>4.4800000000000004</v>
      </c>
      <c r="AM229">
        <v>4.25</v>
      </c>
      <c r="AN229">
        <v>5.38</v>
      </c>
      <c r="AO229">
        <v>1.58</v>
      </c>
      <c r="AP229">
        <v>4.4800000000000004</v>
      </c>
      <c r="AQ229">
        <v>1.66</v>
      </c>
      <c r="AR229">
        <v>3.45</v>
      </c>
      <c r="AS229">
        <v>6.27</v>
      </c>
      <c r="AT229">
        <v>2.64</v>
      </c>
      <c r="AU229">
        <v>4.24</v>
      </c>
      <c r="AV229">
        <v>2.38</v>
      </c>
      <c r="AW229">
        <v>5.84</v>
      </c>
      <c r="AX229">
        <v>4.45</v>
      </c>
      <c r="AY229">
        <v>1237</v>
      </c>
      <c r="AZ229">
        <v>8710</v>
      </c>
      <c r="BA229">
        <v>1141</v>
      </c>
      <c r="BC229">
        <v>1.65</v>
      </c>
      <c r="BD229">
        <v>0.1</v>
      </c>
      <c r="BF229">
        <v>12</v>
      </c>
    </row>
    <row r="230" spans="1:58" x14ac:dyDescent="0.25">
      <c r="A230" t="s">
        <v>364</v>
      </c>
      <c r="B230" t="s">
        <v>102</v>
      </c>
      <c r="C230" t="s">
        <v>356</v>
      </c>
      <c r="D230" t="s">
        <v>616</v>
      </c>
      <c r="E230">
        <v>61.36</v>
      </c>
      <c r="F230">
        <v>133</v>
      </c>
      <c r="G230">
        <v>2.63</v>
      </c>
      <c r="H230">
        <v>0.56999999999999995</v>
      </c>
      <c r="I230">
        <v>28.21</v>
      </c>
      <c r="J230">
        <v>6.31</v>
      </c>
      <c r="K230">
        <v>3.31</v>
      </c>
      <c r="L230">
        <v>3</v>
      </c>
      <c r="M230">
        <v>0.91</v>
      </c>
      <c r="N230">
        <v>0.42</v>
      </c>
      <c r="P230">
        <v>0.03</v>
      </c>
      <c r="Q230">
        <v>0.04</v>
      </c>
      <c r="R230">
        <v>0.25</v>
      </c>
      <c r="S230">
        <v>1.62</v>
      </c>
      <c r="T230">
        <v>0.03</v>
      </c>
      <c r="U230">
        <v>55.22</v>
      </c>
      <c r="V230">
        <v>7.5</v>
      </c>
      <c r="W230">
        <v>47.95</v>
      </c>
      <c r="X230">
        <v>37.29</v>
      </c>
      <c r="Y230">
        <v>34.1</v>
      </c>
      <c r="Z230">
        <v>1.56</v>
      </c>
      <c r="AA230">
        <v>409</v>
      </c>
      <c r="AB230">
        <v>0.23</v>
      </c>
      <c r="AC230">
        <v>0.1</v>
      </c>
      <c r="AD230">
        <v>0.15</v>
      </c>
      <c r="AE230">
        <v>0.14000000000000001</v>
      </c>
      <c r="AF230">
        <v>0.72</v>
      </c>
      <c r="AG230">
        <v>0.98</v>
      </c>
      <c r="AH230">
        <v>18.2</v>
      </c>
      <c r="AI230">
        <v>4.16</v>
      </c>
      <c r="AJ230">
        <v>5.4</v>
      </c>
      <c r="AK230">
        <v>14.26</v>
      </c>
      <c r="AL230">
        <v>5.26</v>
      </c>
      <c r="AM230">
        <v>3.86</v>
      </c>
      <c r="AN230">
        <v>4.82</v>
      </c>
      <c r="AO230">
        <v>0.65</v>
      </c>
      <c r="AP230">
        <v>4.62</v>
      </c>
      <c r="AQ230">
        <v>1.26</v>
      </c>
      <c r="AR230">
        <v>3.29</v>
      </c>
      <c r="AS230">
        <v>5.86</v>
      </c>
      <c r="AT230">
        <v>2.4300000000000002</v>
      </c>
      <c r="AU230">
        <v>4.8099999999999996</v>
      </c>
      <c r="AV230">
        <v>2.52</v>
      </c>
      <c r="AW230">
        <v>4.8600000000000003</v>
      </c>
      <c r="AX230">
        <v>3.86</v>
      </c>
      <c r="AY230">
        <v>130</v>
      </c>
      <c r="AZ230">
        <v>111</v>
      </c>
      <c r="BA230">
        <v>154</v>
      </c>
      <c r="BC230">
        <v>16.350000000000001</v>
      </c>
      <c r="BD230">
        <v>7.2</v>
      </c>
      <c r="BF230">
        <v>2.5</v>
      </c>
    </row>
    <row r="231" spans="1:58" x14ac:dyDescent="0.25">
      <c r="A231" t="s">
        <v>364</v>
      </c>
      <c r="B231" t="s">
        <v>319</v>
      </c>
      <c r="C231" t="s">
        <v>356</v>
      </c>
      <c r="D231" t="s">
        <v>617</v>
      </c>
      <c r="E231">
        <v>71.25</v>
      </c>
      <c r="F231">
        <v>109</v>
      </c>
      <c r="G231">
        <v>1.1100000000000001</v>
      </c>
      <c r="H231">
        <v>1.0900000000000001</v>
      </c>
      <c r="I231">
        <v>23.37</v>
      </c>
      <c r="J231">
        <v>2.27</v>
      </c>
      <c r="K231">
        <v>1.46</v>
      </c>
      <c r="L231">
        <v>0.81</v>
      </c>
      <c r="M231">
        <v>0.92</v>
      </c>
      <c r="N231">
        <v>9.68</v>
      </c>
      <c r="Q231">
        <v>0.05</v>
      </c>
      <c r="R231">
        <v>0.82</v>
      </c>
      <c r="S231">
        <v>0.33</v>
      </c>
      <c r="T231">
        <v>0.64</v>
      </c>
      <c r="U231">
        <v>32.979999999999997</v>
      </c>
      <c r="V231">
        <v>13.61</v>
      </c>
      <c r="W231">
        <v>9.39</v>
      </c>
      <c r="X231">
        <v>20.309999999999999</v>
      </c>
      <c r="Y231">
        <v>25.67</v>
      </c>
      <c r="Z231">
        <v>3.15</v>
      </c>
      <c r="AA231">
        <v>437</v>
      </c>
      <c r="AB231">
        <v>0.51</v>
      </c>
      <c r="AC231">
        <v>1.5</v>
      </c>
      <c r="AD231">
        <v>0.18</v>
      </c>
      <c r="AE231">
        <v>0.23</v>
      </c>
      <c r="AF231">
        <v>6.14</v>
      </c>
      <c r="AG231">
        <v>0.73</v>
      </c>
      <c r="AH231">
        <v>11.51</v>
      </c>
      <c r="AI231">
        <v>4.1399999999999997</v>
      </c>
      <c r="AJ231">
        <v>5.32</v>
      </c>
      <c r="AK231">
        <v>13.11</v>
      </c>
      <c r="AL231">
        <v>4.01</v>
      </c>
      <c r="AM231">
        <v>5.49</v>
      </c>
      <c r="AN231">
        <v>6.02</v>
      </c>
      <c r="AO231">
        <v>0.75</v>
      </c>
      <c r="AP231">
        <v>5.79</v>
      </c>
      <c r="AQ231">
        <v>1.25</v>
      </c>
      <c r="AR231">
        <v>4.53</v>
      </c>
      <c r="AS231">
        <v>8.27</v>
      </c>
      <c r="AT231">
        <v>3.67</v>
      </c>
      <c r="AU231">
        <v>5.54</v>
      </c>
      <c r="AV231">
        <v>7.15</v>
      </c>
      <c r="AW231">
        <v>2.97</v>
      </c>
      <c r="AX231">
        <v>5.17</v>
      </c>
      <c r="AY231">
        <v>396</v>
      </c>
      <c r="AZ231">
        <v>56.66</v>
      </c>
      <c r="BA231">
        <v>419</v>
      </c>
      <c r="BC231">
        <v>19.489999999999998</v>
      </c>
      <c r="BD231">
        <v>2.16</v>
      </c>
      <c r="BE231">
        <v>2.77</v>
      </c>
      <c r="BF231">
        <v>56.68</v>
      </c>
    </row>
    <row r="232" spans="1:58" x14ac:dyDescent="0.25">
      <c r="A232" t="s">
        <v>364</v>
      </c>
      <c r="B232" t="s">
        <v>321</v>
      </c>
      <c r="C232" t="s">
        <v>356</v>
      </c>
      <c r="D232" t="s">
        <v>618</v>
      </c>
      <c r="E232">
        <v>71.540000000000006</v>
      </c>
      <c r="F232">
        <v>102</v>
      </c>
      <c r="G232">
        <v>1.04</v>
      </c>
      <c r="H232">
        <v>0.72</v>
      </c>
      <c r="I232">
        <v>22.5</v>
      </c>
      <c r="J232">
        <v>3.55</v>
      </c>
      <c r="K232">
        <v>2.88</v>
      </c>
      <c r="L232">
        <v>0.67</v>
      </c>
      <c r="M232">
        <v>0.67</v>
      </c>
      <c r="N232">
        <v>16.399999999999999</v>
      </c>
      <c r="Q232">
        <v>0.04</v>
      </c>
      <c r="R232">
        <v>1.53</v>
      </c>
      <c r="S232">
        <v>0.54</v>
      </c>
      <c r="T232">
        <v>0.65</v>
      </c>
      <c r="U232">
        <v>21.07</v>
      </c>
      <c r="V232">
        <v>3.66</v>
      </c>
      <c r="W232">
        <v>8.06</v>
      </c>
      <c r="X232">
        <v>27.15</v>
      </c>
      <c r="Y232">
        <v>27.02</v>
      </c>
      <c r="Z232">
        <v>2.89</v>
      </c>
      <c r="AA232">
        <v>449</v>
      </c>
      <c r="AB232">
        <v>1.39</v>
      </c>
      <c r="AC232">
        <v>1.01</v>
      </c>
      <c r="AD232">
        <v>0.22</v>
      </c>
      <c r="AE232">
        <v>0.27</v>
      </c>
      <c r="AF232">
        <v>3.52</v>
      </c>
      <c r="AG232">
        <v>0.71</v>
      </c>
      <c r="AH232">
        <v>12.56</v>
      </c>
      <c r="AI232">
        <v>3.93</v>
      </c>
      <c r="AJ232">
        <v>4.79</v>
      </c>
      <c r="AK232">
        <v>14.23</v>
      </c>
      <c r="AL232">
        <v>4.63</v>
      </c>
      <c r="AM232">
        <v>5.54</v>
      </c>
      <c r="AN232">
        <v>5.17</v>
      </c>
      <c r="AO232">
        <v>0.79</v>
      </c>
      <c r="AP232">
        <v>5.78</v>
      </c>
      <c r="AQ232">
        <v>0.86</v>
      </c>
      <c r="AR232">
        <v>4.17</v>
      </c>
      <c r="AS232">
        <v>6.76</v>
      </c>
      <c r="AT232">
        <v>3.7</v>
      </c>
      <c r="AU232">
        <v>6.86</v>
      </c>
      <c r="AV232">
        <v>6.05</v>
      </c>
      <c r="AW232">
        <v>4.01</v>
      </c>
      <c r="AX232">
        <v>5.58</v>
      </c>
      <c r="AY232">
        <v>265</v>
      </c>
      <c r="AZ232">
        <v>55.81</v>
      </c>
      <c r="BA232">
        <v>251</v>
      </c>
      <c r="BC232">
        <v>18.760000000000002</v>
      </c>
      <c r="BD232">
        <v>3.07</v>
      </c>
      <c r="BE232">
        <v>4.7</v>
      </c>
      <c r="BF232">
        <v>96.07</v>
      </c>
    </row>
    <row r="233" spans="1:58" x14ac:dyDescent="0.25">
      <c r="A233" t="s">
        <v>364</v>
      </c>
      <c r="B233" t="s">
        <v>103</v>
      </c>
      <c r="C233" t="s">
        <v>356</v>
      </c>
      <c r="D233" t="s">
        <v>620</v>
      </c>
      <c r="E233">
        <v>70.13</v>
      </c>
      <c r="F233">
        <v>110</v>
      </c>
      <c r="G233">
        <v>1.25</v>
      </c>
      <c r="H233">
        <v>0.32</v>
      </c>
      <c r="I233">
        <v>24.95</v>
      </c>
      <c r="J233">
        <v>2.21</v>
      </c>
      <c r="K233">
        <v>1.43</v>
      </c>
      <c r="L233">
        <v>0.78</v>
      </c>
      <c r="M233">
        <v>1.1499999999999999</v>
      </c>
      <c r="N233">
        <v>9.14</v>
      </c>
      <c r="P233">
        <v>0.01</v>
      </c>
      <c r="Q233">
        <v>0.04</v>
      </c>
      <c r="R233">
        <v>0.48</v>
      </c>
      <c r="S233">
        <v>0.35</v>
      </c>
      <c r="T233">
        <v>0.51</v>
      </c>
      <c r="U233">
        <v>17.93</v>
      </c>
      <c r="V233">
        <v>8.06</v>
      </c>
      <c r="W233">
        <v>6.77</v>
      </c>
      <c r="X233">
        <v>20.85</v>
      </c>
      <c r="Y233">
        <v>30.22</v>
      </c>
      <c r="Z233">
        <v>1.25</v>
      </c>
      <c r="AA233">
        <v>362</v>
      </c>
      <c r="AB233">
        <v>0.4</v>
      </c>
      <c r="AC233">
        <v>0.36</v>
      </c>
      <c r="AD233">
        <v>0.12</v>
      </c>
      <c r="AE233">
        <v>0.15</v>
      </c>
      <c r="AG233">
        <v>0.81</v>
      </c>
      <c r="AH233">
        <v>12.92</v>
      </c>
      <c r="AI233">
        <v>4.66</v>
      </c>
      <c r="AJ233">
        <v>5.99</v>
      </c>
      <c r="AK233">
        <v>13.91</v>
      </c>
      <c r="AL233">
        <v>5.1100000000000003</v>
      </c>
      <c r="AM233">
        <v>3.35</v>
      </c>
      <c r="AN233">
        <v>5.25</v>
      </c>
      <c r="AO233">
        <v>0.64</v>
      </c>
      <c r="AP233">
        <v>5.82</v>
      </c>
      <c r="AQ233">
        <v>1.18</v>
      </c>
      <c r="AR233">
        <v>4.9400000000000004</v>
      </c>
      <c r="AS233">
        <v>9.2200000000000006</v>
      </c>
      <c r="AT233">
        <v>2.2999999999999998</v>
      </c>
      <c r="AU233">
        <v>5.52</v>
      </c>
      <c r="AV233">
        <v>6.76</v>
      </c>
      <c r="AW233">
        <v>4.51</v>
      </c>
      <c r="AX233">
        <v>2.52</v>
      </c>
      <c r="AY233">
        <v>110</v>
      </c>
      <c r="AZ233">
        <v>14.38</v>
      </c>
      <c r="BA233">
        <v>132</v>
      </c>
      <c r="BC233">
        <v>14.9</v>
      </c>
      <c r="BD233">
        <v>3.32</v>
      </c>
      <c r="BE233">
        <v>3.57</v>
      </c>
      <c r="BF233">
        <v>53.06</v>
      </c>
    </row>
    <row r="234" spans="1:58" x14ac:dyDescent="0.25">
      <c r="A234" t="s">
        <v>364</v>
      </c>
      <c r="B234" t="s">
        <v>320</v>
      </c>
      <c r="C234" t="s">
        <v>356</v>
      </c>
      <c r="D234" t="s">
        <v>622</v>
      </c>
      <c r="E234">
        <v>71.36</v>
      </c>
      <c r="F234">
        <v>107</v>
      </c>
      <c r="G234">
        <v>1.38</v>
      </c>
      <c r="H234">
        <v>0.34</v>
      </c>
      <c r="I234">
        <v>23.92</v>
      </c>
      <c r="J234">
        <v>1.91</v>
      </c>
      <c r="K234">
        <v>1.1299999999999999</v>
      </c>
      <c r="L234">
        <v>0.78</v>
      </c>
      <c r="M234">
        <v>1.0900000000000001</v>
      </c>
      <c r="N234">
        <v>8.8000000000000007</v>
      </c>
      <c r="P234">
        <v>0.01</v>
      </c>
      <c r="Q234">
        <v>0.03</v>
      </c>
      <c r="R234">
        <v>0.44</v>
      </c>
      <c r="S234">
        <v>0.38</v>
      </c>
      <c r="T234">
        <v>0.47</v>
      </c>
      <c r="U234">
        <v>18.12</v>
      </c>
      <c r="V234">
        <v>7.71</v>
      </c>
      <c r="W234">
        <v>8.56</v>
      </c>
      <c r="X234">
        <v>31.12</v>
      </c>
      <c r="Y234">
        <v>38</v>
      </c>
      <c r="Z234">
        <v>1.1299999999999999</v>
      </c>
      <c r="AA234">
        <v>324</v>
      </c>
      <c r="AB234">
        <v>0.32</v>
      </c>
      <c r="AC234">
        <v>0.1</v>
      </c>
      <c r="AD234">
        <v>0.11</v>
      </c>
      <c r="AE234">
        <v>0.14000000000000001</v>
      </c>
      <c r="AG234">
        <v>0.9</v>
      </c>
      <c r="AH234">
        <v>13.03</v>
      </c>
      <c r="AI234">
        <v>5.08</v>
      </c>
      <c r="AJ234">
        <v>5.67</v>
      </c>
      <c r="AK234">
        <v>16.88</v>
      </c>
      <c r="AL234">
        <v>4.59</v>
      </c>
      <c r="AM234">
        <v>6.7</v>
      </c>
      <c r="AN234">
        <v>5.46</v>
      </c>
      <c r="AO234">
        <v>0.75</v>
      </c>
      <c r="AP234">
        <v>6.11</v>
      </c>
      <c r="AQ234">
        <v>1.05</v>
      </c>
      <c r="AR234">
        <v>3.79</v>
      </c>
      <c r="AS234">
        <v>9.41</v>
      </c>
      <c r="AT234">
        <v>2.2200000000000002</v>
      </c>
      <c r="AU234">
        <v>5.32</v>
      </c>
      <c r="AV234">
        <v>6.42</v>
      </c>
      <c r="AW234">
        <v>4.8899999999999997</v>
      </c>
      <c r="AX234">
        <v>3.18</v>
      </c>
      <c r="AY234">
        <v>110</v>
      </c>
      <c r="AZ234">
        <v>31.5</v>
      </c>
      <c r="BA234">
        <v>130</v>
      </c>
      <c r="BC234">
        <v>12.58</v>
      </c>
      <c r="BD234">
        <v>4.74</v>
      </c>
      <c r="BE234">
        <v>1.41</v>
      </c>
      <c r="BF234">
        <v>52.13</v>
      </c>
    </row>
    <row r="235" spans="1:58" x14ac:dyDescent="0.25">
      <c r="A235" t="s">
        <v>364</v>
      </c>
      <c r="B235" t="s">
        <v>104</v>
      </c>
      <c r="C235" t="s">
        <v>356</v>
      </c>
      <c r="D235" t="s">
        <v>621</v>
      </c>
      <c r="E235">
        <v>70.28</v>
      </c>
      <c r="F235">
        <v>111</v>
      </c>
      <c r="G235">
        <v>1.29</v>
      </c>
      <c r="H235">
        <v>0.28999999999999998</v>
      </c>
      <c r="I235">
        <v>25.21</v>
      </c>
      <c r="J235">
        <v>1.98</v>
      </c>
      <c r="K235">
        <v>1.26</v>
      </c>
      <c r="L235">
        <v>0.72</v>
      </c>
      <c r="M235">
        <v>0.95</v>
      </c>
      <c r="N235">
        <v>8.76</v>
      </c>
      <c r="P235">
        <v>0.01</v>
      </c>
      <c r="Q235">
        <v>0.02</v>
      </c>
      <c r="R235">
        <v>0.46</v>
      </c>
      <c r="S235">
        <v>0.41</v>
      </c>
      <c r="T235">
        <v>0.45</v>
      </c>
      <c r="U235">
        <v>18.920000000000002</v>
      </c>
      <c r="V235">
        <v>6.74</v>
      </c>
      <c r="W235">
        <v>9.56</v>
      </c>
      <c r="X235">
        <v>23.27</v>
      </c>
      <c r="Y235">
        <v>31.44</v>
      </c>
      <c r="Z235">
        <v>1.1100000000000001</v>
      </c>
      <c r="AA235">
        <v>313</v>
      </c>
      <c r="AB235">
        <v>0.24</v>
      </c>
      <c r="AC235">
        <v>0.19</v>
      </c>
      <c r="AD235">
        <v>0.06</v>
      </c>
      <c r="AE235">
        <v>0.09</v>
      </c>
      <c r="AG235">
        <v>0.72</v>
      </c>
      <c r="AH235">
        <v>12.08</v>
      </c>
      <c r="AI235">
        <v>4.84</v>
      </c>
      <c r="AJ235">
        <v>5.49</v>
      </c>
      <c r="AK235">
        <v>17.89</v>
      </c>
      <c r="AL235">
        <v>4.51</v>
      </c>
      <c r="AM235">
        <v>5.67</v>
      </c>
      <c r="AN235">
        <v>4.93</v>
      </c>
      <c r="AO235">
        <v>0.54</v>
      </c>
      <c r="AP235">
        <v>6.92</v>
      </c>
      <c r="AQ235">
        <v>1.19</v>
      </c>
      <c r="AR235">
        <v>4.51</v>
      </c>
      <c r="AS235">
        <v>9.1300000000000008</v>
      </c>
      <c r="AT235">
        <v>2.36</v>
      </c>
      <c r="AU235">
        <v>5.52</v>
      </c>
      <c r="AV235">
        <v>6.87</v>
      </c>
      <c r="AW235">
        <v>4.3</v>
      </c>
      <c r="AX235">
        <v>2.65</v>
      </c>
      <c r="AY235">
        <v>106</v>
      </c>
      <c r="AZ235">
        <v>17.78</v>
      </c>
      <c r="BA235">
        <v>108</v>
      </c>
      <c r="BC235">
        <v>14.57</v>
      </c>
      <c r="BD235">
        <v>3.96</v>
      </c>
      <c r="BE235">
        <v>2.12</v>
      </c>
      <c r="BF235">
        <v>51.52</v>
      </c>
    </row>
    <row r="236" spans="1:58" x14ac:dyDescent="0.25">
      <c r="A236" t="s">
        <v>364</v>
      </c>
      <c r="B236" t="s">
        <v>275</v>
      </c>
      <c r="C236" t="s">
        <v>356</v>
      </c>
      <c r="D236" t="s">
        <v>623</v>
      </c>
      <c r="E236">
        <v>82.27</v>
      </c>
      <c r="F236">
        <v>56</v>
      </c>
      <c r="G236">
        <v>0.9</v>
      </c>
      <c r="H236">
        <v>0.65</v>
      </c>
      <c r="I236">
        <v>10.95</v>
      </c>
      <c r="J236">
        <v>4.76</v>
      </c>
      <c r="K236">
        <v>3.63</v>
      </c>
      <c r="L236">
        <v>1.1299999999999999</v>
      </c>
      <c r="M236">
        <v>0.48</v>
      </c>
      <c r="N236">
        <v>8.4600000000000009</v>
      </c>
      <c r="P236">
        <v>0.01</v>
      </c>
      <c r="Q236">
        <v>0.02</v>
      </c>
      <c r="R236">
        <v>0.41</v>
      </c>
      <c r="S236">
        <v>0.26</v>
      </c>
      <c r="T236">
        <v>7.0000000000000007E-2</v>
      </c>
      <c r="U236">
        <v>24.75</v>
      </c>
      <c r="V236">
        <v>19.440000000000001</v>
      </c>
      <c r="W236">
        <v>26.38</v>
      </c>
      <c r="X236">
        <v>23.49</v>
      </c>
      <c r="Y236">
        <v>34.19</v>
      </c>
      <c r="Z236">
        <v>1.17</v>
      </c>
      <c r="AA236">
        <v>238</v>
      </c>
      <c r="AB236">
        <v>0.69</v>
      </c>
      <c r="AC236">
        <v>0.46</v>
      </c>
      <c r="AD236">
        <v>0.05</v>
      </c>
      <c r="AE236">
        <v>0.15</v>
      </c>
      <c r="AG236">
        <v>0.81</v>
      </c>
      <c r="AH236">
        <v>11.33</v>
      </c>
      <c r="AI236">
        <v>4.95</v>
      </c>
      <c r="AJ236">
        <v>5.27</v>
      </c>
      <c r="AK236">
        <v>15.52</v>
      </c>
      <c r="AL236">
        <v>5.55</v>
      </c>
      <c r="AM236">
        <v>6.29</v>
      </c>
      <c r="AN236">
        <v>6.42</v>
      </c>
      <c r="AO236">
        <v>0.74</v>
      </c>
      <c r="AP236">
        <v>6.89</v>
      </c>
      <c r="AQ236">
        <v>1.48</v>
      </c>
      <c r="AR236">
        <v>5.12</v>
      </c>
      <c r="AS236">
        <v>7.91</v>
      </c>
      <c r="AT236">
        <v>3.05</v>
      </c>
      <c r="AU236">
        <v>4.21</v>
      </c>
      <c r="AV236">
        <v>3.19</v>
      </c>
      <c r="AW236">
        <v>4.8899999999999997</v>
      </c>
      <c r="AX236">
        <v>4.55</v>
      </c>
      <c r="AY236">
        <v>193</v>
      </c>
      <c r="AZ236">
        <v>94.79</v>
      </c>
      <c r="BA236">
        <v>232</v>
      </c>
      <c r="BC236">
        <v>7.87</v>
      </c>
      <c r="BF236">
        <v>50.81</v>
      </c>
    </row>
    <row r="237" spans="1:58" x14ac:dyDescent="0.25">
      <c r="A237" t="s">
        <v>364</v>
      </c>
      <c r="B237" t="s">
        <v>105</v>
      </c>
      <c r="C237" t="s">
        <v>356</v>
      </c>
      <c r="D237" t="s">
        <v>624</v>
      </c>
      <c r="E237">
        <v>76.61</v>
      </c>
      <c r="F237">
        <v>80</v>
      </c>
      <c r="G237">
        <v>1.48</v>
      </c>
      <c r="H237">
        <v>0.27</v>
      </c>
      <c r="I237">
        <v>17.73</v>
      </c>
      <c r="J237">
        <v>3.28</v>
      </c>
      <c r="K237">
        <v>2.7</v>
      </c>
      <c r="L237">
        <v>0.57999999999999996</v>
      </c>
      <c r="M237">
        <v>0.64</v>
      </c>
      <c r="N237">
        <v>9.94</v>
      </c>
      <c r="Q237">
        <v>0.17</v>
      </c>
      <c r="R237">
        <v>1.45</v>
      </c>
      <c r="S237">
        <v>7.0000000000000007E-2</v>
      </c>
      <c r="T237">
        <v>0.24</v>
      </c>
      <c r="U237">
        <v>20.2</v>
      </c>
      <c r="V237">
        <v>23.99</v>
      </c>
      <c r="W237">
        <v>21.11</v>
      </c>
      <c r="X237">
        <v>20.88</v>
      </c>
      <c r="Y237">
        <v>17.66</v>
      </c>
      <c r="Z237">
        <v>1.99</v>
      </c>
      <c r="AA237">
        <v>351</v>
      </c>
      <c r="AB237">
        <v>0.51</v>
      </c>
      <c r="AC237">
        <v>0.2</v>
      </c>
      <c r="AD237">
        <v>0.34</v>
      </c>
      <c r="AE237">
        <v>0.18</v>
      </c>
      <c r="AF237">
        <v>7.39</v>
      </c>
      <c r="AG237">
        <v>0.62</v>
      </c>
      <c r="AH237">
        <v>9.74</v>
      </c>
      <c r="AI237">
        <v>4.6399999999999997</v>
      </c>
      <c r="AJ237">
        <v>6.5</v>
      </c>
      <c r="AK237">
        <v>13.52</v>
      </c>
      <c r="AL237">
        <v>4.88</v>
      </c>
      <c r="AM237">
        <v>2.81</v>
      </c>
      <c r="AN237">
        <v>5.16</v>
      </c>
      <c r="AO237">
        <v>1.43</v>
      </c>
      <c r="AP237">
        <v>7.1</v>
      </c>
      <c r="AQ237">
        <v>1.21</v>
      </c>
      <c r="AR237">
        <v>4.74</v>
      </c>
      <c r="AS237">
        <v>7.21</v>
      </c>
      <c r="AT237">
        <v>5.04</v>
      </c>
      <c r="AU237">
        <v>6.06</v>
      </c>
      <c r="AV237">
        <v>3.48</v>
      </c>
      <c r="AW237">
        <v>6.51</v>
      </c>
      <c r="AX237">
        <v>5.17</v>
      </c>
      <c r="AY237">
        <v>113</v>
      </c>
      <c r="AZ237">
        <v>31.14</v>
      </c>
      <c r="BA237">
        <v>71.930000000000007</v>
      </c>
      <c r="BC237">
        <v>15.7</v>
      </c>
      <c r="BD237">
        <v>1.07</v>
      </c>
      <c r="BF237">
        <v>55.76</v>
      </c>
    </row>
    <row r="238" spans="1:58" x14ac:dyDescent="0.25">
      <c r="A238" t="s">
        <v>364</v>
      </c>
      <c r="B238" t="s">
        <v>106</v>
      </c>
      <c r="C238" t="s">
        <v>356</v>
      </c>
      <c r="D238" t="s">
        <v>625</v>
      </c>
      <c r="E238">
        <v>71.55</v>
      </c>
      <c r="F238">
        <v>98</v>
      </c>
      <c r="G238">
        <v>1.62</v>
      </c>
      <c r="H238">
        <v>0.67</v>
      </c>
      <c r="I238">
        <v>20.38</v>
      </c>
      <c r="J238">
        <v>5.0999999999999996</v>
      </c>
      <c r="K238">
        <v>3.17</v>
      </c>
      <c r="L238">
        <v>1.93</v>
      </c>
      <c r="M238">
        <v>0.68</v>
      </c>
      <c r="P238">
        <v>0.13</v>
      </c>
      <c r="Q238">
        <v>0.09</v>
      </c>
      <c r="R238">
        <v>0.69</v>
      </c>
      <c r="S238">
        <v>0.19</v>
      </c>
      <c r="T238">
        <v>7.0000000000000007E-2</v>
      </c>
      <c r="U238">
        <v>7.6</v>
      </c>
      <c r="V238">
        <v>21.51</v>
      </c>
      <c r="W238">
        <v>28.2</v>
      </c>
      <c r="X238">
        <v>40.81</v>
      </c>
      <c r="Y238">
        <v>38.47</v>
      </c>
      <c r="Z238">
        <v>3.11</v>
      </c>
      <c r="AA238">
        <v>278</v>
      </c>
      <c r="AB238">
        <v>0.42</v>
      </c>
      <c r="AC238">
        <v>0.15</v>
      </c>
      <c r="AD238">
        <v>0.19</v>
      </c>
      <c r="AE238">
        <v>0.22</v>
      </c>
      <c r="AG238">
        <v>0.86</v>
      </c>
      <c r="AH238">
        <v>18.32</v>
      </c>
      <c r="AI238">
        <v>4.37</v>
      </c>
      <c r="AJ238">
        <v>5.12</v>
      </c>
      <c r="AK238">
        <v>17.32</v>
      </c>
      <c r="AL238">
        <v>4.82</v>
      </c>
      <c r="AM238">
        <v>4.8600000000000003</v>
      </c>
      <c r="AN238">
        <v>7.08</v>
      </c>
      <c r="AO238">
        <v>0.48</v>
      </c>
      <c r="AP238">
        <v>4.8600000000000003</v>
      </c>
      <c r="AQ238">
        <v>0.99</v>
      </c>
      <c r="AR238">
        <v>2.2599999999999998</v>
      </c>
      <c r="AS238">
        <v>4.88</v>
      </c>
      <c r="AT238">
        <v>1.97</v>
      </c>
      <c r="AU238">
        <v>4.16</v>
      </c>
      <c r="AV238">
        <v>5.25</v>
      </c>
      <c r="AW238">
        <v>4.26</v>
      </c>
      <c r="AX238">
        <v>3.87</v>
      </c>
      <c r="AY238">
        <v>138</v>
      </c>
      <c r="AZ238">
        <v>39.74</v>
      </c>
      <c r="BA238">
        <v>132</v>
      </c>
      <c r="BC238">
        <v>13.35</v>
      </c>
      <c r="BD238">
        <v>0.34</v>
      </c>
    </row>
    <row r="239" spans="1:58" x14ac:dyDescent="0.25">
      <c r="A239" t="s">
        <v>364</v>
      </c>
      <c r="B239" t="s">
        <v>322</v>
      </c>
      <c r="C239" t="s">
        <v>356</v>
      </c>
      <c r="D239" t="s">
        <v>627</v>
      </c>
      <c r="E239">
        <v>86.61</v>
      </c>
      <c r="F239">
        <v>26</v>
      </c>
      <c r="G239">
        <v>0.33</v>
      </c>
      <c r="H239">
        <v>0.16</v>
      </c>
      <c r="I239">
        <v>5.31</v>
      </c>
      <c r="J239">
        <v>7.21</v>
      </c>
      <c r="K239">
        <v>5.91</v>
      </c>
      <c r="L239">
        <v>1.3</v>
      </c>
      <c r="M239">
        <v>0.38</v>
      </c>
      <c r="N239">
        <v>0.27</v>
      </c>
      <c r="P239">
        <v>0.01</v>
      </c>
      <c r="Q239">
        <v>0.03</v>
      </c>
      <c r="R239">
        <v>0.1</v>
      </c>
      <c r="S239">
        <v>0.38</v>
      </c>
      <c r="T239">
        <v>0.35</v>
      </c>
      <c r="U239">
        <v>9.39</v>
      </c>
      <c r="V239">
        <v>213</v>
      </c>
      <c r="W239">
        <v>19.52</v>
      </c>
      <c r="X239">
        <v>20.28</v>
      </c>
      <c r="Y239">
        <v>6.53</v>
      </c>
      <c r="Z239">
        <v>1.1499999999999999</v>
      </c>
      <c r="AA239">
        <v>222</v>
      </c>
      <c r="AB239">
        <v>1.27</v>
      </c>
      <c r="AC239">
        <v>0.13</v>
      </c>
      <c r="AD239">
        <v>0.12</v>
      </c>
      <c r="AE239">
        <v>0.05</v>
      </c>
      <c r="AG239">
        <v>0.85</v>
      </c>
      <c r="AH239">
        <v>12.08</v>
      </c>
      <c r="AI239">
        <v>3.88</v>
      </c>
      <c r="AJ239">
        <v>4.84</v>
      </c>
      <c r="AK239">
        <v>26.3</v>
      </c>
      <c r="AL239">
        <v>4.5199999999999996</v>
      </c>
      <c r="AM239">
        <v>4.58</v>
      </c>
      <c r="AN239">
        <v>7.28</v>
      </c>
      <c r="AO239">
        <v>0.66</v>
      </c>
      <c r="AP239">
        <v>2.74</v>
      </c>
      <c r="AQ239">
        <v>0.73</v>
      </c>
      <c r="AR239">
        <v>2.31</v>
      </c>
      <c r="AS239">
        <v>3.91</v>
      </c>
      <c r="AT239">
        <v>3.12</v>
      </c>
      <c r="AU239">
        <v>4.55</v>
      </c>
      <c r="AV239">
        <v>2.14</v>
      </c>
      <c r="AW239">
        <v>3.25</v>
      </c>
      <c r="AX239">
        <v>3.21</v>
      </c>
      <c r="AY239">
        <v>35.700000000000003</v>
      </c>
      <c r="AZ239">
        <v>22.17</v>
      </c>
      <c r="BA239">
        <v>70.14</v>
      </c>
      <c r="BC239">
        <v>3.4</v>
      </c>
      <c r="BD239">
        <v>0.53</v>
      </c>
      <c r="BF239">
        <v>1.62</v>
      </c>
    </row>
    <row r="240" spans="1:58" x14ac:dyDescent="0.25">
      <c r="A240" t="s">
        <v>364</v>
      </c>
      <c r="B240" t="s">
        <v>108</v>
      </c>
      <c r="C240" t="s">
        <v>356</v>
      </c>
      <c r="D240" t="s">
        <v>628</v>
      </c>
      <c r="E240">
        <v>83.88</v>
      </c>
      <c r="F240">
        <v>60</v>
      </c>
      <c r="G240">
        <v>0.76</v>
      </c>
      <c r="H240">
        <v>0.32</v>
      </c>
      <c r="I240">
        <v>13.23</v>
      </c>
      <c r="J240">
        <v>1.35</v>
      </c>
      <c r="K240">
        <v>0.82</v>
      </c>
      <c r="L240">
        <v>0.52</v>
      </c>
      <c r="M240">
        <v>0.46</v>
      </c>
      <c r="N240">
        <v>4.8899999999999997</v>
      </c>
      <c r="P240">
        <v>0.03</v>
      </c>
      <c r="Q240">
        <v>0.03</v>
      </c>
      <c r="R240">
        <v>0.14000000000000001</v>
      </c>
      <c r="S240">
        <v>7.0000000000000007E-2</v>
      </c>
      <c r="T240">
        <v>0.11</v>
      </c>
      <c r="U240">
        <v>8.69</v>
      </c>
      <c r="V240">
        <v>18.3</v>
      </c>
      <c r="W240">
        <v>10.57</v>
      </c>
      <c r="X240">
        <v>21.04</v>
      </c>
      <c r="Y240">
        <v>7.47</v>
      </c>
      <c r="Z240">
        <v>1.93</v>
      </c>
      <c r="AA240">
        <v>171</v>
      </c>
      <c r="AB240">
        <v>0.22</v>
      </c>
      <c r="AC240">
        <v>0.08</v>
      </c>
      <c r="AD240">
        <v>0.06</v>
      </c>
      <c r="AE240">
        <v>0.05</v>
      </c>
      <c r="AG240">
        <v>0.49</v>
      </c>
      <c r="AH240">
        <v>9.65</v>
      </c>
      <c r="AI240">
        <v>4.9000000000000004</v>
      </c>
      <c r="AJ240">
        <v>4.59</v>
      </c>
      <c r="AK240">
        <v>22.5</v>
      </c>
      <c r="AL240">
        <v>4.72</v>
      </c>
      <c r="AM240">
        <v>3.35</v>
      </c>
      <c r="AN240">
        <v>6.56</v>
      </c>
      <c r="AO240">
        <v>1.17</v>
      </c>
      <c r="AP240">
        <v>2.6</v>
      </c>
      <c r="AQ240">
        <v>1.1299999999999999</v>
      </c>
      <c r="AR240">
        <v>1.98</v>
      </c>
      <c r="AS240">
        <v>5.92</v>
      </c>
      <c r="AT240">
        <v>2.2400000000000002</v>
      </c>
      <c r="AU240">
        <v>3.59</v>
      </c>
      <c r="AV240">
        <v>2.59</v>
      </c>
      <c r="AW240">
        <v>2.15</v>
      </c>
      <c r="AX240">
        <v>5.97</v>
      </c>
      <c r="AY240">
        <v>106</v>
      </c>
      <c r="AZ240">
        <v>12.73</v>
      </c>
      <c r="BA240">
        <v>139</v>
      </c>
      <c r="BC240">
        <v>10.02</v>
      </c>
      <c r="BF240">
        <v>29.36</v>
      </c>
    </row>
    <row r="241" spans="1:58" x14ac:dyDescent="0.25">
      <c r="A241" t="s">
        <v>364</v>
      </c>
      <c r="B241" t="s">
        <v>109</v>
      </c>
      <c r="C241" t="s">
        <v>356</v>
      </c>
      <c r="D241" t="s">
        <v>629</v>
      </c>
      <c r="E241">
        <v>85.26</v>
      </c>
      <c r="F241">
        <v>55</v>
      </c>
      <c r="G241">
        <v>0.62</v>
      </c>
      <c r="H241">
        <v>0.31</v>
      </c>
      <c r="I241">
        <v>12.13</v>
      </c>
      <c r="J241">
        <v>1.24</v>
      </c>
      <c r="K241">
        <v>0.81</v>
      </c>
      <c r="L241">
        <v>0.43</v>
      </c>
      <c r="M241">
        <v>0.44</v>
      </c>
      <c r="N241">
        <v>4.08</v>
      </c>
      <c r="P241">
        <v>0.03</v>
      </c>
      <c r="Q241">
        <v>0.02</v>
      </c>
      <c r="R241">
        <v>0.13</v>
      </c>
      <c r="S241">
        <v>0.06</v>
      </c>
      <c r="T241">
        <v>7.0000000000000007E-2</v>
      </c>
      <c r="U241">
        <v>8.5399999999999991</v>
      </c>
      <c r="V241">
        <v>22.87</v>
      </c>
      <c r="AG241">
        <v>0.69</v>
      </c>
      <c r="AH241">
        <v>10.36</v>
      </c>
      <c r="AI241">
        <v>5.1100000000000003</v>
      </c>
      <c r="AJ241">
        <v>4.47</v>
      </c>
      <c r="AK241">
        <v>21.4</v>
      </c>
      <c r="AL241">
        <v>5.78</v>
      </c>
      <c r="AM241">
        <v>3.12</v>
      </c>
      <c r="AN241">
        <v>7.73</v>
      </c>
      <c r="AO241">
        <v>1.17</v>
      </c>
      <c r="AP241">
        <v>2.31</v>
      </c>
      <c r="AQ241">
        <v>1.29</v>
      </c>
      <c r="AR241">
        <v>2.19</v>
      </c>
      <c r="AS241">
        <v>7.22</v>
      </c>
      <c r="AT241">
        <v>2.39</v>
      </c>
      <c r="AU241">
        <v>2.76</v>
      </c>
      <c r="AV241">
        <v>3.01</v>
      </c>
      <c r="AW241">
        <v>2.3199999999999998</v>
      </c>
      <c r="AX241">
        <v>6.47</v>
      </c>
      <c r="AY241">
        <v>90.86</v>
      </c>
      <c r="AZ241">
        <v>11.92</v>
      </c>
      <c r="BA241">
        <v>121</v>
      </c>
      <c r="BC241">
        <v>9.58</v>
      </c>
      <c r="BF241">
        <v>24.52</v>
      </c>
    </row>
    <row r="242" spans="1:58" x14ac:dyDescent="0.25">
      <c r="A242" t="s">
        <v>364</v>
      </c>
      <c r="B242" t="s">
        <v>110</v>
      </c>
      <c r="C242" t="s">
        <v>356</v>
      </c>
      <c r="D242" t="s">
        <v>630</v>
      </c>
      <c r="E242">
        <v>86.51</v>
      </c>
      <c r="F242">
        <v>49</v>
      </c>
      <c r="G242">
        <v>0.95</v>
      </c>
      <c r="H242">
        <v>0.23</v>
      </c>
      <c r="I242">
        <v>10.69</v>
      </c>
      <c r="J242">
        <v>1.21</v>
      </c>
      <c r="K242">
        <v>0.82</v>
      </c>
      <c r="L242">
        <v>0.39</v>
      </c>
      <c r="M242">
        <v>0.4</v>
      </c>
      <c r="N242">
        <v>3.22</v>
      </c>
      <c r="P242">
        <v>0.08</v>
      </c>
      <c r="Q242">
        <v>0.04</v>
      </c>
      <c r="R242">
        <v>0.11</v>
      </c>
      <c r="S242">
        <v>0.1</v>
      </c>
      <c r="T242">
        <v>0.1</v>
      </c>
      <c r="U242">
        <v>7.07</v>
      </c>
      <c r="V242">
        <v>20.51</v>
      </c>
      <c r="W242">
        <v>7.27</v>
      </c>
      <c r="X242">
        <v>25.51</v>
      </c>
      <c r="Y242">
        <v>6.86</v>
      </c>
      <c r="Z242">
        <v>0.87</v>
      </c>
      <c r="AA242">
        <v>178</v>
      </c>
      <c r="AB242">
        <v>0.28000000000000003</v>
      </c>
      <c r="AC242">
        <v>0.1</v>
      </c>
      <c r="AD242">
        <v>0.05</v>
      </c>
      <c r="AE242">
        <v>7.0000000000000007E-2</v>
      </c>
      <c r="AG242">
        <v>0.79</v>
      </c>
      <c r="AH242">
        <v>10.52</v>
      </c>
      <c r="AI242">
        <v>5.61</v>
      </c>
      <c r="AJ242">
        <v>4.58</v>
      </c>
      <c r="AK242">
        <v>20.03</v>
      </c>
      <c r="AL242">
        <v>4.33</v>
      </c>
      <c r="AM242">
        <v>3.2</v>
      </c>
      <c r="AN242">
        <v>5.74</v>
      </c>
      <c r="AO242">
        <v>1.07</v>
      </c>
      <c r="AP242">
        <v>2.61</v>
      </c>
      <c r="AQ242">
        <v>1.0900000000000001</v>
      </c>
      <c r="AR242">
        <v>3.77</v>
      </c>
      <c r="AS242">
        <v>6.41</v>
      </c>
      <c r="AT242">
        <v>2.15</v>
      </c>
      <c r="AU242">
        <v>4.2699999999999996</v>
      </c>
      <c r="AV242">
        <v>2.64</v>
      </c>
      <c r="AW242">
        <v>1.75</v>
      </c>
      <c r="AX242">
        <v>6.52</v>
      </c>
      <c r="AY242">
        <v>88.2</v>
      </c>
      <c r="AZ242">
        <v>11.98</v>
      </c>
      <c r="BA242">
        <v>124</v>
      </c>
      <c r="BC242">
        <v>10.39</v>
      </c>
      <c r="BF242">
        <v>19.329999999999998</v>
      </c>
    </row>
    <row r="243" spans="1:58" x14ac:dyDescent="0.25">
      <c r="A243" t="s">
        <v>364</v>
      </c>
      <c r="B243" t="s">
        <v>111</v>
      </c>
      <c r="C243" t="s">
        <v>356</v>
      </c>
      <c r="D243" t="s">
        <v>631</v>
      </c>
      <c r="E243">
        <v>73.930000000000007</v>
      </c>
      <c r="F243">
        <v>99</v>
      </c>
      <c r="G243">
        <v>1.72</v>
      </c>
      <c r="H243">
        <v>0.64</v>
      </c>
      <c r="I243">
        <v>20.99</v>
      </c>
      <c r="J243">
        <v>1.86</v>
      </c>
      <c r="K243">
        <v>1.23</v>
      </c>
      <c r="L243">
        <v>0.62</v>
      </c>
      <c r="M243">
        <v>0.86</v>
      </c>
      <c r="N243">
        <v>2.88</v>
      </c>
      <c r="P243">
        <v>0.06</v>
      </c>
      <c r="Q243">
        <v>0.03</v>
      </c>
      <c r="R243">
        <v>0.2</v>
      </c>
      <c r="S243">
        <v>0.13</v>
      </c>
      <c r="T243">
        <v>0.11</v>
      </c>
      <c r="U243">
        <v>7.2</v>
      </c>
      <c r="V243">
        <v>22.85</v>
      </c>
      <c r="W243">
        <v>19.059999999999999</v>
      </c>
      <c r="X243">
        <v>33.42</v>
      </c>
      <c r="Y243">
        <v>9.49</v>
      </c>
      <c r="Z243">
        <v>1.5</v>
      </c>
      <c r="AA243">
        <v>245</v>
      </c>
      <c r="AB243">
        <v>0.25</v>
      </c>
      <c r="AC243">
        <v>0.15</v>
      </c>
      <c r="AD243">
        <v>0.16</v>
      </c>
      <c r="AE243">
        <v>0.11</v>
      </c>
      <c r="AG243">
        <v>0.64</v>
      </c>
      <c r="AH243">
        <v>9.94</v>
      </c>
      <c r="AI243">
        <v>5.12</v>
      </c>
      <c r="AJ243">
        <v>5.38</v>
      </c>
      <c r="AK243">
        <v>22.87</v>
      </c>
      <c r="AL243">
        <v>5.61</v>
      </c>
      <c r="AM243">
        <v>3.73</v>
      </c>
      <c r="AN243">
        <v>7.08</v>
      </c>
      <c r="AO243">
        <v>1.73</v>
      </c>
      <c r="AP243">
        <v>2.99</v>
      </c>
      <c r="AQ243">
        <v>1.17</v>
      </c>
      <c r="AR243">
        <v>2.56</v>
      </c>
      <c r="AS243">
        <v>6.94</v>
      </c>
      <c r="AT243">
        <v>1.75</v>
      </c>
      <c r="AU243">
        <v>3.78</v>
      </c>
      <c r="AV243">
        <v>2.64</v>
      </c>
      <c r="AW243">
        <v>1.91</v>
      </c>
      <c r="AX243">
        <v>6.79</v>
      </c>
      <c r="AY243">
        <v>52.46</v>
      </c>
      <c r="AZ243">
        <v>32.979999999999997</v>
      </c>
      <c r="BA243">
        <v>181</v>
      </c>
      <c r="BC243">
        <v>9.15</v>
      </c>
      <c r="BF243">
        <v>17.309999999999999</v>
      </c>
    </row>
    <row r="244" spans="1:58" x14ac:dyDescent="0.25">
      <c r="A244" t="s">
        <v>364</v>
      </c>
      <c r="B244" t="s">
        <v>112</v>
      </c>
      <c r="C244" t="s">
        <v>356</v>
      </c>
      <c r="D244" t="s">
        <v>632</v>
      </c>
      <c r="E244">
        <v>84.47</v>
      </c>
      <c r="F244">
        <v>58</v>
      </c>
      <c r="G244">
        <v>0.68</v>
      </c>
      <c r="H244">
        <v>0.25</v>
      </c>
      <c r="I244">
        <v>12.93</v>
      </c>
      <c r="J244">
        <v>1.24</v>
      </c>
      <c r="K244">
        <v>0.81</v>
      </c>
      <c r="L244">
        <v>0.43</v>
      </c>
      <c r="M244">
        <v>0.44</v>
      </c>
      <c r="N244">
        <v>5.63</v>
      </c>
      <c r="P244">
        <v>0.03</v>
      </c>
      <c r="Q244">
        <v>0.04</v>
      </c>
      <c r="R244">
        <v>0.13</v>
      </c>
      <c r="S244">
        <v>0.1</v>
      </c>
      <c r="T244">
        <v>0.08</v>
      </c>
      <c r="U244">
        <v>8.35</v>
      </c>
      <c r="V244">
        <v>16.25</v>
      </c>
      <c r="W244">
        <v>16.82</v>
      </c>
      <c r="X244">
        <v>20.69</v>
      </c>
      <c r="Y244">
        <v>10.55</v>
      </c>
      <c r="Z244">
        <v>1.1200000000000001</v>
      </c>
      <c r="AA244">
        <v>170</v>
      </c>
      <c r="AB244">
        <v>0.26</v>
      </c>
      <c r="AC244">
        <v>0.08</v>
      </c>
      <c r="AD244">
        <v>0.72</v>
      </c>
      <c r="AE244">
        <v>0.05</v>
      </c>
      <c r="AG244">
        <v>0.81</v>
      </c>
      <c r="AH244">
        <v>11.12</v>
      </c>
      <c r="AI244">
        <v>5.28</v>
      </c>
      <c r="AJ244">
        <v>4.8499999999999996</v>
      </c>
      <c r="AK244">
        <v>21.4</v>
      </c>
      <c r="AL244">
        <v>5.78</v>
      </c>
      <c r="AM244">
        <v>2.92</v>
      </c>
      <c r="AN244">
        <v>7.73</v>
      </c>
      <c r="AO244">
        <v>1.17</v>
      </c>
      <c r="AP244">
        <v>2.69</v>
      </c>
      <c r="AQ244">
        <v>0.92</v>
      </c>
      <c r="AR244">
        <v>1.99</v>
      </c>
      <c r="AS244">
        <v>7.22</v>
      </c>
      <c r="AT244">
        <v>2.39</v>
      </c>
      <c r="AU244">
        <v>4.38</v>
      </c>
      <c r="AV244">
        <v>3.01</v>
      </c>
      <c r="AW244">
        <v>2.3199999999999998</v>
      </c>
      <c r="AX244">
        <v>6.68</v>
      </c>
      <c r="AY244">
        <v>88.18</v>
      </c>
      <c r="AZ244">
        <v>9.35</v>
      </c>
      <c r="BA244">
        <v>112</v>
      </c>
      <c r="BC244">
        <v>9.64</v>
      </c>
      <c r="BF244">
        <v>33.82</v>
      </c>
    </row>
    <row r="245" spans="1:58" x14ac:dyDescent="0.25">
      <c r="A245" t="s">
        <v>364</v>
      </c>
      <c r="B245" t="s">
        <v>113</v>
      </c>
      <c r="C245" t="s">
        <v>356</v>
      </c>
      <c r="D245" t="s">
        <v>633</v>
      </c>
      <c r="E245">
        <v>84.18</v>
      </c>
      <c r="F245">
        <v>39</v>
      </c>
      <c r="G245">
        <v>1.53</v>
      </c>
      <c r="H245">
        <v>0.38</v>
      </c>
      <c r="I245">
        <v>6.88</v>
      </c>
      <c r="J245">
        <v>6.31</v>
      </c>
      <c r="K245">
        <v>5.23</v>
      </c>
      <c r="L245">
        <v>1.08</v>
      </c>
      <c r="M245">
        <v>0.74</v>
      </c>
      <c r="N245">
        <v>19.670000000000002</v>
      </c>
      <c r="Q245">
        <v>0.01</v>
      </c>
      <c r="R245">
        <v>0.61</v>
      </c>
      <c r="S245">
        <v>0.26</v>
      </c>
      <c r="T245">
        <v>0.11</v>
      </c>
      <c r="U245">
        <v>25.24</v>
      </c>
      <c r="V245">
        <v>30.88</v>
      </c>
      <c r="W245">
        <v>6.59</v>
      </c>
      <c r="X245">
        <v>15.27</v>
      </c>
      <c r="Y245">
        <v>12.02</v>
      </c>
      <c r="Z245">
        <v>1.95</v>
      </c>
      <c r="AA245">
        <v>296</v>
      </c>
      <c r="AB245">
        <v>0.53</v>
      </c>
      <c r="AC245">
        <v>0.21</v>
      </c>
      <c r="AD245">
        <v>0.59</v>
      </c>
      <c r="AE245">
        <v>0.33</v>
      </c>
      <c r="AF245">
        <v>4.8600000000000003</v>
      </c>
      <c r="AG245">
        <v>0.69</v>
      </c>
      <c r="AH245">
        <v>27.41</v>
      </c>
      <c r="AI245">
        <v>3.14</v>
      </c>
      <c r="AJ245">
        <v>3.95</v>
      </c>
      <c r="AK245">
        <v>14.08</v>
      </c>
      <c r="AL245">
        <v>2.34</v>
      </c>
      <c r="AM245">
        <v>5.17</v>
      </c>
      <c r="AN245">
        <v>6.45</v>
      </c>
      <c r="AO245">
        <v>0.98</v>
      </c>
      <c r="AP245">
        <v>3.68</v>
      </c>
      <c r="AQ245">
        <v>1.42</v>
      </c>
      <c r="AR245">
        <v>3.46</v>
      </c>
      <c r="AS245">
        <v>5.91</v>
      </c>
      <c r="AT245">
        <v>4.59</v>
      </c>
      <c r="AU245">
        <v>3.2</v>
      </c>
      <c r="AV245">
        <v>2.04</v>
      </c>
      <c r="AW245">
        <v>2.94</v>
      </c>
      <c r="AX245">
        <v>5.38</v>
      </c>
      <c r="AY245">
        <v>56.44</v>
      </c>
      <c r="AZ245">
        <v>19.98</v>
      </c>
      <c r="BA245">
        <v>223</v>
      </c>
      <c r="BC245">
        <v>5.76</v>
      </c>
      <c r="BD245">
        <v>0.21</v>
      </c>
      <c r="BF245">
        <v>118</v>
      </c>
    </row>
    <row r="246" spans="1:58" x14ac:dyDescent="0.25">
      <c r="A246" t="s">
        <v>364</v>
      </c>
      <c r="B246" t="s">
        <v>114</v>
      </c>
      <c r="C246" t="s">
        <v>356</v>
      </c>
      <c r="D246" t="s">
        <v>634</v>
      </c>
      <c r="E246">
        <v>81.400000000000006</v>
      </c>
      <c r="F246">
        <v>47</v>
      </c>
      <c r="G246">
        <v>1.1399999999999999</v>
      </c>
      <c r="H246">
        <v>0.27</v>
      </c>
      <c r="I246">
        <v>9.48</v>
      </c>
      <c r="J246">
        <v>6.83</v>
      </c>
      <c r="K246">
        <v>5.66</v>
      </c>
      <c r="L246">
        <v>1.17</v>
      </c>
      <c r="M246">
        <v>0.88</v>
      </c>
      <c r="N246">
        <v>29.17</v>
      </c>
      <c r="P246">
        <v>0.04</v>
      </c>
      <c r="Q246">
        <v>0.03</v>
      </c>
      <c r="R246">
        <v>0.67</v>
      </c>
      <c r="S246">
        <v>0.19</v>
      </c>
      <c r="T246">
        <v>0.2</v>
      </c>
      <c r="U246">
        <v>36.840000000000003</v>
      </c>
      <c r="V246">
        <v>244</v>
      </c>
      <c r="W246">
        <v>18.71</v>
      </c>
      <c r="X246">
        <v>21.94</v>
      </c>
      <c r="Y246">
        <v>15.38</v>
      </c>
      <c r="Z246">
        <v>1.95</v>
      </c>
      <c r="AA246">
        <v>266</v>
      </c>
      <c r="AB246">
        <v>0.34</v>
      </c>
      <c r="AC246">
        <v>0.17</v>
      </c>
      <c r="AD246">
        <v>0.15</v>
      </c>
      <c r="AE246">
        <v>0.22</v>
      </c>
      <c r="AF246">
        <v>2.85</v>
      </c>
      <c r="AG246">
        <v>0.79</v>
      </c>
      <c r="AH246">
        <v>17.45</v>
      </c>
      <c r="AI246">
        <v>3.96</v>
      </c>
      <c r="AJ246">
        <v>4.37</v>
      </c>
      <c r="AK246">
        <v>14.88</v>
      </c>
      <c r="AL246">
        <v>5.8</v>
      </c>
      <c r="AM246">
        <v>8.16</v>
      </c>
      <c r="AN246">
        <v>7</v>
      </c>
      <c r="AO246">
        <v>0.84</v>
      </c>
      <c r="AP246">
        <v>3.19</v>
      </c>
      <c r="AQ246">
        <v>0.75</v>
      </c>
      <c r="AR246">
        <v>4.21</v>
      </c>
      <c r="AS246">
        <v>5.7</v>
      </c>
      <c r="AT246">
        <v>2.42</v>
      </c>
      <c r="AU246">
        <v>2.02</v>
      </c>
      <c r="AV246">
        <v>2.0699999999999998</v>
      </c>
      <c r="AW246">
        <v>2.72</v>
      </c>
      <c r="AX246">
        <v>3.38</v>
      </c>
      <c r="AY246">
        <v>26.59</v>
      </c>
      <c r="AZ246">
        <v>13.84</v>
      </c>
      <c r="BA246">
        <v>95.57</v>
      </c>
      <c r="BC246">
        <v>7.46</v>
      </c>
      <c r="BD246">
        <v>0.71</v>
      </c>
      <c r="BF246">
        <v>175</v>
      </c>
    </row>
    <row r="247" spans="1:58" x14ac:dyDescent="0.25">
      <c r="A247" t="s">
        <v>364</v>
      </c>
      <c r="B247" t="s">
        <v>115</v>
      </c>
      <c r="C247" t="s">
        <v>356</v>
      </c>
      <c r="D247" t="s">
        <v>635</v>
      </c>
      <c r="E247">
        <v>84.1</v>
      </c>
      <c r="F247">
        <v>31</v>
      </c>
      <c r="G247">
        <v>1.5</v>
      </c>
      <c r="H247">
        <v>0.31</v>
      </c>
      <c r="I247">
        <v>4.8499999999999996</v>
      </c>
      <c r="J247">
        <v>8.5399999999999991</v>
      </c>
      <c r="K247">
        <v>7.13</v>
      </c>
      <c r="L247">
        <v>1.41</v>
      </c>
      <c r="M247">
        <v>0.71</v>
      </c>
      <c r="N247">
        <v>52.5</v>
      </c>
      <c r="P247">
        <v>0.05</v>
      </c>
      <c r="Q247">
        <v>0.03</v>
      </c>
      <c r="R247">
        <v>0.62</v>
      </c>
      <c r="S247">
        <v>0.24</v>
      </c>
      <c r="T247">
        <v>0.12</v>
      </c>
      <c r="U247">
        <v>28.79</v>
      </c>
      <c r="V247">
        <v>212</v>
      </c>
      <c r="W247">
        <v>17.600000000000001</v>
      </c>
      <c r="X247">
        <v>20.73</v>
      </c>
      <c r="Y247">
        <v>14.5</v>
      </c>
      <c r="Z247">
        <v>2.96</v>
      </c>
      <c r="AA247">
        <v>241</v>
      </c>
      <c r="AB247">
        <v>0.25</v>
      </c>
      <c r="AC247">
        <v>0.25</v>
      </c>
      <c r="AD247">
        <v>0.12</v>
      </c>
      <c r="AE247">
        <v>0.18</v>
      </c>
      <c r="AF247">
        <v>2.1</v>
      </c>
      <c r="AG247">
        <v>1.01</v>
      </c>
      <c r="AH247">
        <v>14.54</v>
      </c>
      <c r="AI247">
        <v>3.74</v>
      </c>
      <c r="AJ247">
        <v>4.53</v>
      </c>
      <c r="AK247">
        <v>15.34</v>
      </c>
      <c r="AL247">
        <v>5.24</v>
      </c>
      <c r="AM247">
        <v>7.01</v>
      </c>
      <c r="AN247">
        <v>5.99</v>
      </c>
      <c r="AO247">
        <v>1.02</v>
      </c>
      <c r="AP247">
        <v>3.51</v>
      </c>
      <c r="AQ247">
        <v>1.03</v>
      </c>
      <c r="AR247">
        <v>4.2300000000000004</v>
      </c>
      <c r="AS247">
        <v>7.36</v>
      </c>
      <c r="AT247">
        <v>2.61</v>
      </c>
      <c r="AU247">
        <v>1.26</v>
      </c>
      <c r="AV247">
        <v>2.04</v>
      </c>
      <c r="AW247">
        <v>2.4900000000000002</v>
      </c>
      <c r="AX247">
        <v>3.14</v>
      </c>
      <c r="AY247">
        <v>46.16</v>
      </c>
      <c r="AZ247">
        <v>33.18</v>
      </c>
      <c r="BA247">
        <v>169</v>
      </c>
      <c r="BC247">
        <v>4.0199999999999996</v>
      </c>
      <c r="BD247">
        <v>0.61</v>
      </c>
      <c r="BF247">
        <v>315</v>
      </c>
    </row>
    <row r="248" spans="1:58" x14ac:dyDescent="0.25">
      <c r="A248" t="s">
        <v>364</v>
      </c>
      <c r="B248" t="s">
        <v>117</v>
      </c>
      <c r="C248" t="s">
        <v>356</v>
      </c>
      <c r="D248" t="s">
        <v>637</v>
      </c>
      <c r="E248">
        <v>83.24</v>
      </c>
      <c r="F248">
        <v>56</v>
      </c>
      <c r="G248">
        <v>0.67</v>
      </c>
      <c r="H248">
        <v>0.18</v>
      </c>
      <c r="I248">
        <v>12.55</v>
      </c>
      <c r="J248">
        <v>3.06</v>
      </c>
      <c r="K248">
        <v>2.35</v>
      </c>
      <c r="L248">
        <v>0.71</v>
      </c>
      <c r="M248">
        <v>0.3</v>
      </c>
      <c r="P248">
        <v>0.02</v>
      </c>
      <c r="Q248">
        <v>0.01</v>
      </c>
      <c r="R248">
        <v>0.16</v>
      </c>
      <c r="S248">
        <v>0.4</v>
      </c>
      <c r="T248">
        <v>0.04</v>
      </c>
      <c r="U248">
        <v>7.17</v>
      </c>
      <c r="V248">
        <v>17.64</v>
      </c>
      <c r="W248">
        <v>28.62</v>
      </c>
      <c r="X248">
        <v>10.95</v>
      </c>
      <c r="Y248">
        <v>29.8</v>
      </c>
      <c r="Z248">
        <v>2.65</v>
      </c>
      <c r="AA248">
        <v>115</v>
      </c>
      <c r="AB248">
        <v>0.45</v>
      </c>
      <c r="AC248">
        <v>0.05</v>
      </c>
      <c r="AD248">
        <v>0.04</v>
      </c>
      <c r="AE248">
        <v>7.0000000000000007E-2</v>
      </c>
      <c r="AY248">
        <v>70.31</v>
      </c>
      <c r="AZ248">
        <v>21.7</v>
      </c>
      <c r="BA248">
        <v>51.99</v>
      </c>
      <c r="BC248">
        <v>6.78</v>
      </c>
      <c r="BD248">
        <v>1.46</v>
      </c>
    </row>
    <row r="249" spans="1:58" x14ac:dyDescent="0.25">
      <c r="A249" t="s">
        <v>364</v>
      </c>
      <c r="B249" t="s">
        <v>118</v>
      </c>
      <c r="C249" t="s">
        <v>356</v>
      </c>
      <c r="D249" t="s">
        <v>638</v>
      </c>
      <c r="E249">
        <v>86.04</v>
      </c>
      <c r="F249">
        <v>33</v>
      </c>
      <c r="G249">
        <v>1.1499999999999999</v>
      </c>
      <c r="H249">
        <v>1.67</v>
      </c>
      <c r="I249">
        <v>2.87</v>
      </c>
      <c r="J249">
        <v>7.25</v>
      </c>
      <c r="K249">
        <v>5.87</v>
      </c>
      <c r="L249">
        <v>1.38</v>
      </c>
      <c r="M249">
        <v>1.02</v>
      </c>
      <c r="N249">
        <v>2.6</v>
      </c>
      <c r="P249">
        <v>0.01</v>
      </c>
      <c r="Q249">
        <v>0.02</v>
      </c>
      <c r="R249">
        <v>0.25</v>
      </c>
      <c r="S249">
        <v>0.67</v>
      </c>
      <c r="T249">
        <v>0.08</v>
      </c>
      <c r="U249">
        <v>8.7200000000000006</v>
      </c>
      <c r="V249">
        <v>135</v>
      </c>
      <c r="W249">
        <v>10.81</v>
      </c>
      <c r="X249">
        <v>32.619999999999997</v>
      </c>
      <c r="Y249">
        <v>24.45</v>
      </c>
      <c r="Z249">
        <v>2.5499999999999998</v>
      </c>
      <c r="AA249">
        <v>351</v>
      </c>
      <c r="AB249">
        <v>0.87</v>
      </c>
      <c r="AC249">
        <v>0.24</v>
      </c>
      <c r="AD249">
        <v>0.71</v>
      </c>
      <c r="AE249">
        <v>0.25</v>
      </c>
      <c r="AF249">
        <v>1.57</v>
      </c>
      <c r="AG249">
        <v>0.85</v>
      </c>
      <c r="AH249">
        <v>15.38</v>
      </c>
      <c r="AI249">
        <v>3.66</v>
      </c>
      <c r="AJ249">
        <v>4.8499999999999996</v>
      </c>
      <c r="AK249">
        <v>15.62</v>
      </c>
      <c r="AL249">
        <v>3.82</v>
      </c>
      <c r="AM249">
        <v>3.85</v>
      </c>
      <c r="AN249">
        <v>5.62</v>
      </c>
      <c r="AO249">
        <v>1.18</v>
      </c>
      <c r="AP249">
        <v>4.62</v>
      </c>
      <c r="AQ249">
        <v>1.25</v>
      </c>
      <c r="AR249">
        <v>2.86</v>
      </c>
      <c r="AS249">
        <v>4.8499999999999996</v>
      </c>
      <c r="AT249">
        <v>3.12</v>
      </c>
      <c r="AU249">
        <v>3.86</v>
      </c>
      <c r="AV249">
        <v>3.08</v>
      </c>
      <c r="AW249">
        <v>1.98</v>
      </c>
      <c r="AX249">
        <v>4.21</v>
      </c>
      <c r="AY249">
        <v>66.81</v>
      </c>
      <c r="AZ249">
        <v>24.12</v>
      </c>
      <c r="BA249">
        <v>52.6</v>
      </c>
      <c r="BC249">
        <v>1.75</v>
      </c>
      <c r="BD249">
        <v>0.8</v>
      </c>
      <c r="BF249">
        <v>15.64</v>
      </c>
    </row>
    <row r="250" spans="1:58" x14ac:dyDescent="0.25">
      <c r="A250" t="s">
        <v>364</v>
      </c>
      <c r="B250" t="s">
        <v>121</v>
      </c>
      <c r="C250" t="s">
        <v>356</v>
      </c>
      <c r="D250" t="s">
        <v>641</v>
      </c>
      <c r="E250">
        <v>86.9</v>
      </c>
      <c r="F250">
        <v>46</v>
      </c>
      <c r="G250">
        <v>1.07</v>
      </c>
      <c r="H250">
        <v>0.37</v>
      </c>
      <c r="I250">
        <v>9.27</v>
      </c>
      <c r="J250">
        <v>2.27</v>
      </c>
      <c r="K250">
        <v>1.57</v>
      </c>
      <c r="L250">
        <v>0.7</v>
      </c>
      <c r="M250">
        <v>0.14000000000000001</v>
      </c>
      <c r="N250">
        <v>23.44</v>
      </c>
      <c r="Q250">
        <v>0.01</v>
      </c>
      <c r="R250">
        <v>2.2599999999999998</v>
      </c>
      <c r="S250">
        <v>0.35</v>
      </c>
      <c r="T250">
        <v>0.28000000000000003</v>
      </c>
      <c r="U250">
        <v>14.46</v>
      </c>
      <c r="V250">
        <v>20.190000000000001</v>
      </c>
      <c r="W250">
        <v>31.18</v>
      </c>
      <c r="X250">
        <v>13.88</v>
      </c>
      <c r="Y250">
        <v>20.36</v>
      </c>
      <c r="Z250">
        <v>1.74</v>
      </c>
      <c r="AA250">
        <v>226</v>
      </c>
      <c r="AB250">
        <v>0.81</v>
      </c>
      <c r="AC250">
        <v>0.14000000000000001</v>
      </c>
      <c r="AD250">
        <v>0.15</v>
      </c>
      <c r="AE250">
        <v>0.35</v>
      </c>
      <c r="AF250">
        <v>4.63</v>
      </c>
      <c r="AG250">
        <v>0.51</v>
      </c>
      <c r="AH250">
        <v>15.81</v>
      </c>
      <c r="AI250">
        <v>3.84</v>
      </c>
      <c r="AJ250">
        <v>5.84</v>
      </c>
      <c r="AK250">
        <v>14.16</v>
      </c>
      <c r="AL250">
        <v>8.1300000000000008</v>
      </c>
      <c r="AM250">
        <v>4.45</v>
      </c>
      <c r="AN250">
        <v>5.53</v>
      </c>
      <c r="AO250">
        <v>1.1599999999999999</v>
      </c>
      <c r="AP250">
        <v>4.75</v>
      </c>
      <c r="AQ250">
        <v>0.64</v>
      </c>
      <c r="AR250">
        <v>3.85</v>
      </c>
      <c r="AS250">
        <v>5.23</v>
      </c>
      <c r="AT250">
        <v>4.29</v>
      </c>
      <c r="AU250">
        <v>3.25</v>
      </c>
      <c r="AV250">
        <v>2.17</v>
      </c>
      <c r="AW250">
        <v>7.03</v>
      </c>
      <c r="AX250">
        <v>3.94</v>
      </c>
      <c r="AY250">
        <v>104</v>
      </c>
      <c r="AZ250">
        <v>66.16</v>
      </c>
      <c r="BA250">
        <v>122</v>
      </c>
      <c r="BC250">
        <v>7.56</v>
      </c>
      <c r="BD250">
        <v>1.41</v>
      </c>
      <c r="BE250">
        <v>18.53</v>
      </c>
      <c r="BF250">
        <v>58.4</v>
      </c>
    </row>
    <row r="251" spans="1:58" x14ac:dyDescent="0.25">
      <c r="A251" t="s">
        <v>364</v>
      </c>
      <c r="B251" t="s">
        <v>122</v>
      </c>
      <c r="C251" t="s">
        <v>356</v>
      </c>
      <c r="D251" t="s">
        <v>642</v>
      </c>
      <c r="E251">
        <v>88.57</v>
      </c>
      <c r="F251">
        <v>40</v>
      </c>
      <c r="G251">
        <v>0.56999999999999995</v>
      </c>
      <c r="H251">
        <v>0.56999999999999995</v>
      </c>
      <c r="I251">
        <v>7.67</v>
      </c>
      <c r="J251">
        <v>2.13</v>
      </c>
      <c r="K251">
        <v>1.1399999999999999</v>
      </c>
      <c r="L251">
        <v>0.99</v>
      </c>
      <c r="M251">
        <v>0.48</v>
      </c>
      <c r="N251">
        <v>173</v>
      </c>
      <c r="P251">
        <v>0.03</v>
      </c>
      <c r="Q251">
        <v>0.04</v>
      </c>
      <c r="R251">
        <v>0.22</v>
      </c>
      <c r="S251">
        <v>0.11</v>
      </c>
      <c r="T251">
        <v>0.1</v>
      </c>
      <c r="U251">
        <v>69.680000000000007</v>
      </c>
      <c r="V251">
        <v>32.08</v>
      </c>
      <c r="W251">
        <v>13.51</v>
      </c>
      <c r="X251">
        <v>12.4</v>
      </c>
      <c r="Y251">
        <v>14.87</v>
      </c>
      <c r="Z251">
        <v>1.32</v>
      </c>
      <c r="AA251">
        <v>160</v>
      </c>
      <c r="AB251">
        <v>0.56999999999999995</v>
      </c>
      <c r="AC251">
        <v>0.19</v>
      </c>
      <c r="AD251">
        <v>0.1</v>
      </c>
      <c r="AE251">
        <v>0.09</v>
      </c>
      <c r="AF251">
        <v>3.03</v>
      </c>
      <c r="AG251">
        <v>1.37</v>
      </c>
      <c r="AH251">
        <v>11.34</v>
      </c>
      <c r="AI251">
        <v>5.16</v>
      </c>
      <c r="AJ251">
        <v>4.12</v>
      </c>
      <c r="AK251">
        <v>14.72</v>
      </c>
      <c r="AL251">
        <v>4.25</v>
      </c>
      <c r="AM251">
        <v>5.17</v>
      </c>
      <c r="AN251">
        <v>8.16</v>
      </c>
      <c r="AO251">
        <v>0.87</v>
      </c>
      <c r="AP251">
        <v>6.35</v>
      </c>
      <c r="AQ251">
        <v>1.43</v>
      </c>
      <c r="AR251">
        <v>3.55</v>
      </c>
      <c r="AS251">
        <v>8.74</v>
      </c>
      <c r="AT251">
        <v>1.36</v>
      </c>
      <c r="AU251">
        <v>3.31</v>
      </c>
      <c r="AV251">
        <v>2.2799999999999998</v>
      </c>
      <c r="AW251">
        <v>5.5</v>
      </c>
      <c r="AX251">
        <v>3.67</v>
      </c>
      <c r="AY251">
        <v>174</v>
      </c>
      <c r="AZ251">
        <v>147</v>
      </c>
      <c r="BA251">
        <v>135</v>
      </c>
      <c r="BC251">
        <v>7.83</v>
      </c>
      <c r="BF251">
        <v>1034</v>
      </c>
    </row>
    <row r="252" spans="1:58" x14ac:dyDescent="0.25">
      <c r="A252" t="s">
        <v>364</v>
      </c>
      <c r="B252" t="s">
        <v>123</v>
      </c>
      <c r="C252" t="s">
        <v>356</v>
      </c>
      <c r="D252" t="s">
        <v>145</v>
      </c>
      <c r="E252">
        <v>79.13</v>
      </c>
      <c r="F252">
        <v>79</v>
      </c>
      <c r="G252">
        <v>0.8</v>
      </c>
      <c r="H252">
        <v>0.92</v>
      </c>
      <c r="I252">
        <v>16.7</v>
      </c>
      <c r="J252">
        <v>1.98</v>
      </c>
      <c r="K252">
        <v>1.2</v>
      </c>
      <c r="L252">
        <v>0.78</v>
      </c>
      <c r="M252">
        <v>0.47</v>
      </c>
      <c r="N252">
        <v>259</v>
      </c>
      <c r="Q252">
        <v>0.01</v>
      </c>
      <c r="R252">
        <v>0.39</v>
      </c>
      <c r="S252">
        <v>0.51</v>
      </c>
      <c r="T252">
        <v>0.1</v>
      </c>
      <c r="U252">
        <v>35.520000000000003</v>
      </c>
      <c r="V252">
        <v>17.739999999999998</v>
      </c>
      <c r="W252">
        <v>3.12</v>
      </c>
      <c r="X252">
        <v>7.88</v>
      </c>
      <c r="Y252">
        <v>6.72</v>
      </c>
      <c r="Z252">
        <v>1.48</v>
      </c>
      <c r="AA252">
        <v>259</v>
      </c>
      <c r="AB252">
        <v>0.1</v>
      </c>
      <c r="AD252">
        <v>0.06</v>
      </c>
      <c r="AE252">
        <v>0.08</v>
      </c>
      <c r="AF252">
        <v>4.05</v>
      </c>
      <c r="AG252">
        <v>0.94</v>
      </c>
      <c r="AH252">
        <v>9.43</v>
      </c>
      <c r="AI252">
        <v>4.55</v>
      </c>
      <c r="AJ252">
        <v>5.0599999999999996</v>
      </c>
      <c r="AK252">
        <v>12.85</v>
      </c>
      <c r="AL252">
        <v>4.41</v>
      </c>
      <c r="AM252">
        <v>5.19</v>
      </c>
      <c r="AN252">
        <v>5.9</v>
      </c>
      <c r="AO252">
        <v>0.83</v>
      </c>
      <c r="AP252">
        <v>6.17</v>
      </c>
      <c r="AQ252">
        <v>1.48</v>
      </c>
      <c r="AR252">
        <v>5.01</v>
      </c>
      <c r="AS252">
        <v>7.7</v>
      </c>
      <c r="AT252">
        <v>4.3</v>
      </c>
      <c r="AU252">
        <v>7.93</v>
      </c>
      <c r="AV252">
        <v>2.99</v>
      </c>
      <c r="AW252">
        <v>5.51</v>
      </c>
      <c r="AX252">
        <v>5.53</v>
      </c>
      <c r="AY252">
        <v>288</v>
      </c>
      <c r="AZ252">
        <v>308</v>
      </c>
      <c r="BA252">
        <v>140</v>
      </c>
      <c r="BC252">
        <v>14.23</v>
      </c>
      <c r="BD252">
        <v>0.53</v>
      </c>
      <c r="BF252">
        <v>1551</v>
      </c>
    </row>
    <row r="253" spans="1:58" x14ac:dyDescent="0.25">
      <c r="A253" t="s">
        <v>364</v>
      </c>
      <c r="B253" t="s">
        <v>124</v>
      </c>
      <c r="C253" t="s">
        <v>356</v>
      </c>
      <c r="D253" t="s">
        <v>643</v>
      </c>
      <c r="E253">
        <v>80.48</v>
      </c>
      <c r="F253">
        <v>75</v>
      </c>
      <c r="G253">
        <v>0.76</v>
      </c>
      <c r="H253">
        <v>0.98</v>
      </c>
      <c r="I253">
        <v>15.49</v>
      </c>
      <c r="J253">
        <v>1.7</v>
      </c>
      <c r="K253">
        <v>1.03</v>
      </c>
      <c r="L253">
        <v>0.68</v>
      </c>
      <c r="M253">
        <v>0.6</v>
      </c>
      <c r="N253">
        <v>169</v>
      </c>
      <c r="Q253">
        <v>0.01</v>
      </c>
      <c r="R253">
        <v>0.53</v>
      </c>
      <c r="S253">
        <v>0.13</v>
      </c>
      <c r="T253">
        <v>0.16</v>
      </c>
      <c r="U253">
        <v>27.91</v>
      </c>
      <c r="V253">
        <v>31.85</v>
      </c>
      <c r="W253">
        <v>3.88</v>
      </c>
      <c r="X253">
        <v>12.22</v>
      </c>
      <c r="Y253">
        <v>9.35</v>
      </c>
      <c r="Z253">
        <v>1.4</v>
      </c>
      <c r="AA253">
        <v>288</v>
      </c>
      <c r="AB253">
        <v>0.4</v>
      </c>
      <c r="AC253">
        <v>0.25</v>
      </c>
      <c r="AD253">
        <v>0.56999999999999995</v>
      </c>
      <c r="AE253">
        <v>2.2799999999999998</v>
      </c>
      <c r="AF253">
        <v>2.46</v>
      </c>
      <c r="AG253">
        <v>0.91</v>
      </c>
      <c r="AH253">
        <v>8.94</v>
      </c>
      <c r="AI253">
        <v>4.18</v>
      </c>
      <c r="AJ253">
        <v>4.87</v>
      </c>
      <c r="AK253">
        <v>13.12</v>
      </c>
      <c r="AL253">
        <v>4.72</v>
      </c>
      <c r="AM253">
        <v>5.22</v>
      </c>
      <c r="AN253">
        <v>6.92</v>
      </c>
      <c r="AO253">
        <v>0.82</v>
      </c>
      <c r="AP253">
        <v>5.95</v>
      </c>
      <c r="AQ253">
        <v>1.1499999999999999</v>
      </c>
      <c r="AR253">
        <v>4.6399999999999997</v>
      </c>
      <c r="AS253">
        <v>6.87</v>
      </c>
      <c r="AT253">
        <v>4.5599999999999996</v>
      </c>
      <c r="AU253">
        <v>7.42</v>
      </c>
      <c r="AV253">
        <v>2.74</v>
      </c>
      <c r="AW253">
        <v>5.04</v>
      </c>
      <c r="AX253">
        <v>8.1</v>
      </c>
      <c r="AY253">
        <v>309</v>
      </c>
      <c r="AZ253">
        <v>355</v>
      </c>
      <c r="BA253">
        <v>116</v>
      </c>
      <c r="BC253">
        <v>12.67</v>
      </c>
      <c r="BD253">
        <v>1.72</v>
      </c>
      <c r="BF253">
        <v>1014</v>
      </c>
    </row>
    <row r="254" spans="1:58" x14ac:dyDescent="0.25">
      <c r="A254" t="s">
        <v>364</v>
      </c>
      <c r="B254" t="s">
        <v>125</v>
      </c>
      <c r="C254" t="s">
        <v>356</v>
      </c>
      <c r="D254" t="s">
        <v>644</v>
      </c>
      <c r="E254">
        <v>87.97</v>
      </c>
      <c r="F254">
        <v>44</v>
      </c>
      <c r="G254">
        <v>0.76</v>
      </c>
      <c r="H254">
        <v>0.57999999999999996</v>
      </c>
      <c r="I254">
        <v>8.44</v>
      </c>
      <c r="J254">
        <v>1.82</v>
      </c>
      <c r="K254">
        <v>0.97</v>
      </c>
      <c r="L254">
        <v>0.85</v>
      </c>
      <c r="M254">
        <v>0.44</v>
      </c>
      <c r="N254">
        <v>146</v>
      </c>
      <c r="P254">
        <v>0.02</v>
      </c>
      <c r="Q254">
        <v>0.05</v>
      </c>
      <c r="R254">
        <v>0.28999999999999998</v>
      </c>
      <c r="S254">
        <v>0.09</v>
      </c>
      <c r="T254">
        <v>0.26</v>
      </c>
      <c r="U254">
        <v>67.599999999999994</v>
      </c>
      <c r="V254">
        <v>29.97</v>
      </c>
      <c r="W254">
        <v>16.93</v>
      </c>
      <c r="X254">
        <v>17.329999999999998</v>
      </c>
      <c r="Y254">
        <v>14.79</v>
      </c>
      <c r="Z254">
        <v>1.6</v>
      </c>
      <c r="AA254">
        <v>171</v>
      </c>
      <c r="AB254">
        <v>0.65</v>
      </c>
      <c r="AC254">
        <v>0.27</v>
      </c>
      <c r="AD254">
        <v>0.13</v>
      </c>
      <c r="AE254">
        <v>0.19</v>
      </c>
      <c r="AF254">
        <v>1.86</v>
      </c>
      <c r="AG254">
        <v>1.48</v>
      </c>
      <c r="AH254">
        <v>11.29</v>
      </c>
      <c r="AI254">
        <v>5.27</v>
      </c>
      <c r="AJ254">
        <v>4.0199999999999996</v>
      </c>
      <c r="AK254">
        <v>14.84</v>
      </c>
      <c r="AL254">
        <v>3.98</v>
      </c>
      <c r="AM254">
        <v>5.33</v>
      </c>
      <c r="AN254">
        <v>9.82</v>
      </c>
      <c r="AO254">
        <v>0.98</v>
      </c>
      <c r="AP254">
        <v>6.03</v>
      </c>
      <c r="AQ254">
        <v>0.55000000000000004</v>
      </c>
      <c r="AR254">
        <v>4.3499999999999996</v>
      </c>
      <c r="AS254">
        <v>8.33</v>
      </c>
      <c r="AT254">
        <v>2.08</v>
      </c>
      <c r="AU254">
        <v>4.25</v>
      </c>
      <c r="AV254">
        <v>1.93</v>
      </c>
      <c r="AW254">
        <v>3</v>
      </c>
      <c r="AX254">
        <v>3.91</v>
      </c>
      <c r="AY254">
        <v>187</v>
      </c>
      <c r="AZ254">
        <v>194</v>
      </c>
      <c r="BA254">
        <v>82.96</v>
      </c>
      <c r="BC254">
        <v>8.42</v>
      </c>
      <c r="BF254">
        <v>876</v>
      </c>
    </row>
    <row r="255" spans="1:58" x14ac:dyDescent="0.25">
      <c r="A255" t="s">
        <v>364</v>
      </c>
      <c r="B255" t="s">
        <v>127</v>
      </c>
      <c r="C255" t="s">
        <v>356</v>
      </c>
      <c r="D255" t="s">
        <v>646</v>
      </c>
      <c r="E255">
        <v>74.540000000000006</v>
      </c>
      <c r="F255">
        <v>81</v>
      </c>
      <c r="G255">
        <v>3.56</v>
      </c>
      <c r="H255">
        <v>1.1399999999999999</v>
      </c>
      <c r="I255">
        <v>13.54</v>
      </c>
      <c r="J255">
        <v>4.4000000000000004</v>
      </c>
      <c r="K255">
        <v>3.3</v>
      </c>
      <c r="L255">
        <v>1.1000000000000001</v>
      </c>
      <c r="M255">
        <v>2.82</v>
      </c>
      <c r="N255">
        <v>0.36</v>
      </c>
      <c r="P255">
        <v>0.18</v>
      </c>
      <c r="Q255">
        <v>0.14000000000000001</v>
      </c>
      <c r="R255">
        <v>0.4</v>
      </c>
      <c r="S255">
        <v>0.18</v>
      </c>
      <c r="T255">
        <v>0.04</v>
      </c>
      <c r="U255">
        <v>4.24</v>
      </c>
      <c r="V255">
        <v>55.78</v>
      </c>
      <c r="W255">
        <v>8.51</v>
      </c>
      <c r="X255">
        <v>73.53</v>
      </c>
      <c r="Y255">
        <v>32.979999999999997</v>
      </c>
      <c r="Z255">
        <v>1.35</v>
      </c>
      <c r="AA255">
        <v>376</v>
      </c>
      <c r="AB255">
        <v>0.71</v>
      </c>
      <c r="AC255">
        <v>0.27</v>
      </c>
      <c r="AD255">
        <v>0.22</v>
      </c>
      <c r="AE255">
        <v>0.56000000000000005</v>
      </c>
      <c r="AG255">
        <v>1.1399999999999999</v>
      </c>
      <c r="AH255">
        <v>13.85</v>
      </c>
      <c r="AI255">
        <v>4.8099999999999996</v>
      </c>
      <c r="AJ255">
        <v>4.8600000000000003</v>
      </c>
      <c r="AK255">
        <v>16.45</v>
      </c>
      <c r="AL255">
        <v>3.56</v>
      </c>
      <c r="AM255">
        <v>4.21</v>
      </c>
      <c r="AN255">
        <v>6.25</v>
      </c>
      <c r="AO255">
        <v>0.59</v>
      </c>
      <c r="AP255">
        <v>4.92</v>
      </c>
      <c r="AQ255">
        <v>1.26</v>
      </c>
      <c r="AR255">
        <v>3.64</v>
      </c>
      <c r="AS255">
        <v>5.6</v>
      </c>
      <c r="AT255">
        <v>1.85</v>
      </c>
      <c r="AU255">
        <v>4.3499999999999996</v>
      </c>
      <c r="AV255">
        <v>2.78</v>
      </c>
      <c r="AW255">
        <v>2.21</v>
      </c>
      <c r="AX255">
        <v>3.35</v>
      </c>
      <c r="AY255">
        <v>27.81</v>
      </c>
      <c r="AZ255">
        <v>33.450000000000003</v>
      </c>
      <c r="BA255">
        <v>19.489999999999998</v>
      </c>
      <c r="BC255">
        <v>12.13</v>
      </c>
      <c r="BD255">
        <v>0.5</v>
      </c>
      <c r="BF255">
        <v>2.2000000000000002</v>
      </c>
    </row>
    <row r="256" spans="1:58" x14ac:dyDescent="0.25">
      <c r="A256" t="s">
        <v>364</v>
      </c>
      <c r="B256" t="s">
        <v>128</v>
      </c>
      <c r="C256" t="s">
        <v>356</v>
      </c>
      <c r="D256" t="s">
        <v>647</v>
      </c>
      <c r="E256">
        <v>93.16</v>
      </c>
      <c r="F256">
        <v>23</v>
      </c>
      <c r="G256">
        <v>0.38</v>
      </c>
      <c r="H256">
        <v>0.38</v>
      </c>
      <c r="I256">
        <v>4.46</v>
      </c>
      <c r="J256">
        <v>1.1200000000000001</v>
      </c>
      <c r="K256">
        <v>0.59</v>
      </c>
      <c r="L256">
        <v>0.53</v>
      </c>
      <c r="M256">
        <v>0.51</v>
      </c>
      <c r="N256">
        <v>142</v>
      </c>
      <c r="P256">
        <v>0.01</v>
      </c>
      <c r="Q256">
        <v>0.01</v>
      </c>
      <c r="R256">
        <v>0.45</v>
      </c>
      <c r="S256">
        <v>0.11</v>
      </c>
      <c r="T256">
        <v>0.05</v>
      </c>
      <c r="U256">
        <v>22.2</v>
      </c>
      <c r="V256">
        <v>25.2</v>
      </c>
      <c r="W256">
        <v>7.64</v>
      </c>
      <c r="X256">
        <v>18.04</v>
      </c>
      <c r="Y256">
        <v>8.01</v>
      </c>
      <c r="Z256">
        <v>16.63</v>
      </c>
      <c r="AA256">
        <v>150</v>
      </c>
      <c r="AB256">
        <v>0.13</v>
      </c>
      <c r="AC256">
        <v>0.03</v>
      </c>
      <c r="AD256">
        <v>0.02</v>
      </c>
      <c r="AE256">
        <v>0.05</v>
      </c>
      <c r="AF256">
        <v>0.85</v>
      </c>
      <c r="AG256">
        <v>0.36</v>
      </c>
      <c r="AH256">
        <v>11.13</v>
      </c>
      <c r="AI256">
        <v>3.25</v>
      </c>
      <c r="AJ256">
        <v>4.41</v>
      </c>
      <c r="AK256">
        <v>26.91</v>
      </c>
      <c r="AL256">
        <v>2.39</v>
      </c>
      <c r="AM256">
        <v>3.83</v>
      </c>
      <c r="AN256">
        <v>12.48</v>
      </c>
      <c r="AO256">
        <v>0.87</v>
      </c>
      <c r="AP256">
        <v>3.32</v>
      </c>
      <c r="AQ256">
        <v>0.96</v>
      </c>
      <c r="AR256">
        <v>2.14</v>
      </c>
      <c r="AS256">
        <v>4.22</v>
      </c>
      <c r="AT256">
        <v>1.43</v>
      </c>
      <c r="AU256">
        <v>1.88</v>
      </c>
      <c r="AV256">
        <v>0.92</v>
      </c>
      <c r="AW256">
        <v>1.61</v>
      </c>
      <c r="AX256">
        <v>2.44</v>
      </c>
      <c r="AY256">
        <v>90.48</v>
      </c>
      <c r="AZ256">
        <v>25.49</v>
      </c>
      <c r="BA256">
        <v>156</v>
      </c>
      <c r="BC256">
        <v>3.03</v>
      </c>
      <c r="BF256">
        <v>853</v>
      </c>
    </row>
    <row r="257" spans="1:58" x14ac:dyDescent="0.25">
      <c r="A257" t="s">
        <v>364</v>
      </c>
      <c r="B257" t="s">
        <v>130</v>
      </c>
      <c r="C257" t="s">
        <v>356</v>
      </c>
      <c r="D257" t="s">
        <v>649</v>
      </c>
      <c r="E257">
        <v>90.44</v>
      </c>
      <c r="F257">
        <v>26</v>
      </c>
      <c r="G257">
        <v>0.42</v>
      </c>
      <c r="H257">
        <v>0.16</v>
      </c>
      <c r="I257">
        <v>5.28</v>
      </c>
      <c r="J257">
        <v>3.18</v>
      </c>
      <c r="K257">
        <v>1.96</v>
      </c>
      <c r="L257">
        <v>1.22</v>
      </c>
      <c r="M257">
        <v>0.53</v>
      </c>
      <c r="N257">
        <v>171</v>
      </c>
      <c r="P257">
        <v>0.02</v>
      </c>
      <c r="Q257">
        <v>0.11</v>
      </c>
      <c r="R257">
        <v>0.39</v>
      </c>
      <c r="S257">
        <v>0.51</v>
      </c>
      <c r="T257">
        <v>0.04</v>
      </c>
      <c r="U257">
        <v>54.85</v>
      </c>
      <c r="V257">
        <v>48.62</v>
      </c>
      <c r="W257">
        <v>16.77</v>
      </c>
      <c r="X257">
        <v>15.12</v>
      </c>
      <c r="Y257">
        <v>8.9</v>
      </c>
      <c r="Z257">
        <v>6.57</v>
      </c>
      <c r="AA257">
        <v>181</v>
      </c>
      <c r="AB257">
        <v>0.23</v>
      </c>
      <c r="AC257">
        <v>0.03</v>
      </c>
      <c r="AD257">
        <v>0.05</v>
      </c>
      <c r="AE257">
        <v>0.08</v>
      </c>
      <c r="AF257">
        <v>16.399999999999999</v>
      </c>
      <c r="AG257">
        <v>1.73</v>
      </c>
      <c r="AH257">
        <v>14.35</v>
      </c>
      <c r="AI257">
        <v>2.76</v>
      </c>
      <c r="AJ257">
        <v>3.91</v>
      </c>
      <c r="AK257">
        <v>11.64</v>
      </c>
      <c r="AL257">
        <v>3.79</v>
      </c>
      <c r="AM257">
        <v>5.08</v>
      </c>
      <c r="AN257">
        <v>4.37</v>
      </c>
      <c r="AO257">
        <v>0.69</v>
      </c>
      <c r="AP257">
        <v>4.6900000000000004</v>
      </c>
      <c r="AQ257">
        <v>0.68</v>
      </c>
      <c r="AR257">
        <v>2.19</v>
      </c>
      <c r="AS257">
        <v>4.75</v>
      </c>
      <c r="AT257">
        <v>2.81</v>
      </c>
      <c r="AU257">
        <v>2.0099999999999998</v>
      </c>
      <c r="AV257">
        <v>0.52</v>
      </c>
      <c r="AW257">
        <v>4.8899999999999997</v>
      </c>
      <c r="AX257">
        <v>2.25</v>
      </c>
      <c r="AY257">
        <v>55.77</v>
      </c>
      <c r="AZ257">
        <v>24.29</v>
      </c>
      <c r="BA257">
        <v>47.95</v>
      </c>
      <c r="BC257">
        <v>4.04</v>
      </c>
      <c r="BF257">
        <v>641</v>
      </c>
    </row>
    <row r="258" spans="1:58" x14ac:dyDescent="0.25">
      <c r="A258" t="s">
        <v>364</v>
      </c>
      <c r="B258" t="s">
        <v>131</v>
      </c>
      <c r="C258" t="s">
        <v>356</v>
      </c>
      <c r="D258" t="s">
        <v>650</v>
      </c>
      <c r="E258">
        <v>76.010000000000005</v>
      </c>
      <c r="F258">
        <v>83</v>
      </c>
      <c r="G258">
        <v>2.33</v>
      </c>
      <c r="H258">
        <v>2.42</v>
      </c>
      <c r="I258">
        <v>12.64</v>
      </c>
      <c r="J258">
        <v>5.9</v>
      </c>
      <c r="K258">
        <v>4.96</v>
      </c>
      <c r="L258">
        <v>0.95</v>
      </c>
      <c r="M258">
        <v>0.72</v>
      </c>
      <c r="N258">
        <v>97.5</v>
      </c>
      <c r="Q258">
        <v>0.09</v>
      </c>
      <c r="R258">
        <v>0.64</v>
      </c>
      <c r="S258">
        <v>0.54</v>
      </c>
      <c r="T258">
        <v>0.17</v>
      </c>
      <c r="U258">
        <v>25.99</v>
      </c>
      <c r="V258">
        <v>11.47</v>
      </c>
      <c r="W258">
        <v>6.22</v>
      </c>
      <c r="X258">
        <v>38.840000000000003</v>
      </c>
      <c r="Y258">
        <v>29.48</v>
      </c>
      <c r="Z258">
        <v>5</v>
      </c>
      <c r="AA258">
        <v>374</v>
      </c>
      <c r="AB258">
        <v>0.97</v>
      </c>
      <c r="AC258">
        <v>0.45</v>
      </c>
      <c r="AD258">
        <v>0.21</v>
      </c>
      <c r="AE258">
        <v>0.67</v>
      </c>
      <c r="AF258">
        <v>7.73</v>
      </c>
      <c r="AG258">
        <v>0.57999999999999996</v>
      </c>
      <c r="AH258">
        <v>12.02</v>
      </c>
      <c r="AI258">
        <v>2.73</v>
      </c>
      <c r="AJ258">
        <v>4.8600000000000003</v>
      </c>
      <c r="AK258">
        <v>19.95</v>
      </c>
      <c r="AL258">
        <v>5.15</v>
      </c>
      <c r="AM258">
        <v>4.2</v>
      </c>
      <c r="AN258">
        <v>4.95</v>
      </c>
      <c r="AO258">
        <v>1.1200000000000001</v>
      </c>
      <c r="AP258">
        <v>3.55</v>
      </c>
      <c r="AQ258">
        <v>1.61</v>
      </c>
      <c r="AR258">
        <v>3.1</v>
      </c>
      <c r="AS258">
        <v>5.69</v>
      </c>
      <c r="AT258">
        <v>2.99</v>
      </c>
      <c r="AU258">
        <v>5.93</v>
      </c>
      <c r="AV258">
        <v>2.5499999999999998</v>
      </c>
      <c r="AW258">
        <v>3.55</v>
      </c>
      <c r="AX258">
        <v>9</v>
      </c>
      <c r="AY258">
        <v>281</v>
      </c>
      <c r="AZ258">
        <v>261</v>
      </c>
      <c r="BA258">
        <v>1393</v>
      </c>
      <c r="BC258">
        <v>5.44</v>
      </c>
      <c r="BD258">
        <v>6.46</v>
      </c>
      <c r="BF258">
        <v>585</v>
      </c>
    </row>
    <row r="259" spans="1:58" x14ac:dyDescent="0.25">
      <c r="A259" t="s">
        <v>364</v>
      </c>
      <c r="B259" t="s">
        <v>132</v>
      </c>
      <c r="C259" t="s">
        <v>356</v>
      </c>
      <c r="D259" t="s">
        <v>651</v>
      </c>
      <c r="E259">
        <v>86.6</v>
      </c>
      <c r="F259">
        <v>37</v>
      </c>
      <c r="G259">
        <v>0.4</v>
      </c>
      <c r="H259">
        <v>0.28999999999999998</v>
      </c>
      <c r="I259">
        <v>8.08</v>
      </c>
      <c r="J259">
        <v>4.34</v>
      </c>
      <c r="K259">
        <v>3.9</v>
      </c>
      <c r="L259">
        <v>0.44</v>
      </c>
      <c r="M259">
        <v>0.28999999999999998</v>
      </c>
      <c r="N259">
        <v>2.34</v>
      </c>
      <c r="P259">
        <v>0.02</v>
      </c>
      <c r="Q259">
        <v>0.02</v>
      </c>
      <c r="R259">
        <v>0.16</v>
      </c>
      <c r="S259">
        <v>0.04</v>
      </c>
      <c r="T259">
        <v>0.08</v>
      </c>
      <c r="U259">
        <v>6.2</v>
      </c>
      <c r="V259">
        <v>2.54</v>
      </c>
      <c r="W259">
        <v>5.04</v>
      </c>
      <c r="X259">
        <v>5.25</v>
      </c>
      <c r="Y259">
        <v>6.58</v>
      </c>
      <c r="Z259">
        <v>1.69</v>
      </c>
      <c r="AA259">
        <v>103</v>
      </c>
      <c r="AB259">
        <v>0.16</v>
      </c>
      <c r="AC259">
        <v>7.0000000000000007E-2</v>
      </c>
      <c r="AD259">
        <v>7.0000000000000007E-2</v>
      </c>
      <c r="AE259">
        <v>0.06</v>
      </c>
      <c r="AG259">
        <v>0.44</v>
      </c>
      <c r="AH259">
        <v>24.87</v>
      </c>
      <c r="AI259">
        <v>3.35</v>
      </c>
      <c r="AJ259">
        <v>4.59</v>
      </c>
      <c r="AK259">
        <v>10.66</v>
      </c>
      <c r="AL259">
        <v>2.91</v>
      </c>
      <c r="AM259">
        <v>4.09</v>
      </c>
      <c r="AN259">
        <v>6.65</v>
      </c>
      <c r="AO259">
        <v>0.61</v>
      </c>
      <c r="AP259">
        <v>4.7</v>
      </c>
      <c r="AQ259">
        <v>0.72</v>
      </c>
      <c r="AR259">
        <v>3.23</v>
      </c>
      <c r="AS259">
        <v>4.1500000000000004</v>
      </c>
      <c r="AT259">
        <v>1.21</v>
      </c>
      <c r="AU259">
        <v>3.78</v>
      </c>
      <c r="AV259">
        <v>1.33</v>
      </c>
      <c r="AW259">
        <v>2.27</v>
      </c>
      <c r="AX259">
        <v>2.1800000000000002</v>
      </c>
      <c r="AY259">
        <v>85.28</v>
      </c>
      <c r="AZ259">
        <v>29.57</v>
      </c>
      <c r="BA259">
        <v>117</v>
      </c>
      <c r="BC259">
        <v>7.57</v>
      </c>
      <c r="BF259">
        <v>13.15</v>
      </c>
    </row>
    <row r="260" spans="1:58" x14ac:dyDescent="0.25">
      <c r="A260" t="s">
        <v>364</v>
      </c>
      <c r="B260" t="s">
        <v>133</v>
      </c>
      <c r="C260" t="s">
        <v>356</v>
      </c>
      <c r="D260" t="s">
        <v>652</v>
      </c>
      <c r="E260">
        <v>87.25</v>
      </c>
      <c r="F260">
        <v>37</v>
      </c>
      <c r="G260">
        <v>0.41</v>
      </c>
      <c r="H260">
        <v>0.17</v>
      </c>
      <c r="I260">
        <v>8.23</v>
      </c>
      <c r="J260">
        <v>3.53</v>
      </c>
      <c r="K260">
        <v>2.97</v>
      </c>
      <c r="L260">
        <v>0.56000000000000005</v>
      </c>
      <c r="M260">
        <v>0.41</v>
      </c>
      <c r="N260">
        <v>5.76</v>
      </c>
      <c r="P260">
        <v>0.06</v>
      </c>
      <c r="Q260">
        <v>0.04</v>
      </c>
      <c r="R260">
        <v>0.11</v>
      </c>
      <c r="S260">
        <v>0.11</v>
      </c>
      <c r="T260">
        <v>0.12</v>
      </c>
      <c r="U260">
        <v>17.86</v>
      </c>
      <c r="V260">
        <v>39.36</v>
      </c>
      <c r="W260">
        <v>10.37</v>
      </c>
      <c r="X260">
        <v>10.82</v>
      </c>
      <c r="Y260">
        <v>10.71</v>
      </c>
      <c r="Z260">
        <v>1.39</v>
      </c>
      <c r="AA260">
        <v>133</v>
      </c>
      <c r="AB260">
        <v>0.3</v>
      </c>
      <c r="AC260">
        <v>1.78</v>
      </c>
      <c r="AD260">
        <v>0.04</v>
      </c>
      <c r="AE260">
        <v>0.09</v>
      </c>
      <c r="AG260">
        <v>0.97</v>
      </c>
      <c r="AH260">
        <v>24.68</v>
      </c>
      <c r="AI260">
        <v>2.79</v>
      </c>
      <c r="AJ260">
        <v>4.88</v>
      </c>
      <c r="AK260">
        <v>12.93</v>
      </c>
      <c r="AL260">
        <v>3.82</v>
      </c>
      <c r="AM260">
        <v>4.5999999999999996</v>
      </c>
      <c r="AN260">
        <v>8.25</v>
      </c>
      <c r="AO260">
        <v>2.29</v>
      </c>
      <c r="AP260">
        <v>4.2</v>
      </c>
      <c r="AQ260">
        <v>1.3</v>
      </c>
      <c r="AR260">
        <v>2.64</v>
      </c>
      <c r="AS260">
        <v>4.0199999999999996</v>
      </c>
      <c r="AT260">
        <v>2.94</v>
      </c>
      <c r="AU260">
        <v>2.12</v>
      </c>
      <c r="AV260">
        <v>1.48</v>
      </c>
      <c r="AW260">
        <v>4.13</v>
      </c>
      <c r="AX260">
        <v>3.04</v>
      </c>
      <c r="AY260">
        <v>52.37</v>
      </c>
      <c r="AZ260">
        <v>34.97</v>
      </c>
      <c r="BA260">
        <v>48.67</v>
      </c>
      <c r="BC260">
        <v>8.5500000000000007</v>
      </c>
      <c r="BF260">
        <v>34.58</v>
      </c>
    </row>
    <row r="261" spans="1:58" x14ac:dyDescent="0.25">
      <c r="A261" t="s">
        <v>364</v>
      </c>
      <c r="B261" t="s">
        <v>134</v>
      </c>
      <c r="C261" t="s">
        <v>356</v>
      </c>
      <c r="D261" t="s">
        <v>653</v>
      </c>
      <c r="E261">
        <v>83.25</v>
      </c>
      <c r="F261">
        <v>55</v>
      </c>
      <c r="G261">
        <v>1.42</v>
      </c>
      <c r="H261">
        <v>0.11</v>
      </c>
      <c r="I261">
        <v>11.8</v>
      </c>
      <c r="J261">
        <v>2.85</v>
      </c>
      <c r="K261">
        <v>2.2999999999999998</v>
      </c>
      <c r="L261">
        <v>0.55000000000000004</v>
      </c>
      <c r="M261">
        <v>0.56000000000000005</v>
      </c>
      <c r="N261">
        <v>0.51</v>
      </c>
      <c r="P261">
        <v>7.0000000000000007E-2</v>
      </c>
      <c r="Q261">
        <v>0.02</v>
      </c>
      <c r="R261">
        <v>0.18</v>
      </c>
      <c r="S261">
        <v>0.41</v>
      </c>
      <c r="T261">
        <v>0.3</v>
      </c>
      <c r="U261">
        <v>40.71</v>
      </c>
      <c r="V261">
        <v>11.49</v>
      </c>
      <c r="W261">
        <v>12.11</v>
      </c>
      <c r="X261">
        <v>37.99</v>
      </c>
      <c r="Y261">
        <v>11.64</v>
      </c>
      <c r="Z261">
        <v>2.19</v>
      </c>
      <c r="AA261">
        <v>204</v>
      </c>
      <c r="AB261">
        <v>0.38</v>
      </c>
      <c r="AC261">
        <v>0.15</v>
      </c>
      <c r="AD261">
        <v>0.16</v>
      </c>
      <c r="AE261">
        <v>0.22</v>
      </c>
      <c r="AF261">
        <v>0.57999999999999996</v>
      </c>
      <c r="AG261">
        <v>0.41</v>
      </c>
      <c r="AH261">
        <v>8.4600000000000009</v>
      </c>
      <c r="AI261">
        <v>2.97</v>
      </c>
      <c r="AJ261">
        <v>5.53</v>
      </c>
      <c r="AK261">
        <v>30.56</v>
      </c>
      <c r="AL261">
        <v>3.76</v>
      </c>
      <c r="AM261">
        <v>3.62</v>
      </c>
      <c r="AN261">
        <v>4.95</v>
      </c>
      <c r="AO261">
        <v>0.85</v>
      </c>
      <c r="AP261">
        <v>2.2200000000000002</v>
      </c>
      <c r="AQ261">
        <v>0.53</v>
      </c>
      <c r="AR261">
        <v>1.4</v>
      </c>
      <c r="AS261">
        <v>5.13</v>
      </c>
      <c r="AT261">
        <v>1.35</v>
      </c>
      <c r="AU261">
        <v>3.41</v>
      </c>
      <c r="AV261">
        <v>1.99</v>
      </c>
      <c r="AW261">
        <v>0.62</v>
      </c>
      <c r="AX261">
        <v>5.0999999999999996</v>
      </c>
      <c r="AY261">
        <v>35.28</v>
      </c>
      <c r="AZ261">
        <v>39.409999999999997</v>
      </c>
      <c r="BA261">
        <v>33.31</v>
      </c>
      <c r="BC261">
        <v>10.94</v>
      </c>
      <c r="BF261">
        <v>3.1</v>
      </c>
    </row>
    <row r="262" spans="1:58" x14ac:dyDescent="0.25">
      <c r="A262" t="s">
        <v>364</v>
      </c>
      <c r="B262" t="s">
        <v>135</v>
      </c>
      <c r="C262" t="s">
        <v>356</v>
      </c>
      <c r="D262" t="s">
        <v>654</v>
      </c>
      <c r="E262">
        <v>88.62</v>
      </c>
      <c r="F262">
        <v>43</v>
      </c>
      <c r="G262">
        <v>0.63</v>
      </c>
      <c r="H262">
        <v>0.43</v>
      </c>
      <c r="I262">
        <v>8.99</v>
      </c>
      <c r="J262">
        <v>0.83</v>
      </c>
      <c r="K262">
        <v>0.52</v>
      </c>
      <c r="L262">
        <v>0.32</v>
      </c>
      <c r="M262">
        <v>0.5</v>
      </c>
      <c r="P262">
        <v>0.06</v>
      </c>
      <c r="Q262">
        <v>0.01</v>
      </c>
      <c r="R262">
        <v>0.22</v>
      </c>
      <c r="S262">
        <v>0.05</v>
      </c>
      <c r="T262">
        <v>0.04</v>
      </c>
      <c r="U262">
        <v>13.41</v>
      </c>
      <c r="V262">
        <v>48.98</v>
      </c>
      <c r="W262">
        <v>14.92</v>
      </c>
      <c r="X262">
        <v>12.38</v>
      </c>
      <c r="Y262">
        <v>8.61</v>
      </c>
      <c r="Z262">
        <v>1.08</v>
      </c>
      <c r="AA262">
        <v>186</v>
      </c>
      <c r="AB262">
        <v>0.05</v>
      </c>
      <c r="AC262">
        <v>0.01</v>
      </c>
      <c r="AD262">
        <v>0.02</v>
      </c>
      <c r="AE262">
        <v>0.06</v>
      </c>
      <c r="AG262">
        <v>0.51</v>
      </c>
      <c r="AH262">
        <v>27.67</v>
      </c>
      <c r="AI262">
        <v>3.16</v>
      </c>
      <c r="AJ262">
        <v>4.78</v>
      </c>
      <c r="AK262">
        <v>12.33</v>
      </c>
      <c r="AL262">
        <v>9.39</v>
      </c>
      <c r="AM262">
        <v>2.74</v>
      </c>
      <c r="AN262">
        <v>7.62</v>
      </c>
      <c r="AO262">
        <v>0.79</v>
      </c>
      <c r="AP262">
        <v>4.22</v>
      </c>
      <c r="AQ262">
        <v>0.88</v>
      </c>
      <c r="AR262">
        <v>2.84</v>
      </c>
      <c r="AS262">
        <v>4.66</v>
      </c>
      <c r="AT262">
        <v>1.84</v>
      </c>
      <c r="AU262">
        <v>2.41</v>
      </c>
      <c r="AV262">
        <v>1.75</v>
      </c>
      <c r="AW262">
        <v>3.82</v>
      </c>
      <c r="AX262">
        <v>5.15</v>
      </c>
      <c r="AY262">
        <v>115</v>
      </c>
      <c r="AZ262">
        <v>41.08</v>
      </c>
      <c r="BA262">
        <v>188</v>
      </c>
      <c r="BC262">
        <v>4.3899999999999997</v>
      </c>
      <c r="BD262">
        <v>0.47</v>
      </c>
    </row>
    <row r="263" spans="1:58" x14ac:dyDescent="0.25">
      <c r="A263" t="s">
        <v>364</v>
      </c>
      <c r="B263" t="s">
        <v>136</v>
      </c>
      <c r="C263" t="s">
        <v>356</v>
      </c>
      <c r="D263" t="s">
        <v>655</v>
      </c>
      <c r="E263">
        <v>19.18</v>
      </c>
      <c r="F263">
        <v>308</v>
      </c>
      <c r="G263">
        <v>2.65</v>
      </c>
      <c r="H263">
        <v>0.37</v>
      </c>
      <c r="I263">
        <v>71.83</v>
      </c>
      <c r="J263">
        <v>3.85</v>
      </c>
      <c r="K263">
        <v>2.37</v>
      </c>
      <c r="L263">
        <v>1.48</v>
      </c>
      <c r="M263">
        <v>2.13</v>
      </c>
      <c r="N263">
        <v>0.44</v>
      </c>
      <c r="P263">
        <v>0.09</v>
      </c>
      <c r="Q263">
        <v>0.05</v>
      </c>
      <c r="R263">
        <v>0.48</v>
      </c>
      <c r="S263">
        <v>0.16</v>
      </c>
      <c r="T263">
        <v>0.14000000000000001</v>
      </c>
      <c r="U263">
        <v>38.81</v>
      </c>
      <c r="V263">
        <v>1.92</v>
      </c>
      <c r="W263">
        <v>72.88</v>
      </c>
      <c r="X263">
        <v>81.59</v>
      </c>
      <c r="Y263">
        <v>32.799999999999997</v>
      </c>
      <c r="Z263">
        <v>10.39</v>
      </c>
      <c r="AA263">
        <v>1167</v>
      </c>
      <c r="AB263">
        <v>8.08</v>
      </c>
      <c r="AC263">
        <v>0.63</v>
      </c>
      <c r="AD263">
        <v>0.43</v>
      </c>
      <c r="AE263">
        <v>0.22</v>
      </c>
      <c r="AF263">
        <v>1.17</v>
      </c>
      <c r="AG263">
        <v>0.93</v>
      </c>
      <c r="AH263">
        <v>6.86</v>
      </c>
      <c r="AI263">
        <v>2.98</v>
      </c>
      <c r="AJ263">
        <v>4.4400000000000004</v>
      </c>
      <c r="AK263">
        <v>10.4</v>
      </c>
      <c r="AL263">
        <v>9.2899999999999991</v>
      </c>
      <c r="AM263">
        <v>3.07</v>
      </c>
      <c r="AN263">
        <v>6.57</v>
      </c>
      <c r="AO263">
        <v>0.56999999999999995</v>
      </c>
      <c r="AP263">
        <v>2.93</v>
      </c>
      <c r="AQ263">
        <v>0.93</v>
      </c>
      <c r="AR263">
        <v>2</v>
      </c>
      <c r="AS263">
        <v>4.8</v>
      </c>
      <c r="AT263">
        <v>1.53</v>
      </c>
      <c r="AU263">
        <v>2.2000000000000002</v>
      </c>
      <c r="AV263">
        <v>1.86</v>
      </c>
      <c r="AW263">
        <v>2.54</v>
      </c>
      <c r="AX263">
        <v>12.86</v>
      </c>
      <c r="AY263">
        <v>66.680000000000007</v>
      </c>
      <c r="AZ263">
        <v>51.61</v>
      </c>
      <c r="BA263">
        <v>178</v>
      </c>
      <c r="BC263">
        <v>59.33</v>
      </c>
      <c r="BD263">
        <v>1.28</v>
      </c>
      <c r="BF263">
        <v>2.65</v>
      </c>
    </row>
    <row r="264" spans="1:58" x14ac:dyDescent="0.25">
      <c r="A264" t="s">
        <v>364</v>
      </c>
      <c r="B264" t="s">
        <v>137</v>
      </c>
      <c r="C264" t="s">
        <v>356</v>
      </c>
      <c r="D264" t="s">
        <v>656</v>
      </c>
      <c r="E264">
        <v>22</v>
      </c>
      <c r="F264">
        <v>294</v>
      </c>
      <c r="G264">
        <v>2.54</v>
      </c>
      <c r="H264">
        <v>0.32</v>
      </c>
      <c r="I264">
        <v>68.739999999999995</v>
      </c>
      <c r="J264">
        <v>4.3600000000000003</v>
      </c>
      <c r="K264">
        <v>3.27</v>
      </c>
      <c r="L264">
        <v>1.0900000000000001</v>
      </c>
      <c r="M264">
        <v>2.0499999999999998</v>
      </c>
      <c r="N264">
        <v>0.44</v>
      </c>
      <c r="P264">
        <v>0.1</v>
      </c>
      <c r="Q264">
        <v>0.03</v>
      </c>
      <c r="R264">
        <v>0.56999999999999995</v>
      </c>
      <c r="S264">
        <v>0.16</v>
      </c>
      <c r="T264">
        <v>0.14000000000000001</v>
      </c>
      <c r="U264">
        <v>29.43</v>
      </c>
      <c r="V264">
        <v>2.1800000000000002</v>
      </c>
      <c r="W264">
        <v>46.66</v>
      </c>
      <c r="X264">
        <v>80.45</v>
      </c>
      <c r="Y264">
        <v>30.43</v>
      </c>
      <c r="Z264">
        <v>10.119999999999999</v>
      </c>
      <c r="AA264">
        <v>985</v>
      </c>
      <c r="AB264">
        <v>3.53</v>
      </c>
      <c r="AC264">
        <v>0.37</v>
      </c>
      <c r="AD264">
        <v>0.38</v>
      </c>
      <c r="AE264">
        <v>0.19</v>
      </c>
      <c r="AG264">
        <v>0.69</v>
      </c>
      <c r="AH264">
        <v>6.52</v>
      </c>
      <c r="AI264">
        <v>3.4</v>
      </c>
      <c r="AJ264">
        <v>4.8600000000000003</v>
      </c>
      <c r="AK264">
        <v>11.22</v>
      </c>
      <c r="AL264">
        <v>9.1300000000000008</v>
      </c>
      <c r="AM264">
        <v>3.45</v>
      </c>
      <c r="AN264">
        <v>8</v>
      </c>
      <c r="AO264">
        <v>0.76</v>
      </c>
      <c r="AP264">
        <v>2.81</v>
      </c>
      <c r="AQ264">
        <v>0.76</v>
      </c>
      <c r="AR264">
        <v>1.81</v>
      </c>
      <c r="AS264">
        <v>4.07</v>
      </c>
      <c r="AT264">
        <v>1.41</v>
      </c>
      <c r="AU264">
        <v>2.64</v>
      </c>
      <c r="AV264">
        <v>3.12</v>
      </c>
      <c r="AW264">
        <v>3.3</v>
      </c>
      <c r="AX264">
        <v>13.56</v>
      </c>
      <c r="AY264">
        <v>111</v>
      </c>
      <c r="AZ264">
        <v>29.59</v>
      </c>
      <c r="BA264">
        <v>116</v>
      </c>
      <c r="BC264">
        <v>60.27</v>
      </c>
      <c r="BD264">
        <v>1.02</v>
      </c>
      <c r="BF264">
        <v>2.66</v>
      </c>
    </row>
    <row r="265" spans="1:58" x14ac:dyDescent="0.25">
      <c r="A265" t="s">
        <v>364</v>
      </c>
      <c r="B265" t="s">
        <v>138</v>
      </c>
      <c r="C265" t="s">
        <v>356</v>
      </c>
      <c r="D265" t="s">
        <v>657</v>
      </c>
      <c r="E265">
        <v>80.87</v>
      </c>
      <c r="F265">
        <v>73</v>
      </c>
      <c r="G265">
        <v>0.68</v>
      </c>
      <c r="H265">
        <v>0.16</v>
      </c>
      <c r="I265">
        <v>16.84</v>
      </c>
      <c r="J265">
        <v>1.02</v>
      </c>
      <c r="K265">
        <v>0.71</v>
      </c>
      <c r="L265">
        <v>0.3</v>
      </c>
      <c r="M265">
        <v>0.43</v>
      </c>
      <c r="N265">
        <v>0.48</v>
      </c>
      <c r="P265">
        <v>0.11</v>
      </c>
      <c r="Q265">
        <v>0.01</v>
      </c>
      <c r="R265">
        <v>0.26</v>
      </c>
      <c r="S265">
        <v>0.14000000000000001</v>
      </c>
      <c r="T265">
        <v>0.04</v>
      </c>
      <c r="U265">
        <v>7.35</v>
      </c>
      <c r="V265">
        <v>65</v>
      </c>
      <c r="W265">
        <v>8.67</v>
      </c>
      <c r="X265">
        <v>6.98</v>
      </c>
      <c r="Y265">
        <v>21.38</v>
      </c>
      <c r="Z265">
        <v>1.75</v>
      </c>
      <c r="AA265">
        <v>131</v>
      </c>
      <c r="AB265">
        <v>0.37</v>
      </c>
      <c r="AC265">
        <v>0.37</v>
      </c>
      <c r="AD265">
        <v>0.08</v>
      </c>
      <c r="AE265">
        <v>0.53</v>
      </c>
      <c r="AG265">
        <v>1.25</v>
      </c>
      <c r="AH265">
        <v>12.73</v>
      </c>
      <c r="AI265">
        <v>4.01</v>
      </c>
      <c r="AJ265">
        <v>2.69</v>
      </c>
      <c r="AK265">
        <v>28.08</v>
      </c>
      <c r="AL265">
        <v>4.66</v>
      </c>
      <c r="AM265">
        <v>6.62</v>
      </c>
      <c r="AN265">
        <v>5.87</v>
      </c>
      <c r="AO265">
        <v>0.76</v>
      </c>
      <c r="AP265">
        <v>4.7699999999999996</v>
      </c>
      <c r="AQ265">
        <v>1.1200000000000001</v>
      </c>
      <c r="AR265">
        <v>1.9</v>
      </c>
      <c r="AS265">
        <v>4.66</v>
      </c>
      <c r="AT265">
        <v>2.7</v>
      </c>
      <c r="AU265">
        <v>2.41</v>
      </c>
      <c r="AV265">
        <v>3.38</v>
      </c>
      <c r="AW265">
        <v>3.54</v>
      </c>
      <c r="AX265">
        <v>6.75</v>
      </c>
      <c r="AY265">
        <v>144</v>
      </c>
      <c r="AZ265">
        <v>160</v>
      </c>
      <c r="BA265">
        <v>362</v>
      </c>
      <c r="BC265">
        <v>15.8</v>
      </c>
      <c r="BF265">
        <v>2.9</v>
      </c>
    </row>
    <row r="266" spans="1:58" x14ac:dyDescent="0.25">
      <c r="A266" t="s">
        <v>364</v>
      </c>
      <c r="B266" t="s">
        <v>139</v>
      </c>
      <c r="C266" t="s">
        <v>356</v>
      </c>
      <c r="D266" t="s">
        <v>658</v>
      </c>
      <c r="E266">
        <v>72.45</v>
      </c>
      <c r="F266">
        <v>78</v>
      </c>
      <c r="G266">
        <v>0.9</v>
      </c>
      <c r="H266">
        <v>1.28</v>
      </c>
      <c r="I266">
        <v>15.02</v>
      </c>
      <c r="J266">
        <v>9.69</v>
      </c>
      <c r="K266">
        <v>8.59</v>
      </c>
      <c r="L266">
        <v>1.1000000000000001</v>
      </c>
      <c r="M266">
        <v>0.67</v>
      </c>
      <c r="N266">
        <v>13.15</v>
      </c>
      <c r="P266">
        <v>0.01</v>
      </c>
      <c r="Q266">
        <v>0.02</v>
      </c>
      <c r="R266">
        <v>0.21</v>
      </c>
      <c r="S266">
        <v>0.21</v>
      </c>
      <c r="T266">
        <v>0.12</v>
      </c>
      <c r="U266">
        <v>13.81</v>
      </c>
      <c r="V266">
        <v>26.07</v>
      </c>
      <c r="W266">
        <v>17.97</v>
      </c>
      <c r="X266">
        <v>21.72</v>
      </c>
      <c r="Y266">
        <v>16.850000000000001</v>
      </c>
      <c r="Z266">
        <v>4.63</v>
      </c>
      <c r="AA266">
        <v>275</v>
      </c>
      <c r="AB266">
        <v>0.35</v>
      </c>
      <c r="AC266">
        <v>0.09</v>
      </c>
      <c r="AD266">
        <v>0.04</v>
      </c>
      <c r="AE266">
        <v>0.15</v>
      </c>
      <c r="AF266">
        <v>0.35</v>
      </c>
      <c r="AG266">
        <v>0.63</v>
      </c>
      <c r="AH266">
        <v>12.1</v>
      </c>
      <c r="AI266">
        <v>5.49</v>
      </c>
      <c r="AJ266">
        <v>4.93</v>
      </c>
      <c r="AK266">
        <v>11.76</v>
      </c>
      <c r="AL266">
        <v>3.97</v>
      </c>
      <c r="AM266">
        <v>5.42</v>
      </c>
      <c r="AN266">
        <v>6.04</v>
      </c>
      <c r="AO266">
        <v>0.59</v>
      </c>
      <c r="AP266">
        <v>6</v>
      </c>
      <c r="AQ266">
        <v>1.08</v>
      </c>
      <c r="AR266">
        <v>3.2</v>
      </c>
      <c r="AS266">
        <v>6.44</v>
      </c>
      <c r="AT266">
        <v>3.61</v>
      </c>
      <c r="AU266">
        <v>4.67</v>
      </c>
      <c r="AV266">
        <v>3.87</v>
      </c>
      <c r="AW266">
        <v>4.0199999999999996</v>
      </c>
      <c r="AX266">
        <v>7.45</v>
      </c>
      <c r="AY266">
        <v>392</v>
      </c>
      <c r="AZ266">
        <v>248</v>
      </c>
      <c r="BA266">
        <v>353</v>
      </c>
      <c r="BC266">
        <v>12.32</v>
      </c>
      <c r="BF266">
        <v>78.930000000000007</v>
      </c>
    </row>
    <row r="267" spans="1:58" x14ac:dyDescent="0.25">
      <c r="A267" t="s">
        <v>364</v>
      </c>
      <c r="B267" t="s">
        <v>140</v>
      </c>
      <c r="C267" t="s">
        <v>356</v>
      </c>
      <c r="D267" t="s">
        <v>659</v>
      </c>
      <c r="E267">
        <v>80.849999999999994</v>
      </c>
      <c r="F267">
        <v>62</v>
      </c>
      <c r="G267">
        <v>0.74</v>
      </c>
      <c r="H267">
        <v>0.94</v>
      </c>
      <c r="I267">
        <v>11.94</v>
      </c>
      <c r="J267">
        <v>4.95</v>
      </c>
      <c r="K267">
        <v>3.79</v>
      </c>
      <c r="L267">
        <v>1.1599999999999999</v>
      </c>
      <c r="M267">
        <v>0.57999999999999996</v>
      </c>
      <c r="N267">
        <v>0.36</v>
      </c>
      <c r="P267">
        <v>0.03</v>
      </c>
      <c r="Q267">
        <v>0.04</v>
      </c>
      <c r="R267">
        <v>0.85</v>
      </c>
      <c r="S267">
        <v>0.12</v>
      </c>
      <c r="T267">
        <v>0.03</v>
      </c>
      <c r="U267">
        <v>6.09</v>
      </c>
      <c r="V267">
        <v>59.54</v>
      </c>
      <c r="W267">
        <v>10.050000000000001</v>
      </c>
      <c r="X267">
        <v>25.83</v>
      </c>
      <c r="Y267">
        <v>17.7</v>
      </c>
      <c r="Z267">
        <v>6.78</v>
      </c>
      <c r="AA267">
        <v>264</v>
      </c>
      <c r="AB267">
        <v>0.28999999999999998</v>
      </c>
      <c r="AC267">
        <v>7.0000000000000007E-2</v>
      </c>
      <c r="AD267">
        <v>0.14000000000000001</v>
      </c>
      <c r="AE267">
        <v>0.12</v>
      </c>
      <c r="AG267">
        <v>0.84</v>
      </c>
      <c r="AH267">
        <v>15.84</v>
      </c>
      <c r="AI267">
        <v>4.5599999999999996</v>
      </c>
      <c r="AJ267">
        <v>5.17</v>
      </c>
      <c r="AK267">
        <v>19.989999999999998</v>
      </c>
      <c r="AL267">
        <v>5.69</v>
      </c>
      <c r="AM267">
        <v>5.07</v>
      </c>
      <c r="AN267">
        <v>4.3</v>
      </c>
      <c r="AO267">
        <v>0.56999999999999995</v>
      </c>
      <c r="AP267">
        <v>5.91</v>
      </c>
      <c r="AQ267">
        <v>1.02</v>
      </c>
      <c r="AR267">
        <v>4.45</v>
      </c>
      <c r="AS267">
        <v>6.62</v>
      </c>
      <c r="AT267">
        <v>3.31</v>
      </c>
      <c r="AU267">
        <v>4.99</v>
      </c>
      <c r="AV267">
        <v>2.93</v>
      </c>
      <c r="AW267">
        <v>4.67</v>
      </c>
      <c r="AX267">
        <v>3.63</v>
      </c>
      <c r="AY267">
        <v>135</v>
      </c>
      <c r="AZ267">
        <v>38.54</v>
      </c>
      <c r="BA267">
        <v>132</v>
      </c>
      <c r="BC267">
        <v>9.83</v>
      </c>
      <c r="BD267">
        <v>0.12</v>
      </c>
      <c r="BF267">
        <v>2.2000000000000002</v>
      </c>
    </row>
    <row r="268" spans="1:58" x14ac:dyDescent="0.25">
      <c r="A268" t="s">
        <v>364</v>
      </c>
      <c r="B268" t="s">
        <v>141</v>
      </c>
      <c r="C268" t="s">
        <v>356</v>
      </c>
      <c r="D268" t="s">
        <v>660</v>
      </c>
      <c r="E268">
        <v>91.18</v>
      </c>
      <c r="F268">
        <v>26</v>
      </c>
      <c r="G268">
        <v>0.79</v>
      </c>
      <c r="H268">
        <v>0.39</v>
      </c>
      <c r="I268">
        <v>4.51</v>
      </c>
      <c r="J268">
        <v>2.81</v>
      </c>
      <c r="K268">
        <v>2.17</v>
      </c>
      <c r="L268">
        <v>0.64</v>
      </c>
      <c r="M268">
        <v>0.33</v>
      </c>
      <c r="N268">
        <v>0.23</v>
      </c>
      <c r="P268">
        <v>0.08</v>
      </c>
      <c r="Q268">
        <v>0.02</v>
      </c>
      <c r="R268">
        <v>0.34</v>
      </c>
      <c r="S268">
        <v>0.26</v>
      </c>
      <c r="T268">
        <v>0.06</v>
      </c>
      <c r="U268">
        <v>8.43</v>
      </c>
      <c r="V268">
        <v>33.549999999999997</v>
      </c>
      <c r="W268">
        <v>4.97</v>
      </c>
      <c r="X268">
        <v>11.67</v>
      </c>
      <c r="Y268">
        <v>11.53</v>
      </c>
      <c r="Z268">
        <v>1.56</v>
      </c>
      <c r="AA268">
        <v>159</v>
      </c>
      <c r="AB268">
        <v>0.45</v>
      </c>
      <c r="AC268">
        <v>0.06</v>
      </c>
      <c r="AD268">
        <v>7.0000000000000007E-2</v>
      </c>
      <c r="AE268">
        <v>0.24</v>
      </c>
      <c r="AF268">
        <v>0.56000000000000005</v>
      </c>
      <c r="AG268">
        <v>0.87</v>
      </c>
      <c r="AH268">
        <v>17.399999999999999</v>
      </c>
      <c r="AI268">
        <v>3.89</v>
      </c>
      <c r="AJ268">
        <v>4.67</v>
      </c>
      <c r="AK268">
        <v>18.55</v>
      </c>
      <c r="AL268">
        <v>3.35</v>
      </c>
      <c r="AM268">
        <v>4.45</v>
      </c>
      <c r="AN268">
        <v>6.1</v>
      </c>
      <c r="AO268">
        <v>0.74</v>
      </c>
      <c r="AP268">
        <v>4.21</v>
      </c>
      <c r="AQ268">
        <v>0.91</v>
      </c>
      <c r="AR268">
        <v>2.8</v>
      </c>
      <c r="AS268">
        <v>5.67</v>
      </c>
      <c r="AT268">
        <v>3.89</v>
      </c>
      <c r="AU268">
        <v>4.07</v>
      </c>
      <c r="AV268">
        <v>2.6</v>
      </c>
      <c r="AW268">
        <v>5.3</v>
      </c>
      <c r="AX268">
        <v>5.37</v>
      </c>
      <c r="AY268">
        <v>20.77</v>
      </c>
      <c r="AZ268">
        <v>33.619999999999997</v>
      </c>
      <c r="BA268">
        <v>191</v>
      </c>
      <c r="BC268">
        <v>3.95</v>
      </c>
      <c r="BF268">
        <v>1.4</v>
      </c>
    </row>
    <row r="269" spans="1:58" x14ac:dyDescent="0.25">
      <c r="A269" t="s">
        <v>364</v>
      </c>
      <c r="B269" t="s">
        <v>317</v>
      </c>
      <c r="C269" t="s">
        <v>356</v>
      </c>
      <c r="D269" t="s">
        <v>661</v>
      </c>
      <c r="E269">
        <v>92.03</v>
      </c>
      <c r="F269">
        <v>24</v>
      </c>
      <c r="G269">
        <v>0.97</v>
      </c>
      <c r="H269">
        <v>0.56000000000000005</v>
      </c>
      <c r="I269">
        <v>3.4</v>
      </c>
      <c r="J269">
        <v>2.5</v>
      </c>
      <c r="K269">
        <v>1.51</v>
      </c>
      <c r="L269">
        <v>0.99</v>
      </c>
      <c r="M269">
        <v>0.54</v>
      </c>
      <c r="N269">
        <v>0.36</v>
      </c>
      <c r="P269">
        <v>0.06</v>
      </c>
      <c r="Q269">
        <v>0.01</v>
      </c>
      <c r="R269">
        <v>0.48</v>
      </c>
      <c r="S269">
        <v>0.18</v>
      </c>
      <c r="T269">
        <v>0.09</v>
      </c>
      <c r="U269">
        <v>8.91</v>
      </c>
      <c r="V269">
        <v>50.2</v>
      </c>
      <c r="W269">
        <v>15.28</v>
      </c>
      <c r="X269">
        <v>26.31</v>
      </c>
      <c r="Y269">
        <v>15.53</v>
      </c>
      <c r="Z269">
        <v>1.19</v>
      </c>
      <c r="AA269">
        <v>140</v>
      </c>
      <c r="AB269">
        <v>0.36</v>
      </c>
      <c r="AC269">
        <v>0.43</v>
      </c>
      <c r="AD269">
        <v>7.0000000000000007E-2</v>
      </c>
      <c r="AE269">
        <v>0.14000000000000001</v>
      </c>
      <c r="AF269">
        <v>0.3</v>
      </c>
      <c r="AG269">
        <v>0.93</v>
      </c>
      <c r="AH269">
        <v>19.7</v>
      </c>
      <c r="AI269">
        <v>4.32</v>
      </c>
      <c r="AJ269">
        <v>4.0999999999999996</v>
      </c>
      <c r="AK269">
        <v>15.88</v>
      </c>
      <c r="AL269">
        <v>3.41</v>
      </c>
      <c r="AM269">
        <v>5.63</v>
      </c>
      <c r="AN269">
        <v>4.9800000000000004</v>
      </c>
      <c r="AO269">
        <v>0.67</v>
      </c>
      <c r="AP269">
        <v>4.51</v>
      </c>
      <c r="AQ269">
        <v>0.86</v>
      </c>
      <c r="AR269">
        <v>3.61</v>
      </c>
      <c r="AS269">
        <v>5.61</v>
      </c>
      <c r="AT269">
        <v>2.88</v>
      </c>
      <c r="AU269">
        <v>2.5</v>
      </c>
      <c r="AV269">
        <v>2.56</v>
      </c>
      <c r="AW269">
        <v>3.14</v>
      </c>
      <c r="AX269">
        <v>4.51</v>
      </c>
      <c r="AY269">
        <v>66.209999999999994</v>
      </c>
      <c r="AZ269">
        <v>77.87</v>
      </c>
      <c r="BA269">
        <v>291</v>
      </c>
      <c r="BC269">
        <v>3.56</v>
      </c>
      <c r="BD269">
        <v>0.1</v>
      </c>
      <c r="BF269">
        <v>2.19</v>
      </c>
    </row>
    <row r="270" spans="1:58" x14ac:dyDescent="0.25">
      <c r="A270" t="s">
        <v>364</v>
      </c>
      <c r="B270" t="s">
        <v>142</v>
      </c>
      <c r="C270" t="s">
        <v>356</v>
      </c>
      <c r="D270" t="s">
        <v>663</v>
      </c>
      <c r="E270">
        <v>94.86</v>
      </c>
      <c r="F270">
        <v>19</v>
      </c>
      <c r="G270">
        <v>0.65</v>
      </c>
      <c r="H270">
        <v>0.16</v>
      </c>
      <c r="I270">
        <v>3.54</v>
      </c>
      <c r="J270">
        <v>0.65</v>
      </c>
      <c r="K270">
        <v>0.31</v>
      </c>
      <c r="L270">
        <v>0.33</v>
      </c>
      <c r="M270">
        <v>0.15</v>
      </c>
      <c r="N270">
        <v>130</v>
      </c>
      <c r="P270">
        <v>0.02</v>
      </c>
      <c r="Q270">
        <v>0.02</v>
      </c>
      <c r="R270">
        <v>0.28999999999999998</v>
      </c>
      <c r="S270">
        <v>0.19</v>
      </c>
      <c r="T270">
        <v>0.11</v>
      </c>
      <c r="U270">
        <v>6</v>
      </c>
      <c r="V270">
        <v>8.24</v>
      </c>
      <c r="W270">
        <v>4.05</v>
      </c>
      <c r="X270">
        <v>13.6</v>
      </c>
      <c r="Y270">
        <v>9.76</v>
      </c>
      <c r="Z270">
        <v>1.53</v>
      </c>
      <c r="AA270">
        <v>134</v>
      </c>
      <c r="AB270">
        <v>0.15</v>
      </c>
      <c r="AC270">
        <v>0.02</v>
      </c>
      <c r="AD270">
        <v>0.03</v>
      </c>
      <c r="AE270">
        <v>0.1</v>
      </c>
      <c r="AG270">
        <v>1.34</v>
      </c>
      <c r="AH270">
        <v>17.850000000000001</v>
      </c>
      <c r="AI270">
        <v>4.25</v>
      </c>
      <c r="AJ270">
        <v>2.84</v>
      </c>
      <c r="AK270">
        <v>13.87</v>
      </c>
      <c r="AL270">
        <v>3.45</v>
      </c>
      <c r="AM270">
        <v>1.78</v>
      </c>
      <c r="AN270">
        <v>4.12</v>
      </c>
      <c r="AO270">
        <v>0.77</v>
      </c>
      <c r="AP270">
        <v>3.71</v>
      </c>
      <c r="AQ270">
        <v>0.81</v>
      </c>
      <c r="AR270">
        <v>3.61</v>
      </c>
      <c r="AS270">
        <v>3.12</v>
      </c>
      <c r="AT270">
        <v>2.16</v>
      </c>
      <c r="AU270">
        <v>2.61</v>
      </c>
      <c r="AV270">
        <v>2.36</v>
      </c>
      <c r="AW270">
        <v>3.51</v>
      </c>
      <c r="AX270">
        <v>8.1</v>
      </c>
      <c r="AY270">
        <v>38.79</v>
      </c>
      <c r="AZ270">
        <v>24.4</v>
      </c>
      <c r="BA270">
        <v>64.81</v>
      </c>
      <c r="BC270">
        <v>3.61</v>
      </c>
      <c r="BF270">
        <v>778</v>
      </c>
    </row>
    <row r="271" spans="1:58" x14ac:dyDescent="0.25">
      <c r="A271" t="s">
        <v>364</v>
      </c>
      <c r="B271" t="s">
        <v>143</v>
      </c>
      <c r="C271" t="s">
        <v>356</v>
      </c>
      <c r="D271" t="s">
        <v>664</v>
      </c>
      <c r="E271">
        <v>95.23</v>
      </c>
      <c r="F271">
        <v>16</v>
      </c>
      <c r="G271">
        <v>0.62</v>
      </c>
      <c r="H271">
        <v>0.15</v>
      </c>
      <c r="I271">
        <v>3.01</v>
      </c>
      <c r="J271">
        <v>0.86</v>
      </c>
      <c r="K271">
        <v>0.5</v>
      </c>
      <c r="L271">
        <v>0.36</v>
      </c>
      <c r="M271">
        <v>0.14000000000000001</v>
      </c>
      <c r="N271">
        <v>63.66</v>
      </c>
      <c r="P271">
        <v>0.02</v>
      </c>
      <c r="Q271">
        <v>0.02</v>
      </c>
      <c r="R271">
        <v>0.26</v>
      </c>
      <c r="S271">
        <v>0.19</v>
      </c>
      <c r="T271">
        <v>0.1</v>
      </c>
      <c r="U271">
        <v>3.73</v>
      </c>
      <c r="V271">
        <v>10.58</v>
      </c>
      <c r="W271">
        <v>3.85</v>
      </c>
      <c r="X271">
        <v>10.07</v>
      </c>
      <c r="Y271">
        <v>7.29</v>
      </c>
      <c r="Z271">
        <v>1.57</v>
      </c>
      <c r="AA271">
        <v>130</v>
      </c>
      <c r="AB271">
        <v>0.14000000000000001</v>
      </c>
      <c r="AC271">
        <v>0.03</v>
      </c>
      <c r="AD271">
        <v>0.03</v>
      </c>
      <c r="AE271">
        <v>0.08</v>
      </c>
      <c r="AG271">
        <v>1.34</v>
      </c>
      <c r="AH271">
        <v>15.24</v>
      </c>
      <c r="AI271">
        <v>4.33</v>
      </c>
      <c r="AJ271">
        <v>3.67</v>
      </c>
      <c r="AK271">
        <v>15.24</v>
      </c>
      <c r="AL271">
        <v>4.3499999999999996</v>
      </c>
      <c r="AM271">
        <v>2.15</v>
      </c>
      <c r="AN271">
        <v>3.67</v>
      </c>
      <c r="AO271">
        <v>0.91</v>
      </c>
      <c r="AP271">
        <v>3.77</v>
      </c>
      <c r="AQ271">
        <v>0.88</v>
      </c>
      <c r="AR271">
        <v>3.12</v>
      </c>
      <c r="AS271">
        <v>3.26</v>
      </c>
      <c r="AT271">
        <v>1.77</v>
      </c>
      <c r="AU271">
        <v>2.91</v>
      </c>
      <c r="AV271">
        <v>2.91</v>
      </c>
      <c r="AW271">
        <v>3.12</v>
      </c>
      <c r="AX271">
        <v>7.89</v>
      </c>
      <c r="AY271">
        <v>48.03</v>
      </c>
      <c r="AZ271">
        <v>10.35</v>
      </c>
      <c r="BA271">
        <v>61.62</v>
      </c>
      <c r="BC271">
        <v>3.38</v>
      </c>
      <c r="BF271">
        <v>382</v>
      </c>
    </row>
    <row r="272" spans="1:58" x14ac:dyDescent="0.25">
      <c r="A272" t="s">
        <v>364</v>
      </c>
      <c r="B272" t="s">
        <v>144</v>
      </c>
      <c r="C272" t="s">
        <v>356</v>
      </c>
      <c r="D272" t="s">
        <v>665</v>
      </c>
      <c r="E272">
        <v>79.16</v>
      </c>
      <c r="F272">
        <v>78</v>
      </c>
      <c r="G272">
        <v>3.09</v>
      </c>
      <c r="H272">
        <v>3.62</v>
      </c>
      <c r="I272">
        <v>7.43</v>
      </c>
      <c r="J272">
        <v>5.54</v>
      </c>
      <c r="K272">
        <v>3.82</v>
      </c>
      <c r="L272">
        <v>1.72</v>
      </c>
      <c r="M272">
        <v>1.17</v>
      </c>
      <c r="N272">
        <v>0.46</v>
      </c>
      <c r="P272">
        <v>0.03</v>
      </c>
      <c r="Q272">
        <v>0.01</v>
      </c>
      <c r="R272">
        <v>0.56000000000000005</v>
      </c>
      <c r="S272">
        <v>0.21</v>
      </c>
      <c r="T272">
        <v>0.14000000000000001</v>
      </c>
      <c r="U272">
        <v>6.07</v>
      </c>
      <c r="V272">
        <v>13.58</v>
      </c>
      <c r="W272">
        <v>59.15</v>
      </c>
      <c r="X272">
        <v>81.13</v>
      </c>
      <c r="Y272">
        <v>25.16</v>
      </c>
      <c r="Z272">
        <v>1.45</v>
      </c>
      <c r="AA272">
        <v>348</v>
      </c>
      <c r="AB272">
        <v>0.45</v>
      </c>
      <c r="AC272">
        <v>0.21</v>
      </c>
      <c r="AD272">
        <v>0.16</v>
      </c>
      <c r="AE272">
        <v>0.32</v>
      </c>
      <c r="AF272">
        <v>2.23</v>
      </c>
      <c r="AG272">
        <v>0.91</v>
      </c>
      <c r="AH272">
        <v>26.57</v>
      </c>
      <c r="AI272">
        <v>2.36</v>
      </c>
      <c r="AJ272">
        <v>4.8600000000000003</v>
      </c>
      <c r="AK272">
        <v>19.32</v>
      </c>
      <c r="AL272">
        <v>5.32</v>
      </c>
      <c r="AM272">
        <v>3.76</v>
      </c>
      <c r="AN272">
        <v>6.34</v>
      </c>
      <c r="AO272">
        <v>0.52</v>
      </c>
      <c r="AP272">
        <v>4.03</v>
      </c>
      <c r="AQ272">
        <v>0.71</v>
      </c>
      <c r="AR272">
        <v>4.04</v>
      </c>
      <c r="AS272">
        <v>3.25</v>
      </c>
      <c r="AT272">
        <v>2.56</v>
      </c>
      <c r="AU272">
        <v>1.52</v>
      </c>
      <c r="AV272">
        <v>1.39</v>
      </c>
      <c r="AW272">
        <v>2.63</v>
      </c>
      <c r="AX272">
        <v>8.94</v>
      </c>
      <c r="AY272">
        <v>872</v>
      </c>
      <c r="AZ272">
        <v>575</v>
      </c>
      <c r="BA272">
        <v>1449</v>
      </c>
      <c r="BC272">
        <v>3.81</v>
      </c>
      <c r="BD272">
        <v>2.8</v>
      </c>
      <c r="BF272">
        <v>2.81</v>
      </c>
    </row>
    <row r="273" spans="1:54" x14ac:dyDescent="0.25">
      <c r="A273" t="s">
        <v>364</v>
      </c>
      <c r="B273" t="s">
        <v>276</v>
      </c>
      <c r="C273" t="s">
        <v>357</v>
      </c>
      <c r="D273" t="s">
        <v>679</v>
      </c>
      <c r="E273">
        <v>77.77</v>
      </c>
      <c r="F273">
        <v>87</v>
      </c>
      <c r="G273">
        <v>19.88</v>
      </c>
      <c r="H273">
        <v>0.78</v>
      </c>
      <c r="M273">
        <v>1.62</v>
      </c>
      <c r="O273">
        <v>12.18</v>
      </c>
      <c r="P273">
        <v>0.03</v>
      </c>
      <c r="Q273">
        <v>0.04</v>
      </c>
      <c r="R273">
        <v>0.91</v>
      </c>
      <c r="S273">
        <v>1.21</v>
      </c>
      <c r="T273">
        <v>0.06</v>
      </c>
      <c r="U273">
        <v>11.7</v>
      </c>
      <c r="W273">
        <v>36.6</v>
      </c>
      <c r="X273">
        <v>246</v>
      </c>
      <c r="Y273">
        <v>53</v>
      </c>
      <c r="Z273">
        <v>212</v>
      </c>
      <c r="AA273">
        <v>270</v>
      </c>
      <c r="AB273">
        <v>0.54</v>
      </c>
      <c r="AC273">
        <v>7.0000000000000007E-2</v>
      </c>
      <c r="AD273">
        <v>0.04</v>
      </c>
      <c r="AE273">
        <v>0.65</v>
      </c>
      <c r="AF273">
        <v>56.22</v>
      </c>
      <c r="AG273">
        <v>0.81</v>
      </c>
      <c r="AH273">
        <v>7.89</v>
      </c>
      <c r="AI273">
        <v>5.55</v>
      </c>
      <c r="AJ273">
        <v>4.3899999999999997</v>
      </c>
      <c r="AK273">
        <v>14.66</v>
      </c>
      <c r="AL273">
        <v>3.35</v>
      </c>
      <c r="AM273">
        <v>5.57</v>
      </c>
      <c r="AN273">
        <v>5.28</v>
      </c>
      <c r="AO273">
        <v>1.82</v>
      </c>
      <c r="AP273">
        <v>5.49</v>
      </c>
      <c r="AQ273">
        <v>3.28</v>
      </c>
      <c r="AR273">
        <v>4.59</v>
      </c>
      <c r="AS273">
        <v>7.72</v>
      </c>
      <c r="AT273">
        <v>4.1500000000000004</v>
      </c>
      <c r="AU273">
        <v>4.6100000000000003</v>
      </c>
      <c r="AV273">
        <v>3.65</v>
      </c>
      <c r="AW273">
        <v>5.67</v>
      </c>
      <c r="AX273">
        <v>5.83</v>
      </c>
      <c r="AY273">
        <v>248</v>
      </c>
      <c r="AZ273">
        <v>50.36</v>
      </c>
      <c r="BA273">
        <v>290</v>
      </c>
      <c r="BB273">
        <v>29.56</v>
      </c>
    </row>
    <row r="274" spans="1:54" x14ac:dyDescent="0.25">
      <c r="A274" t="s">
        <v>364</v>
      </c>
      <c r="B274" t="s">
        <v>327</v>
      </c>
      <c r="C274" t="s">
        <v>357</v>
      </c>
      <c r="D274" t="s">
        <v>683</v>
      </c>
      <c r="E274">
        <v>78.36</v>
      </c>
      <c r="F274">
        <v>97</v>
      </c>
      <c r="G274">
        <v>20.21</v>
      </c>
      <c r="H274">
        <v>1.68</v>
      </c>
      <c r="M274">
        <v>1.07</v>
      </c>
      <c r="O274">
        <v>1.39</v>
      </c>
      <c r="P274">
        <v>0.06</v>
      </c>
      <c r="Q274">
        <v>0.04</v>
      </c>
      <c r="R274">
        <v>2.37</v>
      </c>
      <c r="S274">
        <v>0.67</v>
      </c>
      <c r="T274">
        <v>0.09</v>
      </c>
      <c r="U274">
        <v>5.72</v>
      </c>
      <c r="W274">
        <v>6.55</v>
      </c>
      <c r="X274">
        <v>219</v>
      </c>
      <c r="Y274">
        <v>24.71</v>
      </c>
      <c r="Z274">
        <v>51.41</v>
      </c>
      <c r="AA274">
        <v>343</v>
      </c>
      <c r="AB274">
        <v>0.41</v>
      </c>
      <c r="AC274">
        <v>0.01</v>
      </c>
      <c r="AD274">
        <v>0.38</v>
      </c>
      <c r="AE274">
        <v>0.56999999999999995</v>
      </c>
      <c r="AF274">
        <v>58.99</v>
      </c>
      <c r="AG274">
        <v>1.02</v>
      </c>
      <c r="AH274">
        <v>10.25</v>
      </c>
      <c r="AI274">
        <v>5.15</v>
      </c>
      <c r="AJ274">
        <v>4.3</v>
      </c>
      <c r="AK274">
        <v>13.92</v>
      </c>
      <c r="AL274">
        <v>3.44</v>
      </c>
      <c r="AM274">
        <v>4.96</v>
      </c>
      <c r="AN274">
        <v>5.57</v>
      </c>
      <c r="AO274">
        <v>1.83</v>
      </c>
      <c r="AP274">
        <v>5.28</v>
      </c>
      <c r="AQ274">
        <v>2.52</v>
      </c>
      <c r="AR274">
        <v>4.62</v>
      </c>
      <c r="AS274">
        <v>7.59</v>
      </c>
      <c r="AT274">
        <v>4.41</v>
      </c>
      <c r="AU274">
        <v>5.63</v>
      </c>
      <c r="AV274">
        <v>3.61</v>
      </c>
      <c r="AW274">
        <v>6.26</v>
      </c>
      <c r="AX274">
        <v>6.88</v>
      </c>
      <c r="AY274">
        <v>654</v>
      </c>
      <c r="AZ274">
        <v>352</v>
      </c>
      <c r="BA274">
        <v>422</v>
      </c>
      <c r="BB274">
        <v>30.39</v>
      </c>
    </row>
    <row r="275" spans="1:54" x14ac:dyDescent="0.25">
      <c r="A275" t="s">
        <v>364</v>
      </c>
      <c r="B275" t="s">
        <v>150</v>
      </c>
      <c r="C275" t="s">
        <v>357</v>
      </c>
      <c r="D275" t="s">
        <v>685</v>
      </c>
      <c r="E275">
        <v>78.66</v>
      </c>
      <c r="F275">
        <v>92</v>
      </c>
      <c r="G275">
        <v>19.68</v>
      </c>
      <c r="H275">
        <v>1.38</v>
      </c>
      <c r="M275">
        <v>0.97</v>
      </c>
      <c r="O275">
        <v>1.29</v>
      </c>
      <c r="P275">
        <v>0.08</v>
      </c>
      <c r="Q275">
        <v>0.05</v>
      </c>
      <c r="R275">
        <v>1.1499999999999999</v>
      </c>
      <c r="S275">
        <v>0.23</v>
      </c>
      <c r="T275">
        <v>0.09</v>
      </c>
      <c r="U275">
        <v>11.99</v>
      </c>
      <c r="W275">
        <v>11.73</v>
      </c>
      <c r="X275">
        <v>192</v>
      </c>
      <c r="Y275">
        <v>28.49</v>
      </c>
      <c r="Z275">
        <v>23.72</v>
      </c>
      <c r="AA275">
        <v>452</v>
      </c>
      <c r="AB275">
        <v>0.6</v>
      </c>
      <c r="AC275">
        <v>0.03</v>
      </c>
      <c r="AE275">
        <v>0.46</v>
      </c>
      <c r="AF275">
        <v>19.66</v>
      </c>
      <c r="AG275">
        <v>0.78</v>
      </c>
      <c r="AH275">
        <v>11.62</v>
      </c>
      <c r="AI275">
        <v>5.1100000000000003</v>
      </c>
      <c r="AJ275">
        <v>4.5</v>
      </c>
      <c r="AK275">
        <v>15.32</v>
      </c>
      <c r="AL275">
        <v>3.69</v>
      </c>
      <c r="AM275">
        <v>6.34</v>
      </c>
      <c r="AN275">
        <v>6.36</v>
      </c>
      <c r="AO275">
        <v>1.7</v>
      </c>
      <c r="AP275">
        <v>5.24</v>
      </c>
      <c r="AQ275">
        <v>3.61</v>
      </c>
      <c r="AR275">
        <v>4.59</v>
      </c>
      <c r="AS275">
        <v>8.06</v>
      </c>
      <c r="AT275">
        <v>3.2</v>
      </c>
      <c r="AU275">
        <v>4.03</v>
      </c>
      <c r="AV275">
        <v>2.2999999999999998</v>
      </c>
      <c r="AW275">
        <v>6.5</v>
      </c>
      <c r="AX275">
        <v>6.48</v>
      </c>
      <c r="AY275">
        <v>577</v>
      </c>
      <c r="AZ275">
        <v>290</v>
      </c>
      <c r="BA275">
        <v>274</v>
      </c>
      <c r="BB275">
        <v>15.62</v>
      </c>
    </row>
    <row r="276" spans="1:54" x14ac:dyDescent="0.25">
      <c r="A276" t="s">
        <v>364</v>
      </c>
      <c r="B276" t="s">
        <v>328</v>
      </c>
      <c r="C276" t="s">
        <v>357</v>
      </c>
      <c r="D276" t="s">
        <v>686</v>
      </c>
      <c r="E276">
        <v>80.02</v>
      </c>
      <c r="F276">
        <v>89</v>
      </c>
      <c r="G276">
        <v>19.38</v>
      </c>
      <c r="H276">
        <v>1.2</v>
      </c>
      <c r="M276">
        <v>1.34</v>
      </c>
      <c r="O276">
        <v>1.29</v>
      </c>
      <c r="P276">
        <v>0.06</v>
      </c>
      <c r="Q276">
        <v>0.05</v>
      </c>
      <c r="R276">
        <v>2.2400000000000002</v>
      </c>
      <c r="S276">
        <v>0.22</v>
      </c>
      <c r="T276">
        <v>0.14000000000000001</v>
      </c>
      <c r="U276">
        <v>11.94</v>
      </c>
      <c r="W276">
        <v>10.66</v>
      </c>
      <c r="X276">
        <v>177</v>
      </c>
      <c r="Y276">
        <v>22.87</v>
      </c>
      <c r="Z276">
        <v>40.14</v>
      </c>
      <c r="AA276">
        <v>279</v>
      </c>
      <c r="AB276">
        <v>0.26</v>
      </c>
      <c r="AC276">
        <v>0.02</v>
      </c>
      <c r="AD276">
        <v>0.72</v>
      </c>
      <c r="AE276">
        <v>0.82</v>
      </c>
      <c r="AF276">
        <v>12.34</v>
      </c>
      <c r="AG276">
        <v>1.28</v>
      </c>
      <c r="AH276">
        <v>9.33</v>
      </c>
      <c r="AI276">
        <v>5.0999999999999996</v>
      </c>
      <c r="AJ276">
        <v>4.4400000000000004</v>
      </c>
      <c r="AK276">
        <v>14.2</v>
      </c>
      <c r="AL276">
        <v>3.82</v>
      </c>
      <c r="AM276">
        <v>5.83</v>
      </c>
      <c r="AN276">
        <v>5.41</v>
      </c>
      <c r="AO276">
        <v>1.72</v>
      </c>
      <c r="AP276">
        <v>5.19</v>
      </c>
      <c r="AQ276">
        <v>3.5</v>
      </c>
      <c r="AR276">
        <v>4.82</v>
      </c>
      <c r="AS276">
        <v>8</v>
      </c>
      <c r="AT276">
        <v>4.5</v>
      </c>
      <c r="AU276">
        <v>5.61</v>
      </c>
      <c r="AV276">
        <v>3.81</v>
      </c>
      <c r="AW276">
        <v>6.04</v>
      </c>
      <c r="AX276">
        <v>6.54</v>
      </c>
      <c r="AY276">
        <v>455</v>
      </c>
      <c r="AZ276">
        <v>250</v>
      </c>
      <c r="BA276">
        <v>275</v>
      </c>
      <c r="BB276">
        <v>20.59</v>
      </c>
    </row>
    <row r="277" spans="1:54" x14ac:dyDescent="0.25">
      <c r="A277" t="s">
        <v>364</v>
      </c>
      <c r="B277" t="s">
        <v>151</v>
      </c>
      <c r="C277" t="s">
        <v>357</v>
      </c>
      <c r="D277" t="s">
        <v>687</v>
      </c>
      <c r="E277">
        <v>74.67</v>
      </c>
      <c r="F277">
        <v>128</v>
      </c>
      <c r="G277">
        <v>21.95</v>
      </c>
      <c r="H277">
        <v>4.4400000000000004</v>
      </c>
      <c r="M277">
        <v>1.41</v>
      </c>
      <c r="O277">
        <v>2.88</v>
      </c>
      <c r="P277">
        <v>0.04</v>
      </c>
      <c r="Q277">
        <v>0.03</v>
      </c>
      <c r="R277">
        <v>1.96</v>
      </c>
      <c r="S277">
        <v>0.64</v>
      </c>
      <c r="T277">
        <v>0.08</v>
      </c>
      <c r="U277">
        <v>11.63</v>
      </c>
      <c r="W277">
        <v>16.53</v>
      </c>
      <c r="X277">
        <v>170</v>
      </c>
      <c r="Y277">
        <v>29.87</v>
      </c>
      <c r="Z277">
        <v>82.65</v>
      </c>
      <c r="AA277">
        <v>263</v>
      </c>
      <c r="AB277">
        <v>0.38</v>
      </c>
      <c r="AC277">
        <v>0.02</v>
      </c>
      <c r="AD277">
        <v>0.02</v>
      </c>
      <c r="AE277">
        <v>0.41</v>
      </c>
      <c r="AF277">
        <v>13.58</v>
      </c>
      <c r="AG277">
        <v>0.94</v>
      </c>
      <c r="AH277">
        <v>8.9499999999999993</v>
      </c>
      <c r="AI277">
        <v>6.13</v>
      </c>
      <c r="AJ277">
        <v>4.43</v>
      </c>
      <c r="AK277">
        <v>14.1</v>
      </c>
      <c r="AL277">
        <v>3.77</v>
      </c>
      <c r="AM277">
        <v>6.45</v>
      </c>
      <c r="AN277">
        <v>5.71</v>
      </c>
      <c r="AO277">
        <v>1.27</v>
      </c>
      <c r="AP277">
        <v>5.2</v>
      </c>
      <c r="AQ277">
        <v>3.38</v>
      </c>
      <c r="AR277">
        <v>4.58</v>
      </c>
      <c r="AS277">
        <v>7.77</v>
      </c>
      <c r="AT277">
        <v>5.59</v>
      </c>
      <c r="AU277">
        <v>5.51</v>
      </c>
      <c r="AV277">
        <v>2.73</v>
      </c>
      <c r="AW277">
        <v>6.44</v>
      </c>
      <c r="AX277">
        <v>6.09</v>
      </c>
      <c r="AY277">
        <v>1959</v>
      </c>
      <c r="AZ277">
        <v>857</v>
      </c>
      <c r="BA277">
        <v>1185</v>
      </c>
      <c r="BB277">
        <v>54.63</v>
      </c>
    </row>
    <row r="278" spans="1:54" x14ac:dyDescent="0.25">
      <c r="A278" t="s">
        <v>364</v>
      </c>
      <c r="B278" t="s">
        <v>278</v>
      </c>
      <c r="C278" t="s">
        <v>357</v>
      </c>
      <c r="D278" t="s">
        <v>689</v>
      </c>
      <c r="E278">
        <v>80.61</v>
      </c>
      <c r="F278">
        <v>75</v>
      </c>
      <c r="G278">
        <v>17.170000000000002</v>
      </c>
      <c r="H278">
        <v>0.67</v>
      </c>
      <c r="M278">
        <v>1.23</v>
      </c>
      <c r="O278">
        <v>1.37</v>
      </c>
      <c r="P278">
        <v>0.06</v>
      </c>
      <c r="Q278">
        <v>0.02</v>
      </c>
      <c r="R278">
        <v>3.95</v>
      </c>
      <c r="S278">
        <v>0.18</v>
      </c>
      <c r="T278">
        <v>0.18</v>
      </c>
      <c r="U278">
        <v>7.76</v>
      </c>
      <c r="W278">
        <v>10.220000000000001</v>
      </c>
      <c r="X278">
        <v>203</v>
      </c>
      <c r="Y278">
        <v>25.85</v>
      </c>
      <c r="Z278">
        <v>37.119999999999997</v>
      </c>
      <c r="AA278">
        <v>306</v>
      </c>
      <c r="AB278">
        <v>1.29</v>
      </c>
      <c r="AC278">
        <v>0.01</v>
      </c>
      <c r="AD278">
        <v>0.43</v>
      </c>
      <c r="AE278">
        <v>0.67</v>
      </c>
      <c r="AF278">
        <v>52.37</v>
      </c>
      <c r="AG278">
        <v>1.18</v>
      </c>
      <c r="AH278">
        <v>9.16</v>
      </c>
      <c r="AI278">
        <v>5.76</v>
      </c>
      <c r="AJ278">
        <v>4.97</v>
      </c>
      <c r="AK278">
        <v>14.1</v>
      </c>
      <c r="AL278">
        <v>3.75</v>
      </c>
      <c r="AM278">
        <v>6.1</v>
      </c>
      <c r="AN278">
        <v>5.73</v>
      </c>
      <c r="AO278">
        <v>1.91</v>
      </c>
      <c r="AP278">
        <v>5.75</v>
      </c>
      <c r="AQ278">
        <v>4.0999999999999996</v>
      </c>
      <c r="AR278">
        <v>4.82</v>
      </c>
      <c r="AS278">
        <v>8.35</v>
      </c>
      <c r="AT278">
        <v>3.35</v>
      </c>
      <c r="AU278">
        <v>4.72</v>
      </c>
      <c r="AV278">
        <v>3.04</v>
      </c>
      <c r="AW278">
        <v>5.47</v>
      </c>
      <c r="AX278">
        <v>8.17</v>
      </c>
      <c r="AY278">
        <v>199</v>
      </c>
      <c r="AZ278">
        <v>74.510000000000005</v>
      </c>
      <c r="BA278">
        <v>208</v>
      </c>
      <c r="BB278">
        <v>10.84</v>
      </c>
    </row>
    <row r="279" spans="1:54" x14ac:dyDescent="0.25">
      <c r="A279" t="s">
        <v>364</v>
      </c>
      <c r="B279" t="s">
        <v>152</v>
      </c>
      <c r="C279" t="s">
        <v>357</v>
      </c>
      <c r="D279" t="s">
        <v>690</v>
      </c>
      <c r="E279">
        <v>76.42</v>
      </c>
      <c r="F279">
        <v>101</v>
      </c>
      <c r="G279">
        <v>22.05</v>
      </c>
      <c r="H279">
        <v>1.33</v>
      </c>
      <c r="M279">
        <v>1.24</v>
      </c>
      <c r="O279">
        <v>3.52</v>
      </c>
      <c r="P279">
        <v>0.06</v>
      </c>
      <c r="Q279">
        <v>0.04</v>
      </c>
      <c r="R279">
        <v>4.28</v>
      </c>
      <c r="S279">
        <v>1.1299999999999999</v>
      </c>
      <c r="T279">
        <v>0.13</v>
      </c>
      <c r="U279">
        <v>5.0199999999999996</v>
      </c>
      <c r="W279">
        <v>9.32</v>
      </c>
      <c r="X279">
        <v>258</v>
      </c>
      <c r="Y279">
        <v>32.270000000000003</v>
      </c>
      <c r="Z279">
        <v>36.200000000000003</v>
      </c>
      <c r="AA279">
        <v>439</v>
      </c>
      <c r="AB279">
        <v>0.47</v>
      </c>
      <c r="AC279">
        <v>0.01</v>
      </c>
      <c r="AD279">
        <v>0.05</v>
      </c>
      <c r="AE279">
        <v>0.36</v>
      </c>
      <c r="AF279">
        <v>65.53</v>
      </c>
      <c r="AG279">
        <v>1</v>
      </c>
      <c r="AH279">
        <v>10</v>
      </c>
      <c r="AI279">
        <v>5.18</v>
      </c>
      <c r="AJ279">
        <v>4.41</v>
      </c>
      <c r="AK279">
        <v>14.08</v>
      </c>
      <c r="AL279">
        <v>3.55</v>
      </c>
      <c r="AM279">
        <v>5.54</v>
      </c>
      <c r="AN279">
        <v>5.63</v>
      </c>
      <c r="AO279">
        <v>1.57</v>
      </c>
      <c r="AP279">
        <v>5.39</v>
      </c>
      <c r="AQ279">
        <v>3.02</v>
      </c>
      <c r="AR279">
        <v>4.66</v>
      </c>
      <c r="AS279">
        <v>7.72</v>
      </c>
      <c r="AT279">
        <v>4.8899999999999997</v>
      </c>
      <c r="AU279">
        <v>3.99</v>
      </c>
      <c r="AV279">
        <v>3.4</v>
      </c>
      <c r="AW279">
        <v>7.3</v>
      </c>
      <c r="AX279">
        <v>6.02</v>
      </c>
      <c r="AY279">
        <v>441</v>
      </c>
      <c r="AZ279">
        <v>198</v>
      </c>
      <c r="BA279">
        <v>456</v>
      </c>
      <c r="BB279">
        <v>13.53</v>
      </c>
    </row>
    <row r="280" spans="1:54" x14ac:dyDescent="0.25">
      <c r="A280" t="s">
        <v>364</v>
      </c>
      <c r="B280" t="s">
        <v>154</v>
      </c>
      <c r="C280" t="s">
        <v>357</v>
      </c>
      <c r="D280" t="s">
        <v>692</v>
      </c>
      <c r="E280">
        <v>73.739999999999995</v>
      </c>
      <c r="F280">
        <v>126</v>
      </c>
      <c r="G280">
        <v>22.07</v>
      </c>
      <c r="H280">
        <v>4.2</v>
      </c>
      <c r="M280">
        <v>1.06</v>
      </c>
      <c r="O280">
        <v>25.61</v>
      </c>
      <c r="P280">
        <v>0.04</v>
      </c>
      <c r="Q280">
        <v>0.01</v>
      </c>
      <c r="R280">
        <v>1.86</v>
      </c>
      <c r="S280">
        <v>0.32</v>
      </c>
      <c r="T280">
        <v>0.19</v>
      </c>
      <c r="U280">
        <v>13.17</v>
      </c>
      <c r="W280">
        <v>8.6199999999999992</v>
      </c>
      <c r="X280">
        <v>207</v>
      </c>
      <c r="Y280">
        <v>26.23</v>
      </c>
      <c r="Z280">
        <v>36.06</v>
      </c>
      <c r="AA280">
        <v>390</v>
      </c>
      <c r="AB280">
        <v>0.38</v>
      </c>
      <c r="AD280">
        <v>0.02</v>
      </c>
      <c r="AE280">
        <v>0.35</v>
      </c>
      <c r="AF280">
        <v>16.88</v>
      </c>
      <c r="AG280">
        <v>1.1100000000000001</v>
      </c>
      <c r="AH280">
        <v>8.51</v>
      </c>
      <c r="AI280">
        <v>5.48</v>
      </c>
      <c r="AJ280">
        <v>3.87</v>
      </c>
      <c r="AK280">
        <v>16.440000000000001</v>
      </c>
      <c r="AL280">
        <v>3.74</v>
      </c>
      <c r="AM280">
        <v>5.13</v>
      </c>
      <c r="AN280">
        <v>6.23</v>
      </c>
      <c r="AO280">
        <v>1.21</v>
      </c>
      <c r="AP280">
        <v>5.24</v>
      </c>
      <c r="AQ280">
        <v>2.33</v>
      </c>
      <c r="AR280">
        <v>4.71</v>
      </c>
      <c r="AS280">
        <v>8.01</v>
      </c>
      <c r="AT280">
        <v>5.27</v>
      </c>
      <c r="AU280">
        <v>5.77</v>
      </c>
      <c r="AV280">
        <v>3.63</v>
      </c>
      <c r="AW280">
        <v>7.43</v>
      </c>
      <c r="AX280">
        <v>5.35</v>
      </c>
      <c r="AY280">
        <v>1611</v>
      </c>
      <c r="AZ280">
        <v>818</v>
      </c>
      <c r="BA280">
        <v>1342</v>
      </c>
      <c r="BB280">
        <v>19.88</v>
      </c>
    </row>
    <row r="281" spans="1:54" x14ac:dyDescent="0.25">
      <c r="A281" t="s">
        <v>364</v>
      </c>
      <c r="B281" t="s">
        <v>329</v>
      </c>
      <c r="C281" t="s">
        <v>357</v>
      </c>
      <c r="D281" t="s">
        <v>693</v>
      </c>
      <c r="E281">
        <v>75.709999999999994</v>
      </c>
      <c r="F281">
        <v>104</v>
      </c>
      <c r="G281">
        <v>21.6</v>
      </c>
      <c r="H281">
        <v>1.8</v>
      </c>
      <c r="M281">
        <v>1.39</v>
      </c>
      <c r="O281">
        <v>14.3</v>
      </c>
      <c r="P281">
        <v>0.06</v>
      </c>
      <c r="Q281">
        <v>0.02</v>
      </c>
      <c r="R281">
        <v>2.35</v>
      </c>
      <c r="S281">
        <v>0.74</v>
      </c>
      <c r="T281">
        <v>0.16</v>
      </c>
      <c r="U281">
        <v>11.32</v>
      </c>
      <c r="W281">
        <v>11.32</v>
      </c>
      <c r="X281">
        <v>245</v>
      </c>
      <c r="Y281">
        <v>34.380000000000003</v>
      </c>
      <c r="Z281">
        <v>44.86</v>
      </c>
      <c r="AA281">
        <v>470</v>
      </c>
      <c r="AB281">
        <v>0.42</v>
      </c>
      <c r="AC281">
        <v>0.01</v>
      </c>
      <c r="AD281">
        <v>0.04</v>
      </c>
      <c r="AE281">
        <v>0.38</v>
      </c>
      <c r="AF281">
        <v>35.15</v>
      </c>
      <c r="AG281">
        <v>0.99</v>
      </c>
      <c r="AH281">
        <v>9.56</v>
      </c>
      <c r="AI281">
        <v>5.57</v>
      </c>
      <c r="AJ281">
        <v>4.34</v>
      </c>
      <c r="AK281">
        <v>13.13</v>
      </c>
      <c r="AL281">
        <v>3.53</v>
      </c>
      <c r="AM281">
        <v>5.47</v>
      </c>
      <c r="AN281">
        <v>5.55</v>
      </c>
      <c r="AO281">
        <v>1.42</v>
      </c>
      <c r="AP281">
        <v>5.74</v>
      </c>
      <c r="AQ281">
        <v>2.2799999999999998</v>
      </c>
      <c r="AR281">
        <v>4.57</v>
      </c>
      <c r="AS281">
        <v>8.65</v>
      </c>
      <c r="AT281">
        <v>5.13</v>
      </c>
      <c r="AU281">
        <v>6.43</v>
      </c>
      <c r="AV281">
        <v>3.72</v>
      </c>
      <c r="AW281">
        <v>5.91</v>
      </c>
      <c r="AX281">
        <v>6.97</v>
      </c>
      <c r="AY281">
        <v>755</v>
      </c>
      <c r="AZ281">
        <v>288</v>
      </c>
      <c r="BA281">
        <v>490</v>
      </c>
      <c r="BB281">
        <v>21.97</v>
      </c>
    </row>
    <row r="282" spans="1:54" x14ac:dyDescent="0.25">
      <c r="A282" t="s">
        <v>364</v>
      </c>
      <c r="B282" t="s">
        <v>155</v>
      </c>
      <c r="C282" t="s">
        <v>357</v>
      </c>
      <c r="D282" t="s">
        <v>694</v>
      </c>
      <c r="E282">
        <v>76.36</v>
      </c>
      <c r="F282">
        <v>87</v>
      </c>
      <c r="G282">
        <v>20.02</v>
      </c>
      <c r="H282">
        <v>0.7</v>
      </c>
      <c r="M282">
        <v>1.28</v>
      </c>
      <c r="O282">
        <v>1.49</v>
      </c>
      <c r="P282">
        <v>0.06</v>
      </c>
      <c r="Q282">
        <v>0.02</v>
      </c>
      <c r="R282">
        <v>2.19</v>
      </c>
      <c r="S282">
        <v>1.07</v>
      </c>
      <c r="T282">
        <v>0.16</v>
      </c>
      <c r="U282">
        <v>6.77</v>
      </c>
      <c r="W282">
        <v>8.17</v>
      </c>
      <c r="X282">
        <v>252</v>
      </c>
      <c r="Y282">
        <v>31.68</v>
      </c>
      <c r="Z282">
        <v>37.6</v>
      </c>
      <c r="AA282">
        <v>406</v>
      </c>
      <c r="AB282">
        <v>0.67</v>
      </c>
      <c r="AC282">
        <v>0.02</v>
      </c>
      <c r="AD282">
        <v>0.13</v>
      </c>
      <c r="AE282">
        <v>0.41</v>
      </c>
      <c r="AF282">
        <v>18.43</v>
      </c>
      <c r="AG282">
        <v>1.1299999999999999</v>
      </c>
      <c r="AH282">
        <v>9.86</v>
      </c>
      <c r="AI282">
        <v>5.82</v>
      </c>
      <c r="AJ282">
        <v>5.1100000000000003</v>
      </c>
      <c r="AK282">
        <v>14.88</v>
      </c>
      <c r="AL282">
        <v>3.34</v>
      </c>
      <c r="AM282">
        <v>5.07</v>
      </c>
      <c r="AN282">
        <v>5.15</v>
      </c>
      <c r="AO282">
        <v>1.58</v>
      </c>
      <c r="AP282">
        <v>5.63</v>
      </c>
      <c r="AQ282">
        <v>4.1500000000000004</v>
      </c>
      <c r="AR282">
        <v>4.7</v>
      </c>
      <c r="AS282">
        <v>7.41</v>
      </c>
      <c r="AT282">
        <v>4.47</v>
      </c>
      <c r="AU282">
        <v>4.37</v>
      </c>
      <c r="AV282">
        <v>2.96</v>
      </c>
      <c r="AW282">
        <v>6.31</v>
      </c>
      <c r="AX282">
        <v>6.98</v>
      </c>
      <c r="AY282">
        <v>229</v>
      </c>
      <c r="AZ282">
        <v>104</v>
      </c>
      <c r="BA282">
        <v>179</v>
      </c>
      <c r="BB282">
        <v>22.64</v>
      </c>
    </row>
    <row r="283" spans="1:54" x14ac:dyDescent="0.25">
      <c r="A283" t="s">
        <v>364</v>
      </c>
      <c r="B283" t="s">
        <v>157</v>
      </c>
      <c r="C283" t="s">
        <v>357</v>
      </c>
      <c r="D283" t="s">
        <v>696</v>
      </c>
      <c r="E283">
        <v>75.67</v>
      </c>
      <c r="F283">
        <v>97</v>
      </c>
      <c r="G283">
        <v>23.98</v>
      </c>
      <c r="H283">
        <v>0.68</v>
      </c>
      <c r="M283">
        <v>1.1399999999999999</v>
      </c>
      <c r="O283">
        <v>7.55</v>
      </c>
      <c r="P283">
        <v>0.03</v>
      </c>
      <c r="Q283">
        <v>0.02</v>
      </c>
      <c r="R283">
        <v>2.74</v>
      </c>
      <c r="S283">
        <v>0.98</v>
      </c>
      <c r="T283">
        <v>0.21</v>
      </c>
      <c r="U283">
        <v>25.59</v>
      </c>
      <c r="W283">
        <v>9.16</v>
      </c>
      <c r="X283">
        <v>174</v>
      </c>
      <c r="Y283">
        <v>24.61</v>
      </c>
      <c r="Z283">
        <v>64.14</v>
      </c>
      <c r="AA283">
        <v>270</v>
      </c>
      <c r="AB283">
        <v>0.74</v>
      </c>
      <c r="AC283">
        <v>0.01</v>
      </c>
      <c r="AD283">
        <v>0.03</v>
      </c>
      <c r="AE283">
        <v>0.44</v>
      </c>
      <c r="AF283">
        <v>23.85</v>
      </c>
      <c r="AG283">
        <v>0.92</v>
      </c>
      <c r="AH283">
        <v>8.2100000000000009</v>
      </c>
      <c r="AI283">
        <v>4.71</v>
      </c>
      <c r="AJ283">
        <v>5.65</v>
      </c>
      <c r="AK283">
        <v>13.94</v>
      </c>
      <c r="AL283">
        <v>4.18</v>
      </c>
      <c r="AM283">
        <v>5.65</v>
      </c>
      <c r="AN283">
        <v>5.21</v>
      </c>
      <c r="AO283">
        <v>1.88</v>
      </c>
      <c r="AP283">
        <v>5.58</v>
      </c>
      <c r="AQ283">
        <v>2.86</v>
      </c>
      <c r="AR283">
        <v>3.56</v>
      </c>
      <c r="AS283">
        <v>6.37</v>
      </c>
      <c r="AT283">
        <v>4.33</v>
      </c>
      <c r="AU283">
        <v>5.12</v>
      </c>
      <c r="AV283">
        <v>4.54</v>
      </c>
      <c r="AW283">
        <v>5.66</v>
      </c>
      <c r="AX283">
        <v>5.94</v>
      </c>
      <c r="AY283">
        <v>289</v>
      </c>
      <c r="AZ283">
        <v>173</v>
      </c>
      <c r="BA283">
        <v>174</v>
      </c>
      <c r="BB283">
        <v>62.47</v>
      </c>
    </row>
    <row r="284" spans="1:54" x14ac:dyDescent="0.25">
      <c r="A284" t="s">
        <v>364</v>
      </c>
      <c r="B284" t="s">
        <v>160</v>
      </c>
      <c r="C284" t="s">
        <v>357</v>
      </c>
      <c r="D284" t="s">
        <v>699</v>
      </c>
      <c r="E284">
        <v>78</v>
      </c>
      <c r="F284">
        <v>88</v>
      </c>
      <c r="G284">
        <v>17.079999999999998</v>
      </c>
      <c r="H284">
        <v>2.1800000000000002</v>
      </c>
      <c r="M284">
        <v>2.7</v>
      </c>
      <c r="O284">
        <v>10.02</v>
      </c>
      <c r="Q284">
        <v>0.14000000000000001</v>
      </c>
      <c r="R284">
        <v>0.3</v>
      </c>
      <c r="S284">
        <v>0.72</v>
      </c>
      <c r="T284">
        <v>1.66</v>
      </c>
      <c r="U284">
        <v>61.66</v>
      </c>
      <c r="W284">
        <v>103</v>
      </c>
      <c r="X284">
        <v>106</v>
      </c>
      <c r="Y284">
        <v>35.450000000000003</v>
      </c>
      <c r="Z284">
        <v>52.57</v>
      </c>
      <c r="AA284">
        <v>155</v>
      </c>
      <c r="AB284">
        <v>1.24</v>
      </c>
      <c r="AC284">
        <v>0.09</v>
      </c>
      <c r="AD284">
        <v>7.0000000000000007E-2</v>
      </c>
      <c r="AE284">
        <v>1.05</v>
      </c>
      <c r="AF284">
        <v>113</v>
      </c>
      <c r="AG284">
        <v>0.99</v>
      </c>
      <c r="AH284">
        <v>9.49</v>
      </c>
      <c r="AI284">
        <v>4.63</v>
      </c>
      <c r="AJ284">
        <v>4.9400000000000004</v>
      </c>
      <c r="AK284">
        <v>15.51</v>
      </c>
      <c r="AL284">
        <v>4.3899999999999997</v>
      </c>
      <c r="AM284">
        <v>5.28</v>
      </c>
      <c r="AN284">
        <v>6.83</v>
      </c>
      <c r="AO284">
        <v>1.27</v>
      </c>
      <c r="AP284">
        <v>4.4000000000000004</v>
      </c>
      <c r="AQ284">
        <v>2.4900000000000002</v>
      </c>
      <c r="AR284">
        <v>4.16</v>
      </c>
      <c r="AS284">
        <v>8.0399999999999991</v>
      </c>
      <c r="AT284">
        <v>3.46</v>
      </c>
      <c r="AU284">
        <v>4.24</v>
      </c>
      <c r="AV284">
        <v>5.12</v>
      </c>
      <c r="AW284">
        <v>8.39</v>
      </c>
      <c r="AX284">
        <v>6.18</v>
      </c>
      <c r="AY284">
        <v>1124</v>
      </c>
      <c r="AZ284">
        <v>310</v>
      </c>
      <c r="BA284">
        <v>528</v>
      </c>
      <c r="BB284">
        <v>12.57</v>
      </c>
    </row>
    <row r="285" spans="1:54" x14ac:dyDescent="0.25">
      <c r="A285" t="s">
        <v>364</v>
      </c>
      <c r="B285" t="s">
        <v>161</v>
      </c>
      <c r="C285" t="s">
        <v>357</v>
      </c>
      <c r="D285" t="s">
        <v>700</v>
      </c>
      <c r="E285">
        <v>72.290000000000006</v>
      </c>
      <c r="F285">
        <v>152</v>
      </c>
      <c r="G285">
        <v>17.91</v>
      </c>
      <c r="H285">
        <v>8.99</v>
      </c>
      <c r="M285">
        <v>0.84</v>
      </c>
      <c r="O285">
        <v>12.66</v>
      </c>
      <c r="P285">
        <v>0.01</v>
      </c>
      <c r="Q285">
        <v>0.06</v>
      </c>
      <c r="R285">
        <v>0.91</v>
      </c>
      <c r="S285">
        <v>0.77</v>
      </c>
      <c r="T285">
        <v>0.14000000000000001</v>
      </c>
      <c r="U285">
        <v>22.66</v>
      </c>
      <c r="W285">
        <v>42.26</v>
      </c>
      <c r="X285">
        <v>191</v>
      </c>
      <c r="Y285">
        <v>24.39</v>
      </c>
      <c r="Z285">
        <v>38.49</v>
      </c>
      <c r="AA285">
        <v>228</v>
      </c>
      <c r="AB285">
        <v>0.83</v>
      </c>
      <c r="AC285">
        <v>0.02</v>
      </c>
      <c r="AD285">
        <v>7.0000000000000007E-2</v>
      </c>
      <c r="AE285">
        <v>0.89</v>
      </c>
      <c r="AF285">
        <v>50.21</v>
      </c>
      <c r="AG285">
        <v>1.57</v>
      </c>
      <c r="AH285">
        <v>10.65</v>
      </c>
      <c r="AI285">
        <v>5.3</v>
      </c>
      <c r="AJ285">
        <v>4.62</v>
      </c>
      <c r="AK285">
        <v>13.86</v>
      </c>
      <c r="AL285">
        <v>4.41</v>
      </c>
      <c r="AM285">
        <v>5.66</v>
      </c>
      <c r="AN285">
        <v>5.36</v>
      </c>
      <c r="AO285">
        <v>1.84</v>
      </c>
      <c r="AP285">
        <v>5.18</v>
      </c>
      <c r="AQ285">
        <v>3</v>
      </c>
      <c r="AR285">
        <v>4.7300000000000004</v>
      </c>
      <c r="AS285">
        <v>8.17</v>
      </c>
      <c r="AT285">
        <v>4.1100000000000003</v>
      </c>
      <c r="AU285">
        <v>5.24</v>
      </c>
      <c r="AV285">
        <v>4.3099999999999996</v>
      </c>
      <c r="AW285">
        <v>6.43</v>
      </c>
      <c r="AX285">
        <v>6.45</v>
      </c>
      <c r="AY285">
        <v>1250</v>
      </c>
      <c r="AZ285">
        <v>630</v>
      </c>
      <c r="BA285">
        <v>770</v>
      </c>
      <c r="BB285">
        <v>49.12</v>
      </c>
    </row>
    <row r="286" spans="1:54" x14ac:dyDescent="0.25">
      <c r="A286" t="s">
        <v>364</v>
      </c>
      <c r="B286" t="s">
        <v>165</v>
      </c>
      <c r="C286" t="s">
        <v>357</v>
      </c>
      <c r="D286" t="s">
        <v>704</v>
      </c>
      <c r="E286">
        <v>74.61</v>
      </c>
      <c r="F286">
        <v>103</v>
      </c>
      <c r="G286">
        <v>23.4</v>
      </c>
      <c r="H286">
        <v>0.8</v>
      </c>
      <c r="M286">
        <v>0.92</v>
      </c>
      <c r="O286">
        <v>20.55</v>
      </c>
      <c r="P286">
        <v>0.02</v>
      </c>
      <c r="Q286">
        <v>0.04</v>
      </c>
      <c r="R286">
        <v>2.72</v>
      </c>
      <c r="S286">
        <v>0.66</v>
      </c>
      <c r="T286">
        <v>7.0000000000000007E-2</v>
      </c>
      <c r="U286">
        <v>20.059999999999999</v>
      </c>
      <c r="W286">
        <v>7.92</v>
      </c>
      <c r="X286">
        <v>200</v>
      </c>
      <c r="Y286">
        <v>25.11</v>
      </c>
      <c r="Z286">
        <v>53.55</v>
      </c>
      <c r="AA286">
        <v>304</v>
      </c>
      <c r="AB286">
        <v>0.86</v>
      </c>
      <c r="AC286">
        <v>0.02</v>
      </c>
      <c r="AD286">
        <v>0.03</v>
      </c>
      <c r="AE286">
        <v>0.4</v>
      </c>
      <c r="AF286">
        <v>50.31</v>
      </c>
      <c r="AG286">
        <v>0.65</v>
      </c>
      <c r="AH286">
        <v>9.0399999999999991</v>
      </c>
      <c r="AI286">
        <v>3.88</v>
      </c>
      <c r="AJ286">
        <v>4.13</v>
      </c>
      <c r="AK286">
        <v>13.68</v>
      </c>
      <c r="AL286">
        <v>6.3</v>
      </c>
      <c r="AM286">
        <v>6.24</v>
      </c>
      <c r="AN286">
        <v>5.75</v>
      </c>
      <c r="AO286">
        <v>1.27</v>
      </c>
      <c r="AP286">
        <v>4.97</v>
      </c>
      <c r="AQ286">
        <v>4.51</v>
      </c>
      <c r="AR286">
        <v>3.75</v>
      </c>
      <c r="AS286">
        <v>8.1999999999999993</v>
      </c>
      <c r="AT286">
        <v>3.54</v>
      </c>
      <c r="AU286">
        <v>5.19</v>
      </c>
      <c r="AV286">
        <v>4.13</v>
      </c>
      <c r="AW286">
        <v>7.99</v>
      </c>
      <c r="AX286">
        <v>4.2300000000000004</v>
      </c>
      <c r="AY286">
        <v>264</v>
      </c>
      <c r="AZ286">
        <v>103</v>
      </c>
      <c r="BA286">
        <v>232</v>
      </c>
      <c r="BB286">
        <v>55.81</v>
      </c>
    </row>
    <row r="287" spans="1:54" x14ac:dyDescent="0.25">
      <c r="A287" t="s">
        <v>364</v>
      </c>
      <c r="B287" t="s">
        <v>167</v>
      </c>
      <c r="C287" t="s">
        <v>357</v>
      </c>
      <c r="D287" t="s">
        <v>706</v>
      </c>
      <c r="E287">
        <v>79.22</v>
      </c>
      <c r="F287">
        <v>88</v>
      </c>
      <c r="G287">
        <v>19.82</v>
      </c>
      <c r="H287">
        <v>0.88</v>
      </c>
      <c r="M287">
        <v>1.1499999999999999</v>
      </c>
      <c r="O287">
        <v>1.1399999999999999</v>
      </c>
      <c r="P287">
        <v>0.06</v>
      </c>
      <c r="Q287">
        <v>0.05</v>
      </c>
      <c r="R287">
        <v>3.24</v>
      </c>
      <c r="S287">
        <v>0.21</v>
      </c>
      <c r="T287">
        <v>7.0000000000000007E-2</v>
      </c>
      <c r="U287">
        <v>8.1999999999999993</v>
      </c>
      <c r="W287">
        <v>12.08</v>
      </c>
      <c r="X287">
        <v>255</v>
      </c>
      <c r="Y287">
        <v>26.38</v>
      </c>
      <c r="Z287">
        <v>66.209999999999994</v>
      </c>
      <c r="AA287">
        <v>306</v>
      </c>
      <c r="AB287">
        <v>0.54</v>
      </c>
      <c r="AC287">
        <v>0.01</v>
      </c>
      <c r="AD287">
        <v>0.03</v>
      </c>
      <c r="AE287">
        <v>0.56000000000000005</v>
      </c>
      <c r="AF287">
        <v>32.82</v>
      </c>
      <c r="AG287">
        <v>0.77</v>
      </c>
      <c r="AH287">
        <v>8.73</v>
      </c>
      <c r="AI287">
        <v>5.07</v>
      </c>
      <c r="AJ287">
        <v>4.3600000000000003</v>
      </c>
      <c r="AK287">
        <v>13.64</v>
      </c>
      <c r="AL287">
        <v>3.51</v>
      </c>
      <c r="AM287">
        <v>5.41</v>
      </c>
      <c r="AN287">
        <v>5.12</v>
      </c>
      <c r="AO287">
        <v>2.0499999999999998</v>
      </c>
      <c r="AP287">
        <v>5.27</v>
      </c>
      <c r="AQ287">
        <v>3.51</v>
      </c>
      <c r="AR287">
        <v>4.68</v>
      </c>
      <c r="AS287">
        <v>7.9</v>
      </c>
      <c r="AT287">
        <v>4.38</v>
      </c>
      <c r="AU287">
        <v>4.82</v>
      </c>
      <c r="AV287">
        <v>5.94</v>
      </c>
      <c r="AW287">
        <v>5.92</v>
      </c>
      <c r="AX287">
        <v>5.67</v>
      </c>
      <c r="AY287">
        <v>363</v>
      </c>
      <c r="AZ287">
        <v>184</v>
      </c>
      <c r="BA287">
        <v>134</v>
      </c>
      <c r="BB287">
        <v>27.59</v>
      </c>
    </row>
    <row r="288" spans="1:54" x14ac:dyDescent="0.25">
      <c r="A288" t="s">
        <v>364</v>
      </c>
      <c r="B288" t="s">
        <v>168</v>
      </c>
      <c r="C288" t="s">
        <v>357</v>
      </c>
      <c r="D288" t="s">
        <v>707</v>
      </c>
      <c r="E288">
        <v>75.77</v>
      </c>
      <c r="F288">
        <v>104</v>
      </c>
      <c r="G288">
        <v>21.58</v>
      </c>
      <c r="H288">
        <v>1.84</v>
      </c>
      <c r="M288">
        <v>1.21</v>
      </c>
      <c r="O288">
        <v>3.23</v>
      </c>
      <c r="P288">
        <v>0.03</v>
      </c>
      <c r="Q288">
        <v>0.02</v>
      </c>
      <c r="R288">
        <v>2.86</v>
      </c>
      <c r="S288">
        <v>0.27</v>
      </c>
      <c r="T288">
        <v>0.17</v>
      </c>
      <c r="U288">
        <v>16.12</v>
      </c>
      <c r="W288">
        <v>13.52</v>
      </c>
      <c r="X288">
        <v>284</v>
      </c>
      <c r="Y288">
        <v>27.59</v>
      </c>
      <c r="Z288">
        <v>45.22</v>
      </c>
      <c r="AA288">
        <v>384</v>
      </c>
      <c r="AB288">
        <v>0.69</v>
      </c>
      <c r="AC288">
        <v>0.01</v>
      </c>
      <c r="AD288">
        <v>0.03</v>
      </c>
      <c r="AE288">
        <v>0.45</v>
      </c>
      <c r="AF288">
        <v>35.630000000000003</v>
      </c>
      <c r="AG288">
        <v>1.1200000000000001</v>
      </c>
      <c r="AH288">
        <v>11.1</v>
      </c>
      <c r="AI288">
        <v>4.37</v>
      </c>
      <c r="AJ288">
        <v>3.94</v>
      </c>
      <c r="AK288">
        <v>14.51</v>
      </c>
      <c r="AL288">
        <v>4.66</v>
      </c>
      <c r="AM288">
        <v>6.78</v>
      </c>
      <c r="AN288">
        <v>6.36</v>
      </c>
      <c r="AO288">
        <v>1.1499999999999999</v>
      </c>
      <c r="AP288">
        <v>5.2</v>
      </c>
      <c r="AQ288">
        <v>3.96</v>
      </c>
      <c r="AR288">
        <v>4.1100000000000003</v>
      </c>
      <c r="AS288">
        <v>7.82</v>
      </c>
      <c r="AT288">
        <v>3.36</v>
      </c>
      <c r="AU288">
        <v>4.8600000000000003</v>
      </c>
      <c r="AV288">
        <v>3.09</v>
      </c>
      <c r="AW288">
        <v>7.08</v>
      </c>
      <c r="AX288">
        <v>6.08</v>
      </c>
      <c r="AY288">
        <v>720</v>
      </c>
      <c r="AZ288">
        <v>276</v>
      </c>
      <c r="BA288">
        <v>578</v>
      </c>
      <c r="BB288">
        <v>23.29</v>
      </c>
    </row>
    <row r="289" spans="1:54" x14ac:dyDescent="0.25">
      <c r="A289" t="s">
        <v>364</v>
      </c>
      <c r="B289" t="s">
        <v>169</v>
      </c>
      <c r="C289" t="s">
        <v>357</v>
      </c>
      <c r="D289" t="s">
        <v>708</v>
      </c>
      <c r="E289">
        <v>76.25</v>
      </c>
      <c r="F289">
        <v>101</v>
      </c>
      <c r="G289">
        <v>22.09</v>
      </c>
      <c r="H289">
        <v>1.27</v>
      </c>
      <c r="M289">
        <v>1.28</v>
      </c>
      <c r="O289">
        <v>12.37</v>
      </c>
      <c r="P289">
        <v>0.04</v>
      </c>
      <c r="Q289">
        <v>0.03</v>
      </c>
      <c r="R289">
        <v>1.81</v>
      </c>
      <c r="S289">
        <v>1.07</v>
      </c>
      <c r="T289">
        <v>7.0000000000000007E-2</v>
      </c>
      <c r="U289">
        <v>5.61</v>
      </c>
      <c r="W289">
        <v>9.0399999999999991</v>
      </c>
      <c r="X289">
        <v>252</v>
      </c>
      <c r="Y289">
        <v>32.36</v>
      </c>
      <c r="Z289">
        <v>59.57</v>
      </c>
      <c r="AA289">
        <v>432</v>
      </c>
      <c r="AB289">
        <v>0.31</v>
      </c>
      <c r="AC289">
        <v>0.01</v>
      </c>
      <c r="AD289">
        <v>0.03</v>
      </c>
      <c r="AE289">
        <v>0.4</v>
      </c>
      <c r="AF289">
        <v>23.26</v>
      </c>
      <c r="AG289">
        <v>1.1000000000000001</v>
      </c>
      <c r="AH289">
        <v>9.73</v>
      </c>
      <c r="AI289">
        <v>5.57</v>
      </c>
      <c r="AJ289">
        <v>4.43</v>
      </c>
      <c r="AK289">
        <v>13.56</v>
      </c>
      <c r="AL289">
        <v>3.37</v>
      </c>
      <c r="AM289">
        <v>5.09</v>
      </c>
      <c r="AN289">
        <v>5.34</v>
      </c>
      <c r="AO289">
        <v>1.66</v>
      </c>
      <c r="AP289">
        <v>5.29</v>
      </c>
      <c r="AQ289">
        <v>2.89</v>
      </c>
      <c r="AR289">
        <v>4.47</v>
      </c>
      <c r="AS289">
        <v>7.68</v>
      </c>
      <c r="AT289">
        <v>4.28</v>
      </c>
      <c r="AU289">
        <v>5.61</v>
      </c>
      <c r="AV289">
        <v>4.13</v>
      </c>
      <c r="AW289">
        <v>6.11</v>
      </c>
      <c r="AX289">
        <v>6.01</v>
      </c>
      <c r="AY289">
        <v>479</v>
      </c>
      <c r="AZ289">
        <v>234</v>
      </c>
      <c r="BA289">
        <v>329</v>
      </c>
      <c r="BB289">
        <v>18.559999999999999</v>
      </c>
    </row>
    <row r="290" spans="1:54" x14ac:dyDescent="0.25">
      <c r="A290" t="s">
        <v>364</v>
      </c>
      <c r="B290" t="s">
        <v>170</v>
      </c>
      <c r="C290" t="s">
        <v>357</v>
      </c>
      <c r="D290" t="s">
        <v>822</v>
      </c>
      <c r="E290">
        <v>74.88</v>
      </c>
      <c r="F290">
        <v>104</v>
      </c>
      <c r="G290">
        <v>21.87</v>
      </c>
      <c r="H290">
        <v>1.68</v>
      </c>
      <c r="M290">
        <v>1.18</v>
      </c>
      <c r="O290">
        <v>2.58</v>
      </c>
      <c r="P290">
        <v>0.03</v>
      </c>
      <c r="Q290">
        <v>0.06</v>
      </c>
      <c r="R290">
        <v>3.7</v>
      </c>
      <c r="S290">
        <v>1.19</v>
      </c>
      <c r="T290">
        <v>0.18</v>
      </c>
      <c r="U290">
        <v>10.76</v>
      </c>
      <c r="W290">
        <v>6.03</v>
      </c>
      <c r="X290">
        <v>246</v>
      </c>
      <c r="Y290">
        <v>27.53</v>
      </c>
      <c r="Z290">
        <v>22.33</v>
      </c>
      <c r="AA290">
        <v>379</v>
      </c>
      <c r="AB290">
        <v>0.99</v>
      </c>
      <c r="AC290">
        <v>0.01</v>
      </c>
      <c r="AD290">
        <v>0.05</v>
      </c>
      <c r="AE290">
        <v>0.39</v>
      </c>
      <c r="AF290">
        <v>33.020000000000003</v>
      </c>
      <c r="AG290">
        <v>1.39</v>
      </c>
      <c r="AH290">
        <v>10.62</v>
      </c>
      <c r="AI290">
        <v>5.31</v>
      </c>
      <c r="AJ290">
        <v>4.87</v>
      </c>
      <c r="AK290">
        <v>14.54</v>
      </c>
      <c r="AL290">
        <v>3.59</v>
      </c>
      <c r="AM290">
        <v>4.9400000000000004</v>
      </c>
      <c r="AN290">
        <v>5.56</v>
      </c>
      <c r="AO290">
        <v>1.65</v>
      </c>
      <c r="AP290">
        <v>5.69</v>
      </c>
      <c r="AQ290">
        <v>3.36</v>
      </c>
      <c r="AR290">
        <v>4.8600000000000003</v>
      </c>
      <c r="AS290">
        <v>8.36</v>
      </c>
      <c r="AT290">
        <v>4.55</v>
      </c>
      <c r="AU290">
        <v>6.11</v>
      </c>
      <c r="AV290">
        <v>2.04</v>
      </c>
      <c r="AW290">
        <v>6.56</v>
      </c>
      <c r="AX290">
        <v>4.9000000000000004</v>
      </c>
      <c r="AY290">
        <v>3317</v>
      </c>
      <c r="AZ290">
        <v>1876</v>
      </c>
      <c r="BA290">
        <v>1746</v>
      </c>
      <c r="BB290">
        <v>64.34</v>
      </c>
    </row>
    <row r="291" spans="1:54" x14ac:dyDescent="0.25">
      <c r="A291" t="s">
        <v>364</v>
      </c>
      <c r="B291" t="s">
        <v>171</v>
      </c>
      <c r="C291" t="s">
        <v>357</v>
      </c>
      <c r="D291" t="s">
        <v>821</v>
      </c>
      <c r="E291">
        <v>76.37</v>
      </c>
      <c r="F291">
        <v>103</v>
      </c>
      <c r="G291">
        <v>21.95</v>
      </c>
      <c r="H291">
        <v>1.6</v>
      </c>
      <c r="M291">
        <v>1.17</v>
      </c>
      <c r="O291">
        <v>2.93</v>
      </c>
      <c r="P291">
        <v>0.05</v>
      </c>
      <c r="Q291">
        <v>0.04</v>
      </c>
      <c r="R291">
        <v>1.51</v>
      </c>
      <c r="S291">
        <v>0.75</v>
      </c>
      <c r="T291">
        <v>0.15</v>
      </c>
      <c r="U291">
        <v>13.03</v>
      </c>
      <c r="W291">
        <v>7.21</v>
      </c>
      <c r="X291">
        <v>235</v>
      </c>
      <c r="Y291">
        <v>26.33</v>
      </c>
      <c r="Z291">
        <v>49.51</v>
      </c>
      <c r="AA291">
        <v>384</v>
      </c>
      <c r="AB291">
        <v>1.1100000000000001</v>
      </c>
      <c r="AC291">
        <v>0.01</v>
      </c>
      <c r="AD291">
        <v>0.1</v>
      </c>
      <c r="AE291">
        <v>0.45</v>
      </c>
      <c r="AF291">
        <v>42.5</v>
      </c>
      <c r="AG291">
        <v>1.23</v>
      </c>
      <c r="AH291">
        <v>9.75</v>
      </c>
      <c r="AI291">
        <v>4.8099999999999996</v>
      </c>
      <c r="AJ291">
        <v>4.12</v>
      </c>
      <c r="AK291">
        <v>13.59</v>
      </c>
      <c r="AL291">
        <v>3.36</v>
      </c>
      <c r="AM291">
        <v>5.44</v>
      </c>
      <c r="AN291">
        <v>5.42</v>
      </c>
      <c r="AO291">
        <v>1.92</v>
      </c>
      <c r="AP291">
        <v>5.43</v>
      </c>
      <c r="AQ291">
        <v>3.88</v>
      </c>
      <c r="AR291">
        <v>4.4400000000000004</v>
      </c>
      <c r="AS291">
        <v>7.58</v>
      </c>
      <c r="AT291">
        <v>4.74</v>
      </c>
      <c r="AU291">
        <v>5.47</v>
      </c>
      <c r="AV291">
        <v>5.32</v>
      </c>
      <c r="AW291">
        <v>6.54</v>
      </c>
      <c r="AX291">
        <v>6.11</v>
      </c>
      <c r="AY291">
        <v>603</v>
      </c>
      <c r="AZ291">
        <v>259</v>
      </c>
      <c r="BA291">
        <v>487</v>
      </c>
      <c r="BB291">
        <v>16.059999999999999</v>
      </c>
    </row>
    <row r="292" spans="1:54" x14ac:dyDescent="0.25">
      <c r="A292" t="s">
        <v>364</v>
      </c>
      <c r="B292" t="s">
        <v>172</v>
      </c>
      <c r="C292" t="s">
        <v>357</v>
      </c>
      <c r="D292" t="s">
        <v>823</v>
      </c>
      <c r="E292">
        <v>79.180000000000007</v>
      </c>
      <c r="F292">
        <v>86</v>
      </c>
      <c r="G292">
        <v>19.7</v>
      </c>
      <c r="H292">
        <v>0.69</v>
      </c>
      <c r="M292">
        <v>1.26</v>
      </c>
      <c r="O292">
        <v>1.46</v>
      </c>
      <c r="P292">
        <v>0.03</v>
      </c>
      <c r="Q292">
        <v>0.05</v>
      </c>
      <c r="R292">
        <v>4.53</v>
      </c>
      <c r="S292">
        <v>0.68</v>
      </c>
      <c r="T292">
        <v>7.0000000000000007E-2</v>
      </c>
      <c r="U292">
        <v>13.37</v>
      </c>
      <c r="W292">
        <v>9.83</v>
      </c>
      <c r="X292">
        <v>256</v>
      </c>
      <c r="Y292">
        <v>28.98</v>
      </c>
      <c r="Z292">
        <v>33.869999999999997</v>
      </c>
      <c r="AA292">
        <v>490</v>
      </c>
      <c r="AB292">
        <v>0.33</v>
      </c>
      <c r="AC292">
        <v>0.02</v>
      </c>
      <c r="AD292">
        <v>0.57999999999999996</v>
      </c>
      <c r="AE292">
        <v>1.48</v>
      </c>
      <c r="AF292">
        <v>62.35</v>
      </c>
      <c r="AG292">
        <v>1.22</v>
      </c>
      <c r="AH292">
        <v>13.85</v>
      </c>
      <c r="AI292">
        <v>5.0199999999999996</v>
      </c>
      <c r="AJ292">
        <v>4.3</v>
      </c>
      <c r="AK292">
        <v>15.76</v>
      </c>
      <c r="AL292">
        <v>4.0599999999999996</v>
      </c>
      <c r="AM292">
        <v>6.4</v>
      </c>
      <c r="AN292">
        <v>6.3</v>
      </c>
      <c r="AO292">
        <v>1.35</v>
      </c>
      <c r="AP292">
        <v>5.23</v>
      </c>
      <c r="AQ292">
        <v>3.27</v>
      </c>
      <c r="AR292">
        <v>4.6900000000000004</v>
      </c>
      <c r="AS292">
        <v>7.94</v>
      </c>
      <c r="AT292">
        <v>3.55</v>
      </c>
      <c r="AU292">
        <v>3.84</v>
      </c>
      <c r="AV292">
        <v>2.4500000000000002</v>
      </c>
      <c r="AW292">
        <v>6.22</v>
      </c>
      <c r="AX292">
        <v>6.06</v>
      </c>
      <c r="AY292">
        <v>169</v>
      </c>
      <c r="AZ292">
        <v>83.65</v>
      </c>
      <c r="BA292">
        <v>248</v>
      </c>
      <c r="BB292">
        <v>9.65</v>
      </c>
    </row>
    <row r="293" spans="1:54" x14ac:dyDescent="0.25">
      <c r="A293" t="s">
        <v>364</v>
      </c>
      <c r="B293" t="s">
        <v>174</v>
      </c>
      <c r="C293" t="s">
        <v>357</v>
      </c>
      <c r="D293" t="s">
        <v>825</v>
      </c>
      <c r="E293">
        <v>72.12</v>
      </c>
      <c r="F293">
        <v>112</v>
      </c>
      <c r="G293">
        <v>24.5</v>
      </c>
      <c r="H293">
        <v>1.44</v>
      </c>
      <c r="M293">
        <v>1.1100000000000001</v>
      </c>
      <c r="O293">
        <v>16.649999999999999</v>
      </c>
      <c r="P293">
        <v>0.06</v>
      </c>
      <c r="Q293">
        <v>7.0000000000000007E-2</v>
      </c>
      <c r="R293">
        <v>4.7300000000000004</v>
      </c>
      <c r="S293">
        <v>1.34</v>
      </c>
      <c r="T293">
        <v>7.0000000000000007E-2</v>
      </c>
      <c r="U293">
        <v>13.74</v>
      </c>
      <c r="W293">
        <v>9.82</v>
      </c>
      <c r="X293">
        <v>292</v>
      </c>
      <c r="Y293">
        <v>35.85</v>
      </c>
      <c r="Z293">
        <v>52.89</v>
      </c>
      <c r="AA293">
        <v>357</v>
      </c>
      <c r="AB293">
        <v>1.6</v>
      </c>
      <c r="AC293">
        <v>0.02</v>
      </c>
      <c r="AD293">
        <v>0.27</v>
      </c>
      <c r="AE293">
        <v>0.69</v>
      </c>
      <c r="AF293">
        <v>21.55</v>
      </c>
      <c r="AG293">
        <v>0.9</v>
      </c>
      <c r="AH293">
        <v>8.6</v>
      </c>
      <c r="AI293">
        <v>6.2</v>
      </c>
      <c r="AJ293">
        <v>4.53</v>
      </c>
      <c r="AK293">
        <v>13.49</v>
      </c>
      <c r="AL293">
        <v>3.49</v>
      </c>
      <c r="AM293">
        <v>5.6</v>
      </c>
      <c r="AN293">
        <v>5.28</v>
      </c>
      <c r="AO293">
        <v>1.41</v>
      </c>
      <c r="AP293">
        <v>5.75</v>
      </c>
      <c r="AQ293">
        <v>3.01</v>
      </c>
      <c r="AR293">
        <v>4.8499999999999996</v>
      </c>
      <c r="AS293">
        <v>8.23</v>
      </c>
      <c r="AT293">
        <v>5.19</v>
      </c>
      <c r="AU293">
        <v>5.4</v>
      </c>
      <c r="AV293">
        <v>3.37</v>
      </c>
      <c r="AW293">
        <v>5.7</v>
      </c>
      <c r="AX293">
        <v>6.46</v>
      </c>
      <c r="AY293">
        <v>660</v>
      </c>
      <c r="AZ293">
        <v>300</v>
      </c>
      <c r="BA293">
        <v>575</v>
      </c>
      <c r="BB293">
        <v>46.1</v>
      </c>
    </row>
    <row r="294" spans="1:54" x14ac:dyDescent="0.25">
      <c r="A294" t="s">
        <v>364</v>
      </c>
      <c r="B294" t="s">
        <v>176</v>
      </c>
      <c r="C294" t="s">
        <v>357</v>
      </c>
      <c r="D294" t="s">
        <v>826</v>
      </c>
      <c r="E294">
        <v>73.39</v>
      </c>
      <c r="F294">
        <v>109</v>
      </c>
      <c r="G294">
        <v>21.47</v>
      </c>
      <c r="H294">
        <v>2.5499999999999998</v>
      </c>
      <c r="M294">
        <v>2.5</v>
      </c>
      <c r="O294">
        <v>15.95</v>
      </c>
      <c r="Q294">
        <v>0.17</v>
      </c>
      <c r="R294">
        <v>0.43</v>
      </c>
      <c r="S294">
        <v>0.27</v>
      </c>
      <c r="T294">
        <v>0.73</v>
      </c>
      <c r="U294">
        <v>77.39</v>
      </c>
      <c r="W294">
        <v>13.35</v>
      </c>
      <c r="X294">
        <v>234</v>
      </c>
      <c r="Y294">
        <v>33.82</v>
      </c>
      <c r="Z294">
        <v>80.38</v>
      </c>
      <c r="AA294">
        <v>222</v>
      </c>
      <c r="AB294">
        <v>0.68</v>
      </c>
      <c r="AC294">
        <v>0.04</v>
      </c>
      <c r="AD294">
        <v>0.11</v>
      </c>
      <c r="AE294">
        <v>0.64</v>
      </c>
      <c r="AF294">
        <v>289</v>
      </c>
      <c r="AG294">
        <v>1.1599999999999999</v>
      </c>
      <c r="AH294">
        <v>8.3000000000000007</v>
      </c>
      <c r="AI294">
        <v>4.3899999999999997</v>
      </c>
      <c r="AJ294">
        <v>3.76</v>
      </c>
      <c r="AK294">
        <v>14.58</v>
      </c>
      <c r="AL294">
        <v>7.97</v>
      </c>
      <c r="AM294">
        <v>4.62</v>
      </c>
      <c r="AN294">
        <v>5.96</v>
      </c>
      <c r="AO294">
        <v>1.42</v>
      </c>
      <c r="AP294">
        <v>4.66</v>
      </c>
      <c r="AQ294">
        <v>2.08</v>
      </c>
      <c r="AR294">
        <v>4.45</v>
      </c>
      <c r="AS294">
        <v>8.2200000000000006</v>
      </c>
      <c r="AT294">
        <v>3.91</v>
      </c>
      <c r="AU294">
        <v>4.37</v>
      </c>
      <c r="AV294">
        <v>5.5</v>
      </c>
      <c r="AW294">
        <v>8.4700000000000006</v>
      </c>
      <c r="AX294">
        <v>5.77</v>
      </c>
      <c r="AY294">
        <v>907</v>
      </c>
      <c r="AZ294">
        <v>629</v>
      </c>
      <c r="BA294">
        <v>754</v>
      </c>
      <c r="BB294">
        <v>24.36</v>
      </c>
    </row>
    <row r="295" spans="1:54" x14ac:dyDescent="0.25">
      <c r="A295" t="s">
        <v>364</v>
      </c>
      <c r="B295" t="s">
        <v>178</v>
      </c>
      <c r="C295" t="s">
        <v>357</v>
      </c>
      <c r="D295" t="s">
        <v>817</v>
      </c>
      <c r="E295">
        <v>80.52</v>
      </c>
      <c r="F295">
        <v>76</v>
      </c>
      <c r="G295">
        <v>16.82</v>
      </c>
      <c r="H295">
        <v>0.93</v>
      </c>
      <c r="M295">
        <v>0.75</v>
      </c>
      <c r="O295">
        <v>1.93</v>
      </c>
      <c r="P295">
        <v>0.02</v>
      </c>
      <c r="Q295">
        <v>0.02</v>
      </c>
      <c r="R295">
        <v>0.65</v>
      </c>
      <c r="S295">
        <v>1.22</v>
      </c>
      <c r="T295">
        <v>0.04</v>
      </c>
      <c r="U295">
        <v>6.22</v>
      </c>
      <c r="W295">
        <v>8.73</v>
      </c>
      <c r="X295">
        <v>173</v>
      </c>
      <c r="Y295">
        <v>35.46</v>
      </c>
      <c r="Z295">
        <v>99.14</v>
      </c>
      <c r="AA295">
        <v>116</v>
      </c>
      <c r="AB295">
        <v>0.62</v>
      </c>
      <c r="AC295">
        <v>0.02</v>
      </c>
      <c r="AD295">
        <v>0.1</v>
      </c>
      <c r="AE295">
        <v>1.3</v>
      </c>
      <c r="AF295">
        <v>41.34</v>
      </c>
      <c r="AG295">
        <v>0.71</v>
      </c>
      <c r="AH295">
        <v>9.9600000000000009</v>
      </c>
      <c r="AI295">
        <v>4.45</v>
      </c>
      <c r="AJ295">
        <v>4.5</v>
      </c>
      <c r="AK295">
        <v>13.99</v>
      </c>
      <c r="AL295">
        <v>4.4400000000000004</v>
      </c>
      <c r="AM295">
        <v>4.6399999999999997</v>
      </c>
      <c r="AN295">
        <v>4.43</v>
      </c>
      <c r="AO295">
        <v>1.75</v>
      </c>
      <c r="AP295">
        <v>4.1900000000000004</v>
      </c>
      <c r="AQ295">
        <v>3.89</v>
      </c>
      <c r="AR295">
        <v>4.24</v>
      </c>
      <c r="AS295">
        <v>7.57</v>
      </c>
      <c r="AT295">
        <v>2.91</v>
      </c>
      <c r="AU295">
        <v>3.21</v>
      </c>
      <c r="AV295">
        <v>3.89</v>
      </c>
      <c r="AW295">
        <v>5.09</v>
      </c>
      <c r="AX295">
        <v>7.03</v>
      </c>
      <c r="AY295">
        <v>227</v>
      </c>
      <c r="AZ295">
        <v>61.67</v>
      </c>
      <c r="BA295">
        <v>303</v>
      </c>
      <c r="BB295">
        <v>60.32</v>
      </c>
    </row>
    <row r="296" spans="1:54" x14ac:dyDescent="0.25">
      <c r="A296" t="s">
        <v>364</v>
      </c>
      <c r="B296" t="s">
        <v>179</v>
      </c>
      <c r="C296" t="s">
        <v>357</v>
      </c>
      <c r="D296" t="s">
        <v>818</v>
      </c>
      <c r="E296">
        <v>79.38</v>
      </c>
      <c r="F296">
        <v>84</v>
      </c>
      <c r="G296">
        <v>17.41</v>
      </c>
      <c r="H296">
        <v>1.1499999999999999</v>
      </c>
      <c r="M296">
        <v>1.19</v>
      </c>
      <c r="O296">
        <v>8.5500000000000007</v>
      </c>
      <c r="P296">
        <v>0.01</v>
      </c>
      <c r="Q296">
        <v>0.03</v>
      </c>
      <c r="R296">
        <v>0.71</v>
      </c>
      <c r="S296">
        <v>0.77</v>
      </c>
      <c r="T296">
        <v>0.12</v>
      </c>
      <c r="U296">
        <v>18.329999999999998</v>
      </c>
      <c r="W296">
        <v>36.46</v>
      </c>
      <c r="X296">
        <v>151</v>
      </c>
      <c r="Y296">
        <v>38.53</v>
      </c>
      <c r="Z296">
        <v>154</v>
      </c>
      <c r="AA296">
        <v>134</v>
      </c>
      <c r="AB296">
        <v>0.39</v>
      </c>
      <c r="AC296">
        <v>0.02</v>
      </c>
      <c r="AD296">
        <v>1.1000000000000001</v>
      </c>
      <c r="AE296">
        <v>1.64</v>
      </c>
      <c r="AF296">
        <v>70.02</v>
      </c>
      <c r="AG296">
        <v>0.97</v>
      </c>
      <c r="AH296">
        <v>9.75</v>
      </c>
      <c r="AI296">
        <v>4.88</v>
      </c>
      <c r="AJ296">
        <v>4.5999999999999996</v>
      </c>
      <c r="AK296">
        <v>8.18</v>
      </c>
      <c r="AL296">
        <v>4.34</v>
      </c>
      <c r="AM296">
        <v>5.33</v>
      </c>
      <c r="AN296">
        <v>4.74</v>
      </c>
      <c r="AO296">
        <v>1.74</v>
      </c>
      <c r="AP296">
        <v>4.8</v>
      </c>
      <c r="AQ296">
        <v>3.31</v>
      </c>
      <c r="AR296">
        <v>4.24</v>
      </c>
      <c r="AS296">
        <v>5.99</v>
      </c>
      <c r="AT296">
        <v>4.46</v>
      </c>
      <c r="AU296">
        <v>4.38</v>
      </c>
      <c r="AV296">
        <v>4.54</v>
      </c>
      <c r="AW296">
        <v>7.94</v>
      </c>
      <c r="AX296">
        <v>4.67</v>
      </c>
      <c r="AY296">
        <v>304</v>
      </c>
      <c r="AZ296">
        <v>62.57</v>
      </c>
      <c r="BA296">
        <v>441</v>
      </c>
      <c r="BB296">
        <v>324</v>
      </c>
    </row>
    <row r="297" spans="1:54" x14ac:dyDescent="0.25">
      <c r="A297" t="s">
        <v>364</v>
      </c>
      <c r="B297" t="s">
        <v>181</v>
      </c>
      <c r="C297" t="s">
        <v>357</v>
      </c>
      <c r="D297" t="s">
        <v>809</v>
      </c>
      <c r="E297">
        <v>80.45</v>
      </c>
      <c r="F297">
        <v>79</v>
      </c>
      <c r="G297">
        <v>14.71</v>
      </c>
      <c r="H297">
        <v>1.1200000000000001</v>
      </c>
      <c r="M297">
        <v>1.21</v>
      </c>
      <c r="O297">
        <v>28</v>
      </c>
      <c r="P297">
        <v>0.05</v>
      </c>
      <c r="Q297">
        <v>0.05</v>
      </c>
      <c r="R297">
        <v>1.18</v>
      </c>
      <c r="S297">
        <v>0.94</v>
      </c>
      <c r="T297">
        <v>0.09</v>
      </c>
      <c r="U297">
        <v>20.87</v>
      </c>
      <c r="W297">
        <v>22.1</v>
      </c>
      <c r="X297">
        <v>131</v>
      </c>
      <c r="Y297">
        <v>50.92</v>
      </c>
      <c r="Z297">
        <v>230</v>
      </c>
      <c r="AA297">
        <v>181</v>
      </c>
      <c r="AB297">
        <v>1.08</v>
      </c>
      <c r="AC297">
        <v>0.04</v>
      </c>
      <c r="AD297">
        <v>6.72</v>
      </c>
      <c r="AE297">
        <v>4.07</v>
      </c>
      <c r="AF297">
        <v>40.21</v>
      </c>
      <c r="AG297">
        <v>0.88</v>
      </c>
      <c r="AH297">
        <v>8.9</v>
      </c>
      <c r="AI297">
        <v>5.82</v>
      </c>
      <c r="AJ297">
        <v>4.75</v>
      </c>
      <c r="AK297">
        <v>10.43</v>
      </c>
      <c r="AL297">
        <v>4.43</v>
      </c>
      <c r="AM297">
        <v>5.84</v>
      </c>
      <c r="AN297">
        <v>5.34</v>
      </c>
      <c r="AO297">
        <v>1.87</v>
      </c>
      <c r="AP297">
        <v>5.3</v>
      </c>
      <c r="AQ297">
        <v>2.46</v>
      </c>
      <c r="AR297">
        <v>5.82</v>
      </c>
      <c r="AS297">
        <v>8.48</v>
      </c>
      <c r="AT297">
        <v>6.32</v>
      </c>
      <c r="AU297">
        <v>6.37</v>
      </c>
      <c r="AV297">
        <v>4.4800000000000004</v>
      </c>
      <c r="AW297">
        <v>7.55</v>
      </c>
      <c r="AX297">
        <v>6.59</v>
      </c>
      <c r="AY297">
        <v>325</v>
      </c>
      <c r="AZ297">
        <v>69.95</v>
      </c>
      <c r="BA297">
        <v>383</v>
      </c>
      <c r="BB297">
        <v>118</v>
      </c>
    </row>
    <row r="298" spans="1:54" x14ac:dyDescent="0.25">
      <c r="A298" t="s">
        <v>364</v>
      </c>
      <c r="B298" t="s">
        <v>183</v>
      </c>
      <c r="C298" t="s">
        <v>357</v>
      </c>
      <c r="D298" t="s">
        <v>811</v>
      </c>
      <c r="E298">
        <v>81.48</v>
      </c>
      <c r="F298">
        <v>64</v>
      </c>
      <c r="G298">
        <v>14.25</v>
      </c>
      <c r="H298">
        <v>0.74</v>
      </c>
      <c r="M298">
        <v>0.83</v>
      </c>
      <c r="O298">
        <v>6.55</v>
      </c>
      <c r="P298">
        <v>0.03</v>
      </c>
      <c r="Q298">
        <v>0.03</v>
      </c>
      <c r="R298">
        <v>1.18</v>
      </c>
      <c r="S298">
        <v>1.47</v>
      </c>
      <c r="T298">
        <v>0.11</v>
      </c>
      <c r="U298">
        <v>8.07</v>
      </c>
      <c r="W298">
        <v>71.89</v>
      </c>
      <c r="X298">
        <v>191</v>
      </c>
      <c r="Y298">
        <v>30.5</v>
      </c>
      <c r="Z298">
        <v>61.05</v>
      </c>
      <c r="AA298">
        <v>140</v>
      </c>
      <c r="AB298">
        <v>0.39</v>
      </c>
      <c r="AC298">
        <v>0.02</v>
      </c>
      <c r="AD298">
        <v>0.41</v>
      </c>
      <c r="AE298">
        <v>1.1599999999999999</v>
      </c>
      <c r="AF298">
        <v>54.22</v>
      </c>
      <c r="AG298">
        <v>0.71</v>
      </c>
      <c r="AH298">
        <v>8.6</v>
      </c>
      <c r="AI298">
        <v>4.9000000000000004</v>
      </c>
      <c r="AJ298">
        <v>4.07</v>
      </c>
      <c r="AK298">
        <v>14.5</v>
      </c>
      <c r="AL298">
        <v>3.41</v>
      </c>
      <c r="AM298">
        <v>5.95</v>
      </c>
      <c r="AN298">
        <v>5.37</v>
      </c>
      <c r="AO298">
        <v>2.04</v>
      </c>
      <c r="AP298">
        <v>5.13</v>
      </c>
      <c r="AQ298">
        <v>3.81</v>
      </c>
      <c r="AR298">
        <v>4.67</v>
      </c>
      <c r="AS298">
        <v>7.39</v>
      </c>
      <c r="AT298">
        <v>3.4</v>
      </c>
      <c r="AU298">
        <v>3.68</v>
      </c>
      <c r="AV298">
        <v>2.11</v>
      </c>
      <c r="AW298">
        <v>7.93</v>
      </c>
      <c r="AX298">
        <v>5.65</v>
      </c>
      <c r="AY298">
        <v>177</v>
      </c>
      <c r="AZ298">
        <v>88.3</v>
      </c>
      <c r="BA298">
        <v>204</v>
      </c>
      <c r="BB298">
        <v>19.47</v>
      </c>
    </row>
    <row r="299" spans="1:54" x14ac:dyDescent="0.25">
      <c r="A299" t="s">
        <v>364</v>
      </c>
      <c r="B299" t="s">
        <v>184</v>
      </c>
      <c r="C299" t="s">
        <v>357</v>
      </c>
      <c r="D299" t="s">
        <v>733</v>
      </c>
      <c r="E299">
        <v>83.1</v>
      </c>
      <c r="F299">
        <v>45</v>
      </c>
      <c r="G299">
        <v>10</v>
      </c>
      <c r="H299">
        <v>0.55000000000000004</v>
      </c>
      <c r="M299">
        <v>2.6</v>
      </c>
      <c r="O299">
        <v>8.33</v>
      </c>
      <c r="P299">
        <v>0.06</v>
      </c>
      <c r="Q299">
        <v>0.14000000000000001</v>
      </c>
      <c r="R299">
        <v>0.6</v>
      </c>
      <c r="S299">
        <v>1.3</v>
      </c>
      <c r="T299">
        <v>0.18</v>
      </c>
      <c r="U299">
        <v>13.83</v>
      </c>
      <c r="W299">
        <v>201</v>
      </c>
      <c r="X299">
        <v>153</v>
      </c>
      <c r="Y299">
        <v>46.92</v>
      </c>
      <c r="Z299">
        <v>305</v>
      </c>
      <c r="AA299">
        <v>227</v>
      </c>
      <c r="AB299">
        <v>0.87</v>
      </c>
      <c r="AC299">
        <v>0.79</v>
      </c>
      <c r="AD299">
        <v>1.23</v>
      </c>
      <c r="AE299">
        <v>3.3</v>
      </c>
      <c r="AF299">
        <v>51.97</v>
      </c>
      <c r="AG299">
        <v>1.1499999999999999</v>
      </c>
      <c r="AH299">
        <v>8.68</v>
      </c>
      <c r="AI299">
        <v>4.28</v>
      </c>
      <c r="AJ299">
        <v>3.7</v>
      </c>
      <c r="AK299">
        <v>14.34</v>
      </c>
      <c r="AL299">
        <v>4.8499999999999996</v>
      </c>
      <c r="AM299">
        <v>7.48</v>
      </c>
      <c r="AN299">
        <v>5.47</v>
      </c>
      <c r="AO299">
        <v>1.42</v>
      </c>
      <c r="AP299">
        <v>4.67</v>
      </c>
      <c r="AQ299">
        <v>2.39</v>
      </c>
      <c r="AR299">
        <v>4.12</v>
      </c>
      <c r="AS299">
        <v>6.9</v>
      </c>
      <c r="AT299">
        <v>3.88</v>
      </c>
      <c r="AU299">
        <v>4.07</v>
      </c>
      <c r="AV299">
        <v>1.73</v>
      </c>
      <c r="AW299">
        <v>6.78</v>
      </c>
      <c r="AX299">
        <v>7.47</v>
      </c>
      <c r="AY299">
        <v>95.11</v>
      </c>
      <c r="AZ299">
        <v>66.63</v>
      </c>
      <c r="BA299">
        <v>129</v>
      </c>
      <c r="BB299">
        <v>7.1</v>
      </c>
    </row>
    <row r="300" spans="1:54" x14ac:dyDescent="0.25">
      <c r="A300" t="s">
        <v>364</v>
      </c>
      <c r="B300" t="s">
        <v>187</v>
      </c>
      <c r="C300" t="s">
        <v>357</v>
      </c>
      <c r="D300" t="s">
        <v>873</v>
      </c>
      <c r="E300">
        <v>77.23</v>
      </c>
      <c r="F300">
        <v>124</v>
      </c>
      <c r="G300">
        <v>15.86</v>
      </c>
      <c r="H300">
        <v>6.24</v>
      </c>
      <c r="M300">
        <v>0.93</v>
      </c>
      <c r="O300">
        <v>13.59</v>
      </c>
      <c r="P300">
        <v>0.01</v>
      </c>
      <c r="Q300">
        <v>7.0000000000000007E-2</v>
      </c>
      <c r="R300">
        <v>1.74</v>
      </c>
      <c r="S300">
        <v>1.1200000000000001</v>
      </c>
      <c r="T300">
        <v>0.11</v>
      </c>
      <c r="U300">
        <v>13.95</v>
      </c>
      <c r="W300">
        <v>21.99</v>
      </c>
      <c r="X300">
        <v>157</v>
      </c>
      <c r="Y300">
        <v>18.78</v>
      </c>
      <c r="Z300">
        <v>29.29</v>
      </c>
      <c r="AA300">
        <v>250</v>
      </c>
      <c r="AB300">
        <v>0.82</v>
      </c>
      <c r="AC300">
        <v>0.02</v>
      </c>
      <c r="AD300">
        <v>0.03</v>
      </c>
      <c r="AE300">
        <v>0.71</v>
      </c>
      <c r="AF300">
        <v>71.03</v>
      </c>
      <c r="AG300">
        <v>1.18</v>
      </c>
      <c r="AH300">
        <v>1.56</v>
      </c>
      <c r="AI300">
        <v>3.46</v>
      </c>
      <c r="AJ300">
        <v>4.72</v>
      </c>
      <c r="AK300">
        <v>6.74</v>
      </c>
      <c r="AL300">
        <v>7.13</v>
      </c>
      <c r="AM300">
        <v>8.7799999999999994</v>
      </c>
      <c r="AN300">
        <v>2.38</v>
      </c>
      <c r="AO300">
        <v>14.31</v>
      </c>
      <c r="AP300">
        <v>5.15</v>
      </c>
      <c r="AQ300">
        <v>6.07</v>
      </c>
      <c r="AR300">
        <v>4.46</v>
      </c>
      <c r="AS300">
        <v>7.29</v>
      </c>
      <c r="AT300">
        <v>3.82</v>
      </c>
      <c r="AU300">
        <v>5.3</v>
      </c>
      <c r="AV300">
        <v>4.8</v>
      </c>
      <c r="AW300">
        <v>8.11</v>
      </c>
      <c r="AX300">
        <v>4.03</v>
      </c>
      <c r="AY300">
        <v>2182</v>
      </c>
      <c r="AZ300">
        <v>2055</v>
      </c>
      <c r="BA300">
        <v>978</v>
      </c>
      <c r="BB300">
        <v>84.01</v>
      </c>
    </row>
    <row r="301" spans="1:54" x14ac:dyDescent="0.25">
      <c r="A301" t="s">
        <v>364</v>
      </c>
      <c r="B301" t="s">
        <v>188</v>
      </c>
      <c r="C301" t="s">
        <v>357</v>
      </c>
      <c r="D301" t="s">
        <v>807</v>
      </c>
      <c r="E301">
        <v>75.569999999999993</v>
      </c>
      <c r="F301">
        <v>108</v>
      </c>
      <c r="G301">
        <v>20.41</v>
      </c>
      <c r="H301">
        <v>2.63</v>
      </c>
      <c r="M301">
        <v>1.03</v>
      </c>
      <c r="O301">
        <v>866</v>
      </c>
      <c r="Q301">
        <v>0.31</v>
      </c>
      <c r="R301">
        <v>2.2999999999999998</v>
      </c>
      <c r="S301">
        <v>1.52</v>
      </c>
      <c r="T301">
        <v>0.11</v>
      </c>
      <c r="U301">
        <v>12.94</v>
      </c>
      <c r="W301">
        <v>52.99</v>
      </c>
      <c r="X301">
        <v>361</v>
      </c>
      <c r="Y301">
        <v>42.5</v>
      </c>
      <c r="Z301">
        <v>88.67</v>
      </c>
      <c r="AA301">
        <v>450</v>
      </c>
      <c r="AB301">
        <v>1.54</v>
      </c>
      <c r="AC301">
        <v>0.13</v>
      </c>
      <c r="AD301">
        <v>2.72</v>
      </c>
      <c r="AE301">
        <v>2.23</v>
      </c>
      <c r="AF301">
        <v>67.319999999999993</v>
      </c>
      <c r="AG301">
        <v>1.22</v>
      </c>
      <c r="AH301">
        <v>1.1200000000000001</v>
      </c>
      <c r="AI301">
        <v>3.46</v>
      </c>
      <c r="AJ301">
        <v>3.52</v>
      </c>
      <c r="AK301">
        <v>7.74</v>
      </c>
      <c r="AL301">
        <v>5.97</v>
      </c>
      <c r="AM301">
        <v>6.53</v>
      </c>
      <c r="AN301">
        <v>2.06</v>
      </c>
      <c r="AO301">
        <v>10.94</v>
      </c>
      <c r="AP301">
        <v>4.5599999999999996</v>
      </c>
      <c r="AQ301">
        <v>4.62</v>
      </c>
      <c r="AR301">
        <v>3.43</v>
      </c>
      <c r="AS301">
        <v>3.41</v>
      </c>
      <c r="AT301">
        <v>3.78</v>
      </c>
      <c r="AU301">
        <v>4.07</v>
      </c>
      <c r="AV301">
        <v>3.67</v>
      </c>
      <c r="AW301">
        <v>5.94</v>
      </c>
      <c r="AX301">
        <v>4.0599999999999996</v>
      </c>
      <c r="AY301">
        <v>981</v>
      </c>
      <c r="AZ301">
        <v>733</v>
      </c>
      <c r="BA301">
        <v>600</v>
      </c>
      <c r="BB301">
        <v>58.64</v>
      </c>
    </row>
    <row r="302" spans="1:54" x14ac:dyDescent="0.25">
      <c r="A302" t="s">
        <v>364</v>
      </c>
      <c r="B302" t="s">
        <v>324</v>
      </c>
      <c r="C302" t="s">
        <v>357</v>
      </c>
      <c r="D302" t="s">
        <v>810</v>
      </c>
      <c r="E302">
        <v>77.430000000000007</v>
      </c>
      <c r="F302">
        <v>90</v>
      </c>
      <c r="G302">
        <v>19.239999999999998</v>
      </c>
      <c r="H302">
        <v>0.52</v>
      </c>
      <c r="M302">
        <v>0.84</v>
      </c>
      <c r="O302">
        <v>3.56</v>
      </c>
      <c r="Q302">
        <v>0.02</v>
      </c>
      <c r="R302">
        <v>1.31</v>
      </c>
      <c r="S302">
        <v>1.74</v>
      </c>
      <c r="T302">
        <v>0.19</v>
      </c>
      <c r="U302">
        <v>18.260000000000002</v>
      </c>
      <c r="W302">
        <v>48.55</v>
      </c>
      <c r="X302">
        <v>237</v>
      </c>
      <c r="Y302">
        <v>39.25</v>
      </c>
      <c r="Z302">
        <v>849</v>
      </c>
      <c r="AA302">
        <v>269</v>
      </c>
      <c r="AB302">
        <v>0.78</v>
      </c>
      <c r="AC302">
        <v>0.03</v>
      </c>
      <c r="AD302">
        <v>0.69</v>
      </c>
      <c r="AE302">
        <v>1.44</v>
      </c>
      <c r="AF302">
        <v>28.59</v>
      </c>
      <c r="AG302">
        <v>1.1100000000000001</v>
      </c>
      <c r="AH302">
        <v>1.82</v>
      </c>
      <c r="AI302">
        <v>3.33</v>
      </c>
      <c r="AJ302">
        <v>4.13</v>
      </c>
      <c r="AK302">
        <v>9.11</v>
      </c>
      <c r="AL302">
        <v>5.49</v>
      </c>
      <c r="AM302">
        <v>9.1</v>
      </c>
      <c r="AN302">
        <v>2.79</v>
      </c>
      <c r="AO302">
        <v>14.75</v>
      </c>
      <c r="AP302">
        <v>4.72</v>
      </c>
      <c r="AQ302">
        <v>5.16</v>
      </c>
      <c r="AR302">
        <v>2.99</v>
      </c>
      <c r="AS302">
        <v>6.72</v>
      </c>
      <c r="AT302">
        <v>2.66</v>
      </c>
      <c r="AU302">
        <v>4.57</v>
      </c>
      <c r="AV302">
        <v>4.66</v>
      </c>
      <c r="AW302">
        <v>7.79</v>
      </c>
      <c r="AX302">
        <v>3.28</v>
      </c>
      <c r="AY302">
        <v>86.86</v>
      </c>
      <c r="AZ302">
        <v>56.77</v>
      </c>
      <c r="BA302">
        <v>94.61</v>
      </c>
      <c r="BB302">
        <v>87.28</v>
      </c>
    </row>
    <row r="303" spans="1:54" x14ac:dyDescent="0.25">
      <c r="A303" t="s">
        <v>364</v>
      </c>
      <c r="B303" t="s">
        <v>190</v>
      </c>
      <c r="C303" t="s">
        <v>357</v>
      </c>
      <c r="D303" t="s">
        <v>804</v>
      </c>
      <c r="E303">
        <v>20.190000000000001</v>
      </c>
      <c r="F303">
        <v>280</v>
      </c>
      <c r="G303">
        <v>61.12</v>
      </c>
      <c r="H303">
        <v>3.74</v>
      </c>
      <c r="M303">
        <v>14.49</v>
      </c>
      <c r="O303">
        <v>13.79</v>
      </c>
      <c r="Q303">
        <v>2.1800000000000002</v>
      </c>
      <c r="R303">
        <v>3.67</v>
      </c>
      <c r="S303">
        <v>1.52</v>
      </c>
      <c r="T303">
        <v>3.44</v>
      </c>
      <c r="U303">
        <v>520</v>
      </c>
      <c r="W303">
        <v>197.8</v>
      </c>
      <c r="X303">
        <v>532</v>
      </c>
      <c r="Y303">
        <v>319</v>
      </c>
      <c r="Z303">
        <v>9146</v>
      </c>
      <c r="AA303">
        <v>1024</v>
      </c>
      <c r="AB303">
        <v>4.0999999999999996</v>
      </c>
      <c r="AC303">
        <v>2.5499999999999998</v>
      </c>
      <c r="AD303">
        <v>3.54</v>
      </c>
      <c r="AE303">
        <v>5.15</v>
      </c>
      <c r="AF303">
        <v>735</v>
      </c>
      <c r="AG303">
        <v>1.2</v>
      </c>
      <c r="AH303">
        <v>8.6999999999999993</v>
      </c>
      <c r="AI303">
        <v>4.32</v>
      </c>
      <c r="AJ303">
        <v>3.75</v>
      </c>
      <c r="AK303">
        <v>14.95</v>
      </c>
      <c r="AL303">
        <v>5.8</v>
      </c>
      <c r="AM303">
        <v>5.41</v>
      </c>
      <c r="AN303">
        <v>6.43</v>
      </c>
      <c r="AO303">
        <v>0.79</v>
      </c>
      <c r="AP303">
        <v>4.6399999999999997</v>
      </c>
      <c r="AQ303">
        <v>2.17</v>
      </c>
      <c r="AR303">
        <v>4.7</v>
      </c>
      <c r="AS303">
        <v>7.78</v>
      </c>
      <c r="AT303">
        <v>5.85</v>
      </c>
      <c r="AU303">
        <v>4.7699999999999996</v>
      </c>
      <c r="AV303">
        <v>2.5</v>
      </c>
      <c r="AW303">
        <v>8.3000000000000007</v>
      </c>
      <c r="AX303">
        <v>7.69</v>
      </c>
      <c r="AY303">
        <v>2061</v>
      </c>
      <c r="AZ303">
        <v>976</v>
      </c>
      <c r="BA303">
        <v>324</v>
      </c>
      <c r="BB303">
        <v>306</v>
      </c>
    </row>
    <row r="304" spans="1:54" x14ac:dyDescent="0.25">
      <c r="A304" t="s">
        <v>364</v>
      </c>
      <c r="B304" t="s">
        <v>325</v>
      </c>
      <c r="C304" t="s">
        <v>357</v>
      </c>
      <c r="D304" t="s">
        <v>734</v>
      </c>
      <c r="E304">
        <v>19.7</v>
      </c>
      <c r="F304">
        <v>289</v>
      </c>
      <c r="G304">
        <v>54.68</v>
      </c>
      <c r="H304">
        <v>8.0399999999999991</v>
      </c>
      <c r="M304">
        <v>17.98</v>
      </c>
      <c r="O304">
        <v>9.3800000000000008</v>
      </c>
      <c r="Q304">
        <v>0.04</v>
      </c>
      <c r="R304">
        <v>0.11</v>
      </c>
      <c r="S304">
        <v>0.48</v>
      </c>
      <c r="T304">
        <v>0.43</v>
      </c>
      <c r="U304">
        <v>97.8</v>
      </c>
      <c r="W304">
        <v>62.75</v>
      </c>
      <c r="X304">
        <v>179</v>
      </c>
      <c r="Y304">
        <v>110</v>
      </c>
      <c r="Z304">
        <v>13730</v>
      </c>
      <c r="AA304">
        <v>743</v>
      </c>
      <c r="AB304">
        <v>1.96</v>
      </c>
      <c r="AC304">
        <v>0.21</v>
      </c>
      <c r="AD304">
        <v>0.04</v>
      </c>
      <c r="AE304">
        <v>1.45</v>
      </c>
      <c r="AF304">
        <v>291</v>
      </c>
      <c r="AG304">
        <v>0.99</v>
      </c>
      <c r="AH304">
        <v>8.98</v>
      </c>
      <c r="AI304">
        <v>4.5199999999999996</v>
      </c>
      <c r="AJ304">
        <v>4.17</v>
      </c>
      <c r="AK304">
        <v>16.36</v>
      </c>
      <c r="AL304">
        <v>5.14</v>
      </c>
      <c r="AM304">
        <v>5.42</v>
      </c>
      <c r="AN304">
        <v>6.01</v>
      </c>
      <c r="AO304">
        <v>0.45</v>
      </c>
      <c r="AP304">
        <v>4.74</v>
      </c>
      <c r="AQ304">
        <v>1.1299999999999999</v>
      </c>
      <c r="AR304">
        <v>4.68</v>
      </c>
      <c r="AS304">
        <v>7.97</v>
      </c>
      <c r="AT304">
        <v>4.33</v>
      </c>
      <c r="AU304">
        <v>4.5</v>
      </c>
      <c r="AV304">
        <v>4.75</v>
      </c>
      <c r="AW304">
        <v>7.56</v>
      </c>
      <c r="AX304">
        <v>6.64</v>
      </c>
      <c r="AY304">
        <v>1846</v>
      </c>
      <c r="AZ304">
        <v>1469</v>
      </c>
      <c r="BA304">
        <v>1157</v>
      </c>
      <c r="BB304">
        <v>93.76</v>
      </c>
    </row>
    <row r="305" spans="1:54" x14ac:dyDescent="0.25">
      <c r="A305" t="s">
        <v>364</v>
      </c>
      <c r="B305" t="s">
        <v>194</v>
      </c>
      <c r="C305" t="s">
        <v>357</v>
      </c>
      <c r="D305" t="s">
        <v>816</v>
      </c>
      <c r="E305">
        <v>18.66</v>
      </c>
      <c r="F305">
        <v>311</v>
      </c>
      <c r="G305">
        <v>49.6</v>
      </c>
      <c r="H305">
        <v>12.42</v>
      </c>
      <c r="M305">
        <v>19.16</v>
      </c>
      <c r="O305">
        <v>12.92</v>
      </c>
      <c r="Q305">
        <v>0.13</v>
      </c>
      <c r="R305">
        <v>2.1800000000000002</v>
      </c>
      <c r="S305">
        <v>0.4</v>
      </c>
      <c r="T305">
        <v>2.41</v>
      </c>
      <c r="U305">
        <v>144</v>
      </c>
      <c r="W305">
        <v>555</v>
      </c>
      <c r="X305">
        <v>580</v>
      </c>
      <c r="Y305">
        <v>166</v>
      </c>
      <c r="Z305">
        <v>13018</v>
      </c>
      <c r="AA305">
        <v>787</v>
      </c>
      <c r="AB305">
        <v>2.58</v>
      </c>
      <c r="AC305">
        <v>0.69</v>
      </c>
      <c r="AD305">
        <v>0.18</v>
      </c>
      <c r="AE305">
        <v>3.19</v>
      </c>
      <c r="AF305">
        <v>443</v>
      </c>
      <c r="AG305">
        <v>1.1499999999999999</v>
      </c>
      <c r="AH305">
        <v>9.44</v>
      </c>
      <c r="AI305">
        <v>4.67</v>
      </c>
      <c r="AJ305">
        <v>4.1900000000000004</v>
      </c>
      <c r="AK305">
        <v>16.13</v>
      </c>
      <c r="AL305">
        <v>5.0599999999999996</v>
      </c>
      <c r="AM305">
        <v>5.2</v>
      </c>
      <c r="AN305">
        <v>6.26</v>
      </c>
      <c r="AO305">
        <v>1.1100000000000001</v>
      </c>
      <c r="AP305">
        <v>4.74</v>
      </c>
      <c r="AQ305">
        <v>1.62</v>
      </c>
      <c r="AR305">
        <v>4.74</v>
      </c>
      <c r="AS305">
        <v>8.08</v>
      </c>
      <c r="AT305">
        <v>3.98</v>
      </c>
      <c r="AU305">
        <v>4.88</v>
      </c>
      <c r="AV305">
        <v>3.6</v>
      </c>
      <c r="AW305">
        <v>8.2200000000000006</v>
      </c>
      <c r="AX305">
        <v>6.59</v>
      </c>
      <c r="AY305">
        <v>2068</v>
      </c>
      <c r="AZ305">
        <v>680</v>
      </c>
      <c r="BA305">
        <v>788</v>
      </c>
      <c r="BB305">
        <v>119</v>
      </c>
    </row>
    <row r="306" spans="1:54" x14ac:dyDescent="0.25">
      <c r="A306" t="s">
        <v>364</v>
      </c>
      <c r="B306" t="s">
        <v>196</v>
      </c>
      <c r="C306" t="s">
        <v>358</v>
      </c>
      <c r="D306" t="s">
        <v>736</v>
      </c>
      <c r="E306">
        <v>34.299999999999997</v>
      </c>
      <c r="F306">
        <v>380</v>
      </c>
      <c r="G306">
        <v>19.75</v>
      </c>
      <c r="H306">
        <v>28.27</v>
      </c>
      <c r="I306">
        <v>11.67</v>
      </c>
      <c r="M306">
        <v>6.05</v>
      </c>
      <c r="N306">
        <v>198</v>
      </c>
      <c r="P306">
        <v>0.03</v>
      </c>
      <c r="Q306">
        <v>0.64</v>
      </c>
      <c r="R306">
        <v>4.0999999999999996</v>
      </c>
      <c r="W306">
        <v>643</v>
      </c>
      <c r="X306">
        <v>556</v>
      </c>
      <c r="Z306">
        <v>1304</v>
      </c>
      <c r="AB306">
        <v>0.5</v>
      </c>
    </row>
    <row r="307" spans="1:54" x14ac:dyDescent="0.25">
      <c r="A307" t="s">
        <v>364</v>
      </c>
      <c r="B307" t="s">
        <v>198</v>
      </c>
      <c r="C307" t="s">
        <v>358</v>
      </c>
      <c r="D307" t="s">
        <v>738</v>
      </c>
      <c r="E307">
        <v>83.12</v>
      </c>
      <c r="F307">
        <v>99</v>
      </c>
      <c r="G307">
        <v>6.32</v>
      </c>
      <c r="H307">
        <v>6.55</v>
      </c>
      <c r="I307">
        <v>3.86</v>
      </c>
      <c r="M307">
        <v>0.16</v>
      </c>
      <c r="Q307">
        <v>0.04</v>
      </c>
      <c r="T307">
        <v>0.05</v>
      </c>
      <c r="U307">
        <v>6.3</v>
      </c>
      <c r="W307">
        <v>90.65</v>
      </c>
      <c r="X307">
        <v>90.89</v>
      </c>
      <c r="Y307">
        <v>9.39</v>
      </c>
      <c r="Z307">
        <v>9.49</v>
      </c>
      <c r="AA307">
        <v>86.92</v>
      </c>
      <c r="AB307">
        <v>0.57999999999999996</v>
      </c>
      <c r="AD307">
        <v>0.04</v>
      </c>
      <c r="AE307">
        <v>0.79</v>
      </c>
      <c r="AY307">
        <v>4582</v>
      </c>
      <c r="AZ307">
        <v>1475</v>
      </c>
      <c r="BA307">
        <v>145</v>
      </c>
    </row>
    <row r="308" spans="1:54" x14ac:dyDescent="0.25">
      <c r="A308" t="s">
        <v>364</v>
      </c>
      <c r="B308" t="s">
        <v>200</v>
      </c>
      <c r="C308" t="s">
        <v>358</v>
      </c>
      <c r="D308" t="s">
        <v>739</v>
      </c>
      <c r="E308">
        <v>26.5</v>
      </c>
      <c r="F308">
        <v>334</v>
      </c>
      <c r="G308">
        <v>8.1999999999999993</v>
      </c>
      <c r="H308">
        <v>9.4</v>
      </c>
      <c r="I308">
        <v>54</v>
      </c>
      <c r="M308">
        <v>1.8</v>
      </c>
      <c r="N308">
        <v>95</v>
      </c>
      <c r="P308">
        <v>0.09</v>
      </c>
      <c r="Q308">
        <v>0.44</v>
      </c>
      <c r="R308">
        <v>2.2999999999999998</v>
      </c>
      <c r="T308">
        <v>0.05</v>
      </c>
      <c r="U308">
        <v>13</v>
      </c>
      <c r="V308">
        <v>3.3</v>
      </c>
      <c r="W308">
        <v>287</v>
      </c>
      <c r="X308">
        <v>247</v>
      </c>
      <c r="Y308">
        <v>28</v>
      </c>
      <c r="Z308">
        <v>134</v>
      </c>
      <c r="AA308">
        <v>366</v>
      </c>
      <c r="AB308">
        <v>0.2</v>
      </c>
      <c r="AD308">
        <v>0.02</v>
      </c>
      <c r="AE308">
        <v>0.97</v>
      </c>
    </row>
    <row r="309" spans="1:54" x14ac:dyDescent="0.25">
      <c r="A309" t="s">
        <v>364</v>
      </c>
      <c r="B309" t="s">
        <v>201</v>
      </c>
      <c r="C309" t="s">
        <v>358</v>
      </c>
      <c r="D309" t="s">
        <v>740</v>
      </c>
      <c r="E309">
        <v>88.3</v>
      </c>
      <c r="F309">
        <v>63</v>
      </c>
      <c r="G309">
        <v>3.1</v>
      </c>
      <c r="H309">
        <v>3.7</v>
      </c>
      <c r="I309">
        <v>4.3</v>
      </c>
      <c r="M309">
        <v>0.6</v>
      </c>
      <c r="N309">
        <v>32</v>
      </c>
      <c r="P309">
        <v>0.06</v>
      </c>
      <c r="Q309">
        <v>0.28000000000000003</v>
      </c>
      <c r="R309">
        <v>0.8</v>
      </c>
      <c r="T309">
        <v>0.05</v>
      </c>
      <c r="U309">
        <v>9</v>
      </c>
      <c r="V309">
        <v>2</v>
      </c>
      <c r="W309">
        <v>103</v>
      </c>
      <c r="X309">
        <v>90</v>
      </c>
      <c r="Y309">
        <v>13</v>
      </c>
      <c r="Z309">
        <v>51</v>
      </c>
      <c r="AA309">
        <v>131</v>
      </c>
      <c r="AB309">
        <v>0.1</v>
      </c>
      <c r="AD309">
        <v>0.05</v>
      </c>
      <c r="AE309">
        <v>0.45</v>
      </c>
      <c r="AG309">
        <v>1.46</v>
      </c>
      <c r="AH309">
        <v>8.84</v>
      </c>
      <c r="AI309">
        <v>4.8099999999999996</v>
      </c>
      <c r="AJ309">
        <v>6.36</v>
      </c>
      <c r="AK309">
        <v>17.88</v>
      </c>
      <c r="AL309">
        <v>6.82</v>
      </c>
      <c r="AM309">
        <v>2.35</v>
      </c>
      <c r="AN309">
        <v>3.87</v>
      </c>
      <c r="AO309">
        <v>1.22</v>
      </c>
      <c r="AP309">
        <v>6.4</v>
      </c>
      <c r="AQ309">
        <v>2.5099999999999998</v>
      </c>
      <c r="AR309">
        <v>6.2</v>
      </c>
      <c r="AS309">
        <v>10.66</v>
      </c>
      <c r="AT309">
        <v>5.48</v>
      </c>
      <c r="AU309">
        <v>5.09</v>
      </c>
      <c r="AV309">
        <v>2.14</v>
      </c>
      <c r="AW309">
        <v>8.59</v>
      </c>
      <c r="AX309">
        <v>3.25</v>
      </c>
      <c r="AY309">
        <v>2707</v>
      </c>
      <c r="AZ309">
        <v>1214</v>
      </c>
      <c r="BA309">
        <v>126</v>
      </c>
    </row>
    <row r="310" spans="1:54" x14ac:dyDescent="0.25">
      <c r="A310" t="s">
        <v>364</v>
      </c>
      <c r="B310" t="s">
        <v>331</v>
      </c>
      <c r="C310" t="s">
        <v>358</v>
      </c>
      <c r="D310" t="s">
        <v>741</v>
      </c>
      <c r="E310">
        <v>91.7</v>
      </c>
      <c r="F310">
        <v>52</v>
      </c>
      <c r="G310">
        <v>3.71</v>
      </c>
      <c r="H310">
        <v>1.31</v>
      </c>
      <c r="I310">
        <v>6.27</v>
      </c>
      <c r="M310">
        <v>0.96</v>
      </c>
      <c r="N310">
        <v>12</v>
      </c>
      <c r="P310">
        <v>0.04</v>
      </c>
      <c r="Q310">
        <v>0.23</v>
      </c>
      <c r="R310">
        <v>0.13</v>
      </c>
      <c r="W310">
        <v>127</v>
      </c>
      <c r="X310">
        <v>106</v>
      </c>
      <c r="Y310">
        <v>12</v>
      </c>
      <c r="Z310">
        <v>50</v>
      </c>
      <c r="AA310">
        <v>168</v>
      </c>
      <c r="AB310">
        <v>0.1</v>
      </c>
    </row>
    <row r="311" spans="1:54" x14ac:dyDescent="0.25">
      <c r="A311" t="s">
        <v>364</v>
      </c>
      <c r="B311" t="s">
        <v>202</v>
      </c>
      <c r="C311" t="s">
        <v>358</v>
      </c>
      <c r="D311" t="s">
        <v>203</v>
      </c>
      <c r="E311">
        <v>92.1</v>
      </c>
      <c r="F311">
        <v>30</v>
      </c>
      <c r="G311">
        <v>3.1</v>
      </c>
      <c r="H311">
        <v>0.1</v>
      </c>
      <c r="I311">
        <v>4.0999999999999996</v>
      </c>
      <c r="M311">
        <v>0.6</v>
      </c>
      <c r="P311">
        <v>0.06</v>
      </c>
      <c r="Q311">
        <v>0.28000000000000003</v>
      </c>
      <c r="R311">
        <v>0.8</v>
      </c>
      <c r="T311">
        <v>0.05</v>
      </c>
      <c r="U311">
        <v>9</v>
      </c>
      <c r="V311">
        <v>1</v>
      </c>
      <c r="W311">
        <v>103</v>
      </c>
      <c r="X311">
        <v>90</v>
      </c>
      <c r="Y311">
        <v>13</v>
      </c>
      <c r="Z311">
        <v>51</v>
      </c>
      <c r="AA311">
        <v>131</v>
      </c>
      <c r="AB311">
        <v>0.1</v>
      </c>
      <c r="AD311">
        <v>0.05</v>
      </c>
      <c r="AE311">
        <v>0.45</v>
      </c>
    </row>
    <row r="312" spans="1:54" x14ac:dyDescent="0.25">
      <c r="A312" t="s">
        <v>364</v>
      </c>
      <c r="B312" t="s">
        <v>280</v>
      </c>
      <c r="C312" t="s">
        <v>358</v>
      </c>
      <c r="D312" t="s">
        <v>742</v>
      </c>
      <c r="E312">
        <v>3.8</v>
      </c>
      <c r="F312">
        <v>358</v>
      </c>
      <c r="G312">
        <v>37.6</v>
      </c>
      <c r="H312">
        <v>1</v>
      </c>
      <c r="I312">
        <v>49.8</v>
      </c>
      <c r="M312">
        <v>7.9</v>
      </c>
      <c r="P312">
        <v>0.45</v>
      </c>
      <c r="Q312">
        <v>1.64</v>
      </c>
      <c r="R312">
        <v>9.6999999999999993</v>
      </c>
      <c r="T312">
        <v>0.64</v>
      </c>
      <c r="U312">
        <v>21</v>
      </c>
      <c r="V312">
        <v>5</v>
      </c>
      <c r="W312">
        <v>1370</v>
      </c>
      <c r="X312">
        <v>956</v>
      </c>
      <c r="Y312">
        <v>110</v>
      </c>
      <c r="Z312">
        <v>435</v>
      </c>
      <c r="AA312">
        <v>1600</v>
      </c>
      <c r="AB312">
        <v>1.1000000000000001</v>
      </c>
      <c r="AD312">
        <v>0.1</v>
      </c>
      <c r="AE312">
        <v>4.7</v>
      </c>
    </row>
    <row r="313" spans="1:54" x14ac:dyDescent="0.25">
      <c r="A313" t="s">
        <v>364</v>
      </c>
      <c r="B313" t="s">
        <v>204</v>
      </c>
      <c r="C313" t="s">
        <v>358</v>
      </c>
      <c r="D313" t="s">
        <v>744</v>
      </c>
      <c r="E313">
        <v>87.5</v>
      </c>
      <c r="F313">
        <v>68</v>
      </c>
      <c r="G313">
        <v>3.5</v>
      </c>
      <c r="H313">
        <v>4.0999999999999996</v>
      </c>
      <c r="I313">
        <v>4.2</v>
      </c>
      <c r="M313">
        <v>0.9</v>
      </c>
      <c r="N313">
        <v>32</v>
      </c>
      <c r="P313">
        <v>0.05</v>
      </c>
      <c r="Q313">
        <v>0.09</v>
      </c>
      <c r="R313">
        <v>1</v>
      </c>
      <c r="T313">
        <v>0.04</v>
      </c>
      <c r="U313">
        <v>1</v>
      </c>
      <c r="V313">
        <v>1.2</v>
      </c>
      <c r="W313">
        <v>152</v>
      </c>
      <c r="X313">
        <v>111</v>
      </c>
      <c r="Y313">
        <v>14</v>
      </c>
      <c r="Z313">
        <v>50</v>
      </c>
      <c r="AA313">
        <v>204</v>
      </c>
      <c r="AB313">
        <v>0.2</v>
      </c>
      <c r="AD313">
        <v>0.05</v>
      </c>
      <c r="AE313">
        <v>0.3</v>
      </c>
    </row>
    <row r="314" spans="1:54" x14ac:dyDescent="0.25">
      <c r="A314" t="s">
        <v>364</v>
      </c>
      <c r="B314" t="s">
        <v>205</v>
      </c>
      <c r="C314" t="s">
        <v>358</v>
      </c>
      <c r="D314" t="s">
        <v>745</v>
      </c>
      <c r="E314">
        <v>83.6</v>
      </c>
      <c r="F314">
        <v>73</v>
      </c>
      <c r="G314">
        <v>9.9499999999999993</v>
      </c>
      <c r="H314">
        <v>1.92</v>
      </c>
      <c r="I314">
        <v>3.94</v>
      </c>
      <c r="M314">
        <v>0.63</v>
      </c>
      <c r="N314">
        <v>90</v>
      </c>
      <c r="P314">
        <v>0.04</v>
      </c>
      <c r="Q314">
        <v>0.23</v>
      </c>
      <c r="R314">
        <v>0.2</v>
      </c>
      <c r="T314">
        <v>0.06</v>
      </c>
      <c r="U314">
        <v>12</v>
      </c>
      <c r="V314">
        <v>0.8</v>
      </c>
      <c r="W314">
        <v>115</v>
      </c>
      <c r="X314">
        <v>137</v>
      </c>
      <c r="Y314">
        <v>11</v>
      </c>
      <c r="Z314">
        <v>34</v>
      </c>
      <c r="AA314">
        <v>141</v>
      </c>
      <c r="AB314">
        <v>0.04</v>
      </c>
      <c r="AD314">
        <v>0.02</v>
      </c>
      <c r="AE314">
        <v>0.6</v>
      </c>
      <c r="AY314">
        <v>1230</v>
      </c>
      <c r="AZ314">
        <v>486</v>
      </c>
      <c r="BA314">
        <v>76</v>
      </c>
    </row>
    <row r="315" spans="1:54" x14ac:dyDescent="0.25">
      <c r="A315" t="s">
        <v>364</v>
      </c>
      <c r="B315" t="s">
        <v>206</v>
      </c>
      <c r="C315" t="s">
        <v>358</v>
      </c>
      <c r="D315" t="s">
        <v>746</v>
      </c>
      <c r="E315">
        <v>79.5</v>
      </c>
      <c r="F315">
        <v>94</v>
      </c>
      <c r="G315">
        <v>4.51</v>
      </c>
      <c r="H315">
        <v>3.04</v>
      </c>
      <c r="I315">
        <v>12.03</v>
      </c>
      <c r="M315">
        <v>0.97</v>
      </c>
      <c r="N315">
        <v>20</v>
      </c>
      <c r="P315">
        <v>0.04</v>
      </c>
      <c r="Q315">
        <v>0.23</v>
      </c>
      <c r="W315">
        <v>127</v>
      </c>
      <c r="X315">
        <v>113</v>
      </c>
      <c r="Z315">
        <v>63</v>
      </c>
      <c r="AB315">
        <v>0.14000000000000001</v>
      </c>
    </row>
    <row r="316" spans="1:54" x14ac:dyDescent="0.25">
      <c r="A316" t="s">
        <v>364</v>
      </c>
      <c r="B316" t="s">
        <v>334</v>
      </c>
      <c r="C316" t="s">
        <v>359</v>
      </c>
      <c r="D316" t="s">
        <v>211</v>
      </c>
      <c r="E316">
        <v>75.11</v>
      </c>
      <c r="F316">
        <v>153</v>
      </c>
      <c r="G316">
        <v>12.39</v>
      </c>
      <c r="H316">
        <v>11.46</v>
      </c>
      <c r="M316">
        <v>0.94</v>
      </c>
      <c r="P316">
        <v>0.15</v>
      </c>
      <c r="Q316">
        <v>0.11</v>
      </c>
      <c r="R316">
        <v>0.12</v>
      </c>
      <c r="S316">
        <v>0.93</v>
      </c>
      <c r="T316">
        <v>0.17</v>
      </c>
      <c r="U316">
        <v>54.86</v>
      </c>
      <c r="W316">
        <v>60.67</v>
      </c>
      <c r="X316">
        <v>236</v>
      </c>
      <c r="Y316">
        <v>11.21</v>
      </c>
      <c r="Z316">
        <v>132</v>
      </c>
      <c r="AA316">
        <v>119</v>
      </c>
      <c r="AB316">
        <v>2.5499999999999998</v>
      </c>
      <c r="AC316">
        <v>0.03</v>
      </c>
      <c r="AD316">
        <v>0.09</v>
      </c>
      <c r="AE316">
        <v>1.51</v>
      </c>
      <c r="AF316">
        <v>50.63</v>
      </c>
      <c r="AH316">
        <v>10.79</v>
      </c>
      <c r="AI316">
        <v>4.8600000000000003</v>
      </c>
      <c r="AJ316">
        <v>6.43</v>
      </c>
      <c r="AK316">
        <v>13.77</v>
      </c>
      <c r="AL316">
        <v>3.36</v>
      </c>
      <c r="AM316">
        <v>4.1399999999999997</v>
      </c>
      <c r="AN316">
        <v>6.18</v>
      </c>
      <c r="AO316">
        <v>1.85</v>
      </c>
      <c r="AP316">
        <v>6.5</v>
      </c>
      <c r="AQ316">
        <v>2.64</v>
      </c>
      <c r="AR316">
        <v>5.77</v>
      </c>
      <c r="AS316">
        <v>7.96</v>
      </c>
      <c r="AT316">
        <v>3.73</v>
      </c>
      <c r="AU316">
        <v>5.73</v>
      </c>
      <c r="AV316">
        <v>2.4</v>
      </c>
      <c r="AW316">
        <v>7.11</v>
      </c>
      <c r="AX316">
        <v>6.03</v>
      </c>
      <c r="AY316">
        <v>2788</v>
      </c>
      <c r="AZ316">
        <v>4187</v>
      </c>
      <c r="BA316">
        <v>2369</v>
      </c>
      <c r="BB316">
        <v>833</v>
      </c>
    </row>
    <row r="317" spans="1:54" x14ac:dyDescent="0.25">
      <c r="A317" t="s">
        <v>364</v>
      </c>
      <c r="B317" t="s">
        <v>212</v>
      </c>
      <c r="C317" t="s">
        <v>359</v>
      </c>
      <c r="D317" t="s">
        <v>213</v>
      </c>
      <c r="E317">
        <v>67.25</v>
      </c>
      <c r="F317">
        <v>176</v>
      </c>
      <c r="G317">
        <v>23.14</v>
      </c>
      <c r="H317">
        <v>9.24</v>
      </c>
      <c r="M317">
        <v>1.23</v>
      </c>
      <c r="P317">
        <v>0.17</v>
      </c>
      <c r="Q317">
        <v>7.0000000000000007E-2</v>
      </c>
      <c r="R317">
        <v>9.3800000000000008</v>
      </c>
      <c r="S317">
        <v>1.1599999999999999</v>
      </c>
      <c r="T317">
        <v>0.49</v>
      </c>
      <c r="U317">
        <v>10.09</v>
      </c>
      <c r="W317">
        <v>15.06</v>
      </c>
      <c r="X317">
        <v>177</v>
      </c>
      <c r="Y317">
        <v>20.18</v>
      </c>
      <c r="Z317">
        <v>30.42</v>
      </c>
      <c r="AA317">
        <v>302</v>
      </c>
      <c r="AB317">
        <v>0.75</v>
      </c>
      <c r="AC317">
        <v>0.02</v>
      </c>
      <c r="AD317">
        <v>0.16</v>
      </c>
      <c r="AE317">
        <v>0.64</v>
      </c>
      <c r="AF317">
        <v>21.65</v>
      </c>
      <c r="AG317">
        <v>1.51</v>
      </c>
      <c r="AH317">
        <v>9.18</v>
      </c>
      <c r="AI317">
        <v>5.25</v>
      </c>
      <c r="AJ317">
        <v>3.99</v>
      </c>
      <c r="AK317">
        <v>16.79</v>
      </c>
      <c r="AL317">
        <v>5.0199999999999996</v>
      </c>
      <c r="AM317">
        <v>4.84</v>
      </c>
      <c r="AN317">
        <v>5.97</v>
      </c>
      <c r="AO317">
        <v>1.17</v>
      </c>
      <c r="AP317">
        <v>5.61</v>
      </c>
      <c r="AQ317">
        <v>2.42</v>
      </c>
      <c r="AR317">
        <v>5.85</v>
      </c>
      <c r="AS317">
        <v>5.81</v>
      </c>
      <c r="AT317">
        <v>4.1399999999999997</v>
      </c>
      <c r="AU317">
        <v>4.95</v>
      </c>
      <c r="AV317">
        <v>3.67</v>
      </c>
      <c r="AW317">
        <v>7.73</v>
      </c>
      <c r="AX317">
        <v>7.12</v>
      </c>
      <c r="AY317">
        <v>778</v>
      </c>
      <c r="AZ317">
        <v>984</v>
      </c>
      <c r="BA317">
        <v>355</v>
      </c>
      <c r="BB317">
        <v>61.67</v>
      </c>
    </row>
    <row r="318" spans="1:54" x14ac:dyDescent="0.25">
      <c r="A318" t="s">
        <v>364</v>
      </c>
      <c r="B318" t="s">
        <v>215</v>
      </c>
      <c r="C318" t="s">
        <v>359</v>
      </c>
      <c r="D318" t="s">
        <v>216</v>
      </c>
      <c r="E318">
        <v>78.05</v>
      </c>
      <c r="F318">
        <v>91</v>
      </c>
      <c r="G318">
        <v>18.22</v>
      </c>
      <c r="H318">
        <v>2.0699999999999998</v>
      </c>
      <c r="M318">
        <v>1.46</v>
      </c>
      <c r="P318">
        <v>0.01</v>
      </c>
      <c r="Q318">
        <v>0.11</v>
      </c>
      <c r="R318">
        <v>2.87</v>
      </c>
      <c r="S318">
        <v>0.7</v>
      </c>
      <c r="T318">
        <v>0.14000000000000001</v>
      </c>
      <c r="U318">
        <v>8.7200000000000006</v>
      </c>
      <c r="W318">
        <v>5.46</v>
      </c>
      <c r="X318">
        <v>119</v>
      </c>
      <c r="Y318">
        <v>13.95</v>
      </c>
      <c r="Z318">
        <v>50.6</v>
      </c>
      <c r="AA318">
        <v>244</v>
      </c>
      <c r="AB318">
        <v>3.19</v>
      </c>
      <c r="AC318">
        <v>0.03</v>
      </c>
      <c r="AD318">
        <v>0.2</v>
      </c>
      <c r="AE318">
        <v>2.65</v>
      </c>
      <c r="AF318">
        <v>54.66</v>
      </c>
      <c r="AG318">
        <v>1.83</v>
      </c>
      <c r="AH318">
        <v>8.56</v>
      </c>
      <c r="AI318">
        <v>4.3</v>
      </c>
      <c r="AJ318">
        <v>4.01</v>
      </c>
      <c r="AK318">
        <v>14.29</v>
      </c>
      <c r="AL318">
        <v>5.9</v>
      </c>
      <c r="AM318">
        <v>5.63</v>
      </c>
      <c r="AN318">
        <v>6.22</v>
      </c>
      <c r="AO318">
        <v>1.67</v>
      </c>
      <c r="AP318">
        <v>4.59</v>
      </c>
      <c r="AQ318">
        <v>2.5499999999999998</v>
      </c>
      <c r="AR318">
        <v>4.53</v>
      </c>
      <c r="AS318">
        <v>7.67</v>
      </c>
      <c r="AT318">
        <v>3.78</v>
      </c>
      <c r="AU318">
        <v>4.4800000000000004</v>
      </c>
      <c r="AV318">
        <v>2.61</v>
      </c>
      <c r="AW318">
        <v>8.82</v>
      </c>
      <c r="AX318">
        <v>7.97</v>
      </c>
      <c r="AY318">
        <v>772</v>
      </c>
      <c r="AZ318">
        <v>716</v>
      </c>
      <c r="BA318">
        <v>464</v>
      </c>
      <c r="BB318">
        <v>57.24</v>
      </c>
    </row>
    <row r="319" spans="1:54" x14ac:dyDescent="0.25">
      <c r="A319" t="s">
        <v>364</v>
      </c>
      <c r="B319" t="s">
        <v>214</v>
      </c>
      <c r="C319" t="s">
        <v>359</v>
      </c>
      <c r="D319" t="s">
        <v>604</v>
      </c>
      <c r="E319">
        <v>67.66</v>
      </c>
      <c r="F319">
        <v>186</v>
      </c>
      <c r="G319">
        <v>18.57</v>
      </c>
      <c r="H319">
        <v>12.45</v>
      </c>
      <c r="M319">
        <v>1.1299999999999999</v>
      </c>
      <c r="P319">
        <v>0.21</v>
      </c>
      <c r="Q319">
        <v>0.16</v>
      </c>
      <c r="R319">
        <v>6.13</v>
      </c>
      <c r="S319">
        <v>1.0900000000000001</v>
      </c>
      <c r="T319">
        <v>0.31</v>
      </c>
      <c r="U319">
        <v>7.55</v>
      </c>
      <c r="W319">
        <v>20.77</v>
      </c>
      <c r="X319">
        <v>194</v>
      </c>
      <c r="Y319">
        <v>22</v>
      </c>
      <c r="Z319">
        <v>58.7</v>
      </c>
      <c r="AA319">
        <v>279</v>
      </c>
      <c r="AB319">
        <v>1.35</v>
      </c>
      <c r="AC319">
        <v>0.02</v>
      </c>
      <c r="AD319">
        <v>0.41</v>
      </c>
      <c r="AE319">
        <v>1.81</v>
      </c>
      <c r="AF319">
        <v>22.22</v>
      </c>
      <c r="AG319">
        <v>1.51</v>
      </c>
      <c r="AH319">
        <v>9.58</v>
      </c>
      <c r="AI319">
        <v>4.25</v>
      </c>
      <c r="AJ319">
        <v>3.91</v>
      </c>
      <c r="AK319">
        <v>16.89</v>
      </c>
      <c r="AL319">
        <v>4.6100000000000003</v>
      </c>
      <c r="AM319">
        <v>4.84</v>
      </c>
      <c r="AN319">
        <v>5.68</v>
      </c>
      <c r="AO319">
        <v>1.17</v>
      </c>
      <c r="AP319">
        <v>6.12</v>
      </c>
      <c r="AQ319">
        <v>2.5099999999999998</v>
      </c>
      <c r="AR319">
        <v>4.75</v>
      </c>
      <c r="AS319">
        <v>7.12</v>
      </c>
      <c r="AT319">
        <v>3.89</v>
      </c>
      <c r="AU319">
        <v>5.0199999999999996</v>
      </c>
      <c r="AV319">
        <v>2.87</v>
      </c>
      <c r="AW319">
        <v>7.73</v>
      </c>
      <c r="AX319">
        <v>7.12</v>
      </c>
      <c r="AY319">
        <v>1103</v>
      </c>
      <c r="AZ319">
        <v>1506</v>
      </c>
      <c r="BA319">
        <v>651</v>
      </c>
      <c r="BB319">
        <v>86.08</v>
      </c>
    </row>
    <row r="320" spans="1:54" x14ac:dyDescent="0.25">
      <c r="A320" t="s">
        <v>364</v>
      </c>
      <c r="B320" t="s">
        <v>217</v>
      </c>
      <c r="C320" t="s">
        <v>359</v>
      </c>
      <c r="D320" t="s">
        <v>605</v>
      </c>
      <c r="E320">
        <v>73.2</v>
      </c>
      <c r="F320">
        <v>123</v>
      </c>
      <c r="G320">
        <v>21.57</v>
      </c>
      <c r="H320">
        <v>4.08</v>
      </c>
      <c r="M320">
        <v>1.1100000000000001</v>
      </c>
      <c r="P320">
        <v>0.28000000000000003</v>
      </c>
      <c r="Q320">
        <v>0.2</v>
      </c>
      <c r="R320">
        <v>4.4400000000000004</v>
      </c>
      <c r="S320">
        <v>6.39</v>
      </c>
      <c r="T320">
        <v>0.92</v>
      </c>
      <c r="U320">
        <v>1032</v>
      </c>
      <c r="W320">
        <v>4.0999999999999996</v>
      </c>
      <c r="X320">
        <v>244</v>
      </c>
      <c r="Y320">
        <v>16.100000000000001</v>
      </c>
      <c r="Z320">
        <v>61.58</v>
      </c>
      <c r="AA320">
        <v>241</v>
      </c>
      <c r="AB320">
        <v>9.92</v>
      </c>
      <c r="AC320">
        <v>0.21</v>
      </c>
      <c r="AD320">
        <v>0.28999999999999998</v>
      </c>
      <c r="AE320">
        <v>2.65</v>
      </c>
      <c r="AF320">
        <v>46.35</v>
      </c>
      <c r="AG320">
        <v>1.52</v>
      </c>
      <c r="AH320">
        <v>9.33</v>
      </c>
      <c r="AI320">
        <v>4.82</v>
      </c>
      <c r="AJ320">
        <v>4.4400000000000004</v>
      </c>
      <c r="AK320">
        <v>12.74</v>
      </c>
      <c r="AL320">
        <v>4.51</v>
      </c>
      <c r="AM320">
        <v>4.6500000000000004</v>
      </c>
      <c r="AN320">
        <v>6.12</v>
      </c>
      <c r="AO320">
        <v>1.44</v>
      </c>
      <c r="AP320">
        <v>6.3</v>
      </c>
      <c r="AQ320">
        <v>2.5299999999999998</v>
      </c>
      <c r="AR320">
        <v>5.1100000000000003</v>
      </c>
      <c r="AS320">
        <v>9.93</v>
      </c>
      <c r="AT320">
        <v>3.81</v>
      </c>
      <c r="AU320">
        <v>5.82</v>
      </c>
      <c r="AV320">
        <v>3.2</v>
      </c>
      <c r="AW320">
        <v>8.1999999999999993</v>
      </c>
      <c r="AX320">
        <v>6.59</v>
      </c>
      <c r="AY320">
        <v>1328</v>
      </c>
      <c r="AZ320">
        <v>681</v>
      </c>
      <c r="BA320">
        <v>1013</v>
      </c>
      <c r="BB320">
        <v>268</v>
      </c>
    </row>
    <row r="321" spans="1:58" x14ac:dyDescent="0.25">
      <c r="A321" t="s">
        <v>364</v>
      </c>
      <c r="B321" t="s">
        <v>283</v>
      </c>
      <c r="C321" t="s">
        <v>359</v>
      </c>
      <c r="D321" t="s">
        <v>218</v>
      </c>
      <c r="E321">
        <v>67.760000000000005</v>
      </c>
      <c r="F321">
        <v>211</v>
      </c>
      <c r="G321">
        <v>18.61</v>
      </c>
      <c r="H321">
        <v>15.15</v>
      </c>
      <c r="M321">
        <v>1.1299999999999999</v>
      </c>
      <c r="P321">
        <v>0.14000000000000001</v>
      </c>
      <c r="Q321">
        <v>0.12</v>
      </c>
      <c r="R321">
        <v>6.83</v>
      </c>
      <c r="S321">
        <v>1.25</v>
      </c>
      <c r="T321">
        <v>0.32</v>
      </c>
      <c r="U321">
        <v>9.07</v>
      </c>
      <c r="W321">
        <v>18.09</v>
      </c>
      <c r="X321">
        <v>180</v>
      </c>
      <c r="Y321">
        <v>22.64</v>
      </c>
      <c r="Z321">
        <v>50.08</v>
      </c>
      <c r="AA321">
        <v>257</v>
      </c>
      <c r="AB321">
        <v>0.89</v>
      </c>
      <c r="AC321">
        <v>0.02</v>
      </c>
      <c r="AD321">
        <v>0.1</v>
      </c>
      <c r="AE321">
        <v>1.39</v>
      </c>
      <c r="AF321">
        <v>20.149999999999999</v>
      </c>
      <c r="AG321">
        <v>1.51</v>
      </c>
      <c r="AH321">
        <v>9.18</v>
      </c>
      <c r="AI321">
        <v>4.25</v>
      </c>
      <c r="AJ321">
        <v>3.99</v>
      </c>
      <c r="AK321">
        <v>16.79</v>
      </c>
      <c r="AL321">
        <v>4.6100000000000003</v>
      </c>
      <c r="AM321">
        <v>4.84</v>
      </c>
      <c r="AN321">
        <v>5.68</v>
      </c>
      <c r="AO321">
        <v>1.17</v>
      </c>
      <c r="AP321">
        <v>6.12</v>
      </c>
      <c r="AQ321">
        <v>3.15</v>
      </c>
      <c r="AR321">
        <v>4.8499999999999996</v>
      </c>
      <c r="AS321">
        <v>8.1199999999999992</v>
      </c>
      <c r="AT321">
        <v>3.39</v>
      </c>
      <c r="AU321">
        <v>4.5</v>
      </c>
      <c r="AV321">
        <v>2.4700000000000002</v>
      </c>
      <c r="AW321">
        <v>7.73</v>
      </c>
      <c r="AX321">
        <v>7.12</v>
      </c>
      <c r="AY321">
        <v>1029</v>
      </c>
      <c r="AZ321">
        <v>1409</v>
      </c>
      <c r="BA321">
        <v>539</v>
      </c>
      <c r="BB321">
        <v>91.93</v>
      </c>
    </row>
    <row r="322" spans="1:58" x14ac:dyDescent="0.25">
      <c r="A322" t="s">
        <v>364</v>
      </c>
      <c r="B322" t="s">
        <v>220</v>
      </c>
      <c r="C322" t="s">
        <v>359</v>
      </c>
      <c r="D322" t="s">
        <v>221</v>
      </c>
      <c r="E322">
        <v>70.02</v>
      </c>
      <c r="F322">
        <v>174</v>
      </c>
      <c r="G322">
        <v>17.010000000000002</v>
      </c>
      <c r="H322">
        <v>11.73</v>
      </c>
      <c r="M322">
        <v>1.2</v>
      </c>
      <c r="P322">
        <v>0.17</v>
      </c>
      <c r="Q322">
        <v>0.1</v>
      </c>
      <c r="R322">
        <v>2.44</v>
      </c>
      <c r="S322">
        <v>0.73</v>
      </c>
      <c r="T322">
        <v>0.36</v>
      </c>
      <c r="U322">
        <v>8.1</v>
      </c>
      <c r="W322">
        <v>22.56</v>
      </c>
      <c r="X322">
        <v>250</v>
      </c>
      <c r="Y322">
        <v>24.72</v>
      </c>
      <c r="Z322">
        <v>50.46</v>
      </c>
      <c r="AA322">
        <v>357</v>
      </c>
      <c r="AB322">
        <v>1.66</v>
      </c>
      <c r="AC322">
        <v>0.03</v>
      </c>
      <c r="AD322">
        <v>0.22</v>
      </c>
      <c r="AE322">
        <v>2.71</v>
      </c>
      <c r="AF322">
        <v>16.329999999999998</v>
      </c>
      <c r="AG322">
        <v>1.1499999999999999</v>
      </c>
      <c r="AH322">
        <v>9.92</v>
      </c>
      <c r="AI322">
        <v>4.93</v>
      </c>
      <c r="AJ322">
        <v>5.57</v>
      </c>
      <c r="AK322">
        <v>15.12</v>
      </c>
      <c r="AL322">
        <v>3.69</v>
      </c>
      <c r="AM322">
        <v>3.03</v>
      </c>
      <c r="AN322">
        <v>6.03</v>
      </c>
      <c r="AO322">
        <v>1.19</v>
      </c>
      <c r="AP322">
        <v>5.99</v>
      </c>
      <c r="AQ322">
        <v>2.4900000000000002</v>
      </c>
      <c r="AR322">
        <v>5.16</v>
      </c>
      <c r="AS322">
        <v>9.2200000000000006</v>
      </c>
      <c r="AT322">
        <v>3.97</v>
      </c>
      <c r="AU322">
        <v>4.32</v>
      </c>
      <c r="AV322">
        <v>2.2000000000000002</v>
      </c>
      <c r="AW322">
        <v>7.52</v>
      </c>
      <c r="AX322">
        <v>7.42</v>
      </c>
      <c r="AY322">
        <v>534</v>
      </c>
      <c r="AZ322">
        <v>681</v>
      </c>
      <c r="BA322">
        <v>396</v>
      </c>
      <c r="BB322">
        <v>87.95</v>
      </c>
    </row>
    <row r="323" spans="1:58" x14ac:dyDescent="0.25">
      <c r="A323" t="s">
        <v>364</v>
      </c>
      <c r="B323" t="s">
        <v>223</v>
      </c>
      <c r="C323" t="s">
        <v>359</v>
      </c>
      <c r="D323" t="s">
        <v>607</v>
      </c>
      <c r="E323">
        <v>68.010000000000005</v>
      </c>
      <c r="F323">
        <v>183</v>
      </c>
      <c r="G323">
        <v>18.649999999999999</v>
      </c>
      <c r="H323">
        <v>12.09</v>
      </c>
      <c r="M323">
        <v>1.1399999999999999</v>
      </c>
      <c r="P323">
        <v>7.0000000000000007E-2</v>
      </c>
      <c r="Q323">
        <v>0.03</v>
      </c>
      <c r="R323">
        <v>3.19</v>
      </c>
      <c r="S323">
        <v>0.85</v>
      </c>
      <c r="T323">
        <v>0.43</v>
      </c>
      <c r="U323">
        <v>9.19</v>
      </c>
      <c r="W323">
        <v>35.46</v>
      </c>
      <c r="X323">
        <v>235</v>
      </c>
      <c r="Y323">
        <v>25.46</v>
      </c>
      <c r="Z323">
        <v>54.15</v>
      </c>
      <c r="AA323">
        <v>249</v>
      </c>
      <c r="AB323">
        <v>1.45</v>
      </c>
      <c r="AC323">
        <v>0.02</v>
      </c>
      <c r="AD323">
        <v>0.15</v>
      </c>
      <c r="AE323">
        <v>1.64</v>
      </c>
      <c r="AF323">
        <v>18.010000000000002</v>
      </c>
      <c r="AG323">
        <v>1.24</v>
      </c>
      <c r="AH323">
        <v>9.0299999999999994</v>
      </c>
      <c r="AI323">
        <v>4.33</v>
      </c>
      <c r="AJ323">
        <v>3.77</v>
      </c>
      <c r="AK323">
        <v>15.93</v>
      </c>
      <c r="AL323">
        <v>4.5999999999999996</v>
      </c>
      <c r="AM323">
        <v>5.37</v>
      </c>
      <c r="AN323">
        <v>6.58</v>
      </c>
      <c r="AO323">
        <v>1.1599999999999999</v>
      </c>
      <c r="AP323">
        <v>5.12</v>
      </c>
      <c r="AQ323">
        <v>2.84</v>
      </c>
      <c r="AR323">
        <v>4.6399999999999997</v>
      </c>
      <c r="AS323">
        <v>9.1199999999999992</v>
      </c>
      <c r="AT323">
        <v>3.86</v>
      </c>
      <c r="AU323">
        <v>5.7</v>
      </c>
      <c r="AV323">
        <v>3.5</v>
      </c>
      <c r="AW323">
        <v>7.9</v>
      </c>
      <c r="AX323">
        <v>6.5</v>
      </c>
      <c r="AY323">
        <v>688</v>
      </c>
      <c r="AZ323">
        <v>836</v>
      </c>
      <c r="BA323">
        <v>438</v>
      </c>
      <c r="BB323">
        <v>55.42</v>
      </c>
    </row>
    <row r="324" spans="1:58" x14ac:dyDescent="0.25">
      <c r="A324" t="s">
        <v>364</v>
      </c>
      <c r="B324" t="s">
        <v>335</v>
      </c>
      <c r="C324" t="s">
        <v>359</v>
      </c>
      <c r="D324" t="s">
        <v>230</v>
      </c>
      <c r="E324">
        <v>68.44</v>
      </c>
      <c r="F324">
        <v>160</v>
      </c>
      <c r="G324">
        <v>21.96</v>
      </c>
      <c r="H324">
        <v>8.0399999999999991</v>
      </c>
      <c r="M324">
        <v>1.01</v>
      </c>
      <c r="P324">
        <v>0.06</v>
      </c>
      <c r="Q324">
        <v>0.1</v>
      </c>
      <c r="R324">
        <v>4.49</v>
      </c>
      <c r="S324">
        <v>1.53</v>
      </c>
      <c r="T324">
        <v>0.56000000000000005</v>
      </c>
      <c r="U324">
        <v>14.67</v>
      </c>
      <c r="W324">
        <v>14.35</v>
      </c>
      <c r="X324">
        <v>182</v>
      </c>
      <c r="Y324">
        <v>21.83</v>
      </c>
      <c r="Z324">
        <v>40.450000000000003</v>
      </c>
      <c r="AA324">
        <v>315</v>
      </c>
      <c r="AB324">
        <v>1.01</v>
      </c>
      <c r="AC324">
        <v>0.02</v>
      </c>
      <c r="AD324">
        <v>0.1</v>
      </c>
      <c r="AE324">
        <v>1.28</v>
      </c>
      <c r="AF324">
        <v>14.33</v>
      </c>
      <c r="AG324">
        <v>1.54</v>
      </c>
      <c r="AH324">
        <v>8.86</v>
      </c>
      <c r="AI324">
        <v>4.8</v>
      </c>
      <c r="AJ324">
        <v>4.09</v>
      </c>
      <c r="AK324">
        <v>15.39</v>
      </c>
      <c r="AL324">
        <v>4.26</v>
      </c>
      <c r="AM324">
        <v>4.62</v>
      </c>
      <c r="AN324">
        <v>6.44</v>
      </c>
      <c r="AO324">
        <v>1.1200000000000001</v>
      </c>
      <c r="AP324">
        <v>5.03</v>
      </c>
      <c r="AQ324">
        <v>2.57</v>
      </c>
      <c r="AR324">
        <v>5.46</v>
      </c>
      <c r="AS324">
        <v>8.17</v>
      </c>
      <c r="AT324">
        <v>4.3600000000000003</v>
      </c>
      <c r="AU324">
        <v>5.91</v>
      </c>
      <c r="AV324">
        <v>2.97</v>
      </c>
      <c r="AW324">
        <v>7.07</v>
      </c>
      <c r="AX324">
        <v>7.52</v>
      </c>
      <c r="AY324">
        <v>934</v>
      </c>
      <c r="AZ324">
        <v>884</v>
      </c>
      <c r="BA324">
        <v>1055</v>
      </c>
      <c r="BB324">
        <v>81.28</v>
      </c>
    </row>
    <row r="325" spans="1:58" x14ac:dyDescent="0.25">
      <c r="A325" t="s">
        <v>364</v>
      </c>
      <c r="B325" t="s">
        <v>285</v>
      </c>
      <c r="C325" t="s">
        <v>360</v>
      </c>
      <c r="D325" t="s">
        <v>666</v>
      </c>
      <c r="E325">
        <v>4.7699999999999996</v>
      </c>
      <c r="F325">
        <v>607</v>
      </c>
      <c r="G325">
        <v>18.45</v>
      </c>
      <c r="H325">
        <v>58.51</v>
      </c>
      <c r="I325">
        <v>2.66</v>
      </c>
      <c r="J325">
        <v>13.07</v>
      </c>
      <c r="K325">
        <v>10.93</v>
      </c>
      <c r="L325">
        <v>2.14</v>
      </c>
      <c r="M325">
        <v>2.54</v>
      </c>
      <c r="P325">
        <v>0.15</v>
      </c>
      <c r="Q325">
        <v>0.31</v>
      </c>
      <c r="R325">
        <v>3.83</v>
      </c>
      <c r="S325">
        <v>0.72</v>
      </c>
      <c r="T325">
        <v>0.09</v>
      </c>
      <c r="U325">
        <v>41.04</v>
      </c>
      <c r="V325">
        <v>0.83</v>
      </c>
      <c r="W325">
        <v>230</v>
      </c>
      <c r="X325">
        <v>443</v>
      </c>
      <c r="Y325">
        <v>272</v>
      </c>
      <c r="Z325">
        <v>1.93</v>
      </c>
      <c r="AA325">
        <v>679</v>
      </c>
      <c r="AB325">
        <v>4.33</v>
      </c>
      <c r="AC325">
        <v>2.39</v>
      </c>
      <c r="AD325">
        <v>1.08</v>
      </c>
      <c r="AE325">
        <v>3.59</v>
      </c>
      <c r="AF325">
        <v>5.54</v>
      </c>
      <c r="AG325">
        <v>0.96</v>
      </c>
      <c r="AH325">
        <v>12.15</v>
      </c>
      <c r="AI325">
        <v>2.4300000000000002</v>
      </c>
      <c r="AJ325">
        <v>3.93</v>
      </c>
      <c r="AK325">
        <v>28.16</v>
      </c>
      <c r="AL325">
        <v>4.01</v>
      </c>
      <c r="AM325">
        <v>6.12</v>
      </c>
      <c r="AN325">
        <v>4.95</v>
      </c>
      <c r="AO325">
        <v>0.67</v>
      </c>
      <c r="AP325">
        <v>4</v>
      </c>
      <c r="AQ325">
        <v>0.93</v>
      </c>
      <c r="AR325">
        <v>2.44</v>
      </c>
      <c r="AS325">
        <v>4.12</v>
      </c>
      <c r="AT325">
        <v>3.22</v>
      </c>
      <c r="AU325">
        <v>5.54</v>
      </c>
      <c r="AV325">
        <v>2.2400000000000002</v>
      </c>
      <c r="AW325">
        <v>2.2599999999999998</v>
      </c>
      <c r="AX325">
        <v>11.31</v>
      </c>
      <c r="AY325">
        <v>4355</v>
      </c>
      <c r="AZ325">
        <v>38273</v>
      </c>
      <c r="BA325">
        <v>13307</v>
      </c>
      <c r="BC325">
        <v>2.35</v>
      </c>
      <c r="BD325">
        <v>0.01</v>
      </c>
    </row>
    <row r="326" spans="1:58" x14ac:dyDescent="0.25">
      <c r="A326" t="s">
        <v>364</v>
      </c>
      <c r="B326" t="s">
        <v>231</v>
      </c>
      <c r="C326" t="s">
        <v>360</v>
      </c>
      <c r="D326" t="s">
        <v>667</v>
      </c>
      <c r="E326">
        <v>6.8</v>
      </c>
      <c r="F326">
        <v>348</v>
      </c>
      <c r="G326">
        <v>6.39</v>
      </c>
      <c r="H326">
        <v>4.3099999999999996</v>
      </c>
      <c r="I326">
        <v>69.47</v>
      </c>
      <c r="J326">
        <v>11.54</v>
      </c>
      <c r="K326">
        <v>10.47</v>
      </c>
      <c r="L326">
        <v>1.07</v>
      </c>
      <c r="M326">
        <v>1.49</v>
      </c>
      <c r="P326">
        <v>0.05</v>
      </c>
      <c r="Q326">
        <v>0.02</v>
      </c>
      <c r="R326">
        <v>0.69</v>
      </c>
      <c r="S326">
        <v>0.12</v>
      </c>
      <c r="T326">
        <v>0.31</v>
      </c>
      <c r="U326">
        <v>7.65</v>
      </c>
      <c r="W326">
        <v>72</v>
      </c>
      <c r="X326">
        <v>99</v>
      </c>
      <c r="Y326">
        <v>108</v>
      </c>
      <c r="Z326">
        <v>12.62</v>
      </c>
      <c r="AA326">
        <v>597</v>
      </c>
      <c r="AB326">
        <v>2.37</v>
      </c>
      <c r="AC326">
        <v>2.95</v>
      </c>
      <c r="AD326">
        <v>1.82</v>
      </c>
      <c r="AE326">
        <v>1.1000000000000001</v>
      </c>
      <c r="AF326">
        <v>9.9499999999999993</v>
      </c>
      <c r="AG326">
        <v>0.8</v>
      </c>
      <c r="AH326">
        <v>6.88</v>
      </c>
      <c r="AI326">
        <v>3.93</v>
      </c>
      <c r="AJ326">
        <v>4.5599999999999996</v>
      </c>
      <c r="AK326">
        <v>20.88</v>
      </c>
      <c r="AL326">
        <v>3.53</v>
      </c>
      <c r="AM326">
        <v>4.7300000000000004</v>
      </c>
      <c r="AN326">
        <v>4.21</v>
      </c>
      <c r="AO326">
        <v>0.7</v>
      </c>
      <c r="AP326">
        <v>3.69</v>
      </c>
      <c r="AQ326">
        <v>0.92</v>
      </c>
      <c r="AR326">
        <v>1.75</v>
      </c>
      <c r="AS326">
        <v>4.95</v>
      </c>
      <c r="AT326">
        <v>4.12</v>
      </c>
      <c r="AU326">
        <v>4.78</v>
      </c>
      <c r="AV326">
        <v>2.0499999999999998</v>
      </c>
      <c r="AW326">
        <v>4.38</v>
      </c>
      <c r="AX326">
        <v>10.5</v>
      </c>
      <c r="AY326">
        <v>2605</v>
      </c>
      <c r="AZ326">
        <v>453</v>
      </c>
      <c r="BA326">
        <v>393</v>
      </c>
      <c r="BC326">
        <v>1.75</v>
      </c>
      <c r="BD326">
        <v>69.42</v>
      </c>
    </row>
    <row r="327" spans="1:58" x14ac:dyDescent="0.25">
      <c r="A327" t="s">
        <v>364</v>
      </c>
      <c r="B327" t="s">
        <v>232</v>
      </c>
      <c r="C327" t="s">
        <v>360</v>
      </c>
      <c r="D327" t="s">
        <v>668</v>
      </c>
      <c r="E327">
        <v>37.72</v>
      </c>
      <c r="F327">
        <v>242</v>
      </c>
      <c r="G327">
        <v>3.03</v>
      </c>
      <c r="H327">
        <v>5.18</v>
      </c>
      <c r="I327">
        <v>44.55</v>
      </c>
      <c r="J327">
        <v>7.91</v>
      </c>
      <c r="K327">
        <v>5.96</v>
      </c>
      <c r="L327">
        <v>1.95</v>
      </c>
      <c r="M327">
        <v>1.62</v>
      </c>
      <c r="P327">
        <v>0.04</v>
      </c>
      <c r="Q327">
        <v>0.02</v>
      </c>
      <c r="R327">
        <v>0.73</v>
      </c>
      <c r="S327">
        <v>0.21</v>
      </c>
      <c r="T327">
        <v>0.23</v>
      </c>
      <c r="U327">
        <v>4.87</v>
      </c>
      <c r="W327">
        <v>30.02</v>
      </c>
      <c r="X327">
        <v>92.25</v>
      </c>
      <c r="Y327">
        <v>47.16</v>
      </c>
      <c r="Z327">
        <v>4.3499999999999996</v>
      </c>
      <c r="AA327">
        <v>330</v>
      </c>
      <c r="AB327">
        <v>1.07</v>
      </c>
      <c r="AC327">
        <v>1.07</v>
      </c>
      <c r="AD327">
        <v>0.69</v>
      </c>
      <c r="AE327">
        <v>0.56000000000000005</v>
      </c>
      <c r="AG327">
        <v>0.8</v>
      </c>
      <c r="AH327">
        <v>7.88</v>
      </c>
      <c r="AI327">
        <v>3.93</v>
      </c>
      <c r="AJ327">
        <v>6.56</v>
      </c>
      <c r="AK327">
        <v>20.88</v>
      </c>
      <c r="AL327">
        <v>3.53</v>
      </c>
      <c r="AM327">
        <v>4.7300000000000004</v>
      </c>
      <c r="AN327">
        <v>4.21</v>
      </c>
      <c r="AO327">
        <v>0.7</v>
      </c>
      <c r="AP327">
        <v>5.69</v>
      </c>
      <c r="AQ327">
        <v>1.35</v>
      </c>
      <c r="AR327">
        <v>1.75</v>
      </c>
      <c r="AS327">
        <v>4.75</v>
      </c>
      <c r="AT327">
        <v>4.12</v>
      </c>
      <c r="AU327">
        <v>4.78</v>
      </c>
      <c r="AV327">
        <v>2.0499999999999998</v>
      </c>
      <c r="AW327">
        <v>4.38</v>
      </c>
      <c r="AX327">
        <v>10.5</v>
      </c>
      <c r="AY327">
        <v>3283</v>
      </c>
      <c r="AZ327">
        <v>566</v>
      </c>
      <c r="BA327">
        <v>499</v>
      </c>
    </row>
    <row r="328" spans="1:58" x14ac:dyDescent="0.25">
      <c r="A328" t="s">
        <v>364</v>
      </c>
      <c r="B328" t="s">
        <v>332</v>
      </c>
      <c r="C328" t="s">
        <v>360</v>
      </c>
      <c r="D328" t="s">
        <v>670</v>
      </c>
      <c r="E328">
        <v>3.24</v>
      </c>
      <c r="F328">
        <v>626</v>
      </c>
      <c r="G328">
        <v>7.29</v>
      </c>
      <c r="H328">
        <v>63.19</v>
      </c>
      <c r="I328">
        <v>8.9499999999999993</v>
      </c>
      <c r="J328">
        <v>15.64</v>
      </c>
      <c r="K328">
        <v>14.79</v>
      </c>
      <c r="L328">
        <v>0.84</v>
      </c>
      <c r="M328">
        <v>1.69</v>
      </c>
      <c r="P328">
        <v>0.04</v>
      </c>
      <c r="Q328">
        <v>0.05</v>
      </c>
      <c r="R328">
        <v>0.83</v>
      </c>
      <c r="S328">
        <v>0.21</v>
      </c>
      <c r="T328">
        <v>0.16</v>
      </c>
      <c r="U328">
        <v>25.05</v>
      </c>
      <c r="W328">
        <v>34</v>
      </c>
      <c r="X328">
        <v>201</v>
      </c>
      <c r="Y328">
        <v>80.42</v>
      </c>
      <c r="Z328">
        <v>17.010000000000002</v>
      </c>
      <c r="AA328">
        <v>644</v>
      </c>
      <c r="AB328">
        <v>3.6</v>
      </c>
      <c r="AC328">
        <v>1.53</v>
      </c>
      <c r="AD328">
        <v>0.87</v>
      </c>
      <c r="AE328">
        <v>1.47</v>
      </c>
      <c r="AF328">
        <v>26.39</v>
      </c>
      <c r="AG328">
        <v>0.5</v>
      </c>
      <c r="AH328">
        <v>8.56</v>
      </c>
      <c r="AI328">
        <v>2.75</v>
      </c>
      <c r="AJ328">
        <v>4.09</v>
      </c>
      <c r="AK328">
        <v>23.54</v>
      </c>
      <c r="AL328">
        <v>3.83</v>
      </c>
      <c r="AM328">
        <v>4.01</v>
      </c>
      <c r="AN328">
        <v>5.24</v>
      </c>
      <c r="AO328">
        <v>1.71</v>
      </c>
      <c r="AP328">
        <v>5.88</v>
      </c>
      <c r="AQ328">
        <v>1.91</v>
      </c>
      <c r="AR328">
        <v>3.64</v>
      </c>
      <c r="AS328">
        <v>6.78</v>
      </c>
      <c r="AT328">
        <v>2.76</v>
      </c>
      <c r="AU328">
        <v>6.17</v>
      </c>
      <c r="AV328">
        <v>2.08</v>
      </c>
      <c r="AW328">
        <v>3.91</v>
      </c>
      <c r="AX328">
        <v>12.22</v>
      </c>
      <c r="AY328">
        <v>43032</v>
      </c>
      <c r="AZ328">
        <v>3660</v>
      </c>
      <c r="BA328">
        <v>957</v>
      </c>
      <c r="BC328">
        <v>6.43</v>
      </c>
    </row>
    <row r="329" spans="1:58" x14ac:dyDescent="0.25">
      <c r="A329" t="s">
        <v>364</v>
      </c>
      <c r="B329" t="s">
        <v>235</v>
      </c>
      <c r="C329" t="s">
        <v>360</v>
      </c>
      <c r="D329" t="s">
        <v>671</v>
      </c>
      <c r="E329">
        <v>4.09</v>
      </c>
      <c r="F329">
        <v>509</v>
      </c>
      <c r="G329">
        <v>19.649999999999999</v>
      </c>
      <c r="H329">
        <v>43.11</v>
      </c>
      <c r="I329">
        <v>10.220000000000001</v>
      </c>
      <c r="J329">
        <v>16.97</v>
      </c>
      <c r="K329">
        <v>13.58</v>
      </c>
      <c r="L329">
        <v>3.39</v>
      </c>
      <c r="M329">
        <v>5.97</v>
      </c>
      <c r="N329">
        <v>2.36</v>
      </c>
      <c r="P329">
        <v>0.35</v>
      </c>
      <c r="Q329">
        <v>0.09</v>
      </c>
      <c r="R329">
        <v>3.27</v>
      </c>
      <c r="S329">
        <v>0.48</v>
      </c>
      <c r="T329">
        <v>0.69</v>
      </c>
      <c r="U329">
        <v>119</v>
      </c>
      <c r="W329">
        <v>1465</v>
      </c>
      <c r="X329">
        <v>699</v>
      </c>
      <c r="Y329">
        <v>419</v>
      </c>
      <c r="Z329">
        <v>16.61</v>
      </c>
      <c r="AA329">
        <v>475</v>
      </c>
      <c r="AB329">
        <v>15.42</v>
      </c>
      <c r="AC329">
        <v>2.92</v>
      </c>
      <c r="AD329">
        <v>1.6</v>
      </c>
      <c r="AE329">
        <v>8.99</v>
      </c>
      <c r="AF329">
        <v>14.2</v>
      </c>
      <c r="AG329">
        <v>1.19</v>
      </c>
      <c r="AH329">
        <v>10.92</v>
      </c>
      <c r="AI329">
        <v>3.04</v>
      </c>
      <c r="AJ329">
        <v>6</v>
      </c>
      <c r="AK329">
        <v>22.37</v>
      </c>
      <c r="AL329">
        <v>3.3</v>
      </c>
      <c r="AM329">
        <v>6.82</v>
      </c>
      <c r="AN329">
        <v>5.63</v>
      </c>
      <c r="AO329">
        <v>1.29</v>
      </c>
      <c r="AP329">
        <v>4.4800000000000004</v>
      </c>
      <c r="AQ329">
        <v>3.22</v>
      </c>
      <c r="AR329">
        <v>5.51</v>
      </c>
      <c r="AS329">
        <v>4.42</v>
      </c>
      <c r="AT329">
        <v>1.89</v>
      </c>
      <c r="AU329">
        <v>4.97</v>
      </c>
      <c r="AV329">
        <v>1.98</v>
      </c>
      <c r="AW329">
        <v>2.15</v>
      </c>
      <c r="AX329">
        <v>10.039999999999999</v>
      </c>
      <c r="AY329">
        <v>6548</v>
      </c>
      <c r="AZ329">
        <v>15390</v>
      </c>
      <c r="BA329">
        <v>19275</v>
      </c>
      <c r="BC329">
        <v>0.93</v>
      </c>
      <c r="BD329">
        <v>9.2899999999999991</v>
      </c>
      <c r="BF329">
        <v>14.2</v>
      </c>
    </row>
    <row r="330" spans="1:58" x14ac:dyDescent="0.25">
      <c r="A330" t="s">
        <v>364</v>
      </c>
      <c r="B330" t="s">
        <v>286</v>
      </c>
      <c r="C330" t="s">
        <v>360</v>
      </c>
      <c r="D330" t="s">
        <v>674</v>
      </c>
      <c r="E330">
        <v>5.64</v>
      </c>
      <c r="F330">
        <v>440</v>
      </c>
      <c r="G330">
        <v>18.7</v>
      </c>
      <c r="H330">
        <v>35.119999999999997</v>
      </c>
      <c r="I330">
        <v>11</v>
      </c>
      <c r="J330">
        <v>26.45</v>
      </c>
      <c r="K330">
        <v>21.35</v>
      </c>
      <c r="L330">
        <v>5.0999999999999996</v>
      </c>
      <c r="M330">
        <v>3.1</v>
      </c>
      <c r="N330">
        <v>0.18</v>
      </c>
      <c r="P330">
        <v>0.28999999999999998</v>
      </c>
      <c r="Q330">
        <v>0.05</v>
      </c>
      <c r="R330">
        <v>1.1200000000000001</v>
      </c>
      <c r="S330">
        <v>0.37</v>
      </c>
      <c r="T330">
        <v>0.37</v>
      </c>
      <c r="U330">
        <v>89.88</v>
      </c>
      <c r="W330">
        <v>254</v>
      </c>
      <c r="X330">
        <v>460</v>
      </c>
      <c r="Y330">
        <v>352</v>
      </c>
      <c r="Z330">
        <v>39.53</v>
      </c>
      <c r="AA330">
        <v>603</v>
      </c>
      <c r="AB330">
        <v>4.8499999999999996</v>
      </c>
      <c r="AC330">
        <v>2.42</v>
      </c>
      <c r="AD330">
        <v>1.44</v>
      </c>
      <c r="AE330">
        <v>4.8</v>
      </c>
      <c r="AF330">
        <v>32.6</v>
      </c>
      <c r="AG330">
        <v>1.74</v>
      </c>
      <c r="AH330">
        <v>10.89</v>
      </c>
      <c r="AI330">
        <v>3.98</v>
      </c>
      <c r="AJ330">
        <v>5.12</v>
      </c>
      <c r="AK330">
        <v>19.54</v>
      </c>
      <c r="AL330">
        <v>4.62</v>
      </c>
      <c r="AM330">
        <v>5.51</v>
      </c>
      <c r="AN330">
        <v>4.67</v>
      </c>
      <c r="AO330">
        <v>1.54</v>
      </c>
      <c r="AP330">
        <v>5.26</v>
      </c>
      <c r="AQ330">
        <v>1.67</v>
      </c>
      <c r="AR330">
        <v>4.7699999999999996</v>
      </c>
      <c r="AS330">
        <v>6.77</v>
      </c>
      <c r="AT330">
        <v>3.51</v>
      </c>
      <c r="AU330">
        <v>5.12</v>
      </c>
      <c r="AV330">
        <v>2.61</v>
      </c>
      <c r="AW330">
        <v>4.58</v>
      </c>
      <c r="AX330">
        <v>10.25</v>
      </c>
      <c r="AY330">
        <v>2978</v>
      </c>
      <c r="AZ330">
        <v>5356</v>
      </c>
      <c r="BA330">
        <v>15681</v>
      </c>
      <c r="BC330">
        <v>0.53</v>
      </c>
      <c r="BD330">
        <v>7.77</v>
      </c>
      <c r="BF330">
        <v>1.06</v>
      </c>
    </row>
    <row r="331" spans="1:58" x14ac:dyDescent="0.25">
      <c r="A331" t="s">
        <v>364</v>
      </c>
      <c r="B331" t="s">
        <v>291</v>
      </c>
      <c r="C331" t="s">
        <v>360</v>
      </c>
      <c r="D331" t="s">
        <v>676</v>
      </c>
      <c r="E331">
        <v>4.9000000000000004</v>
      </c>
      <c r="F331">
        <v>541</v>
      </c>
      <c r="G331">
        <v>23.64</v>
      </c>
      <c r="H331">
        <v>42.95</v>
      </c>
      <c r="I331">
        <v>15.06</v>
      </c>
      <c r="J331">
        <v>10.45</v>
      </c>
      <c r="K331">
        <v>8.1199999999999992</v>
      </c>
      <c r="L331">
        <v>2.33</v>
      </c>
      <c r="M331">
        <v>3</v>
      </c>
      <c r="N331">
        <v>20.83</v>
      </c>
      <c r="P331">
        <v>0.96</v>
      </c>
      <c r="Q331">
        <v>0.05</v>
      </c>
      <c r="R331">
        <v>0.87</v>
      </c>
      <c r="S331">
        <v>0.57999999999999996</v>
      </c>
      <c r="T331">
        <v>0.96</v>
      </c>
      <c r="U331">
        <v>59.55</v>
      </c>
      <c r="W331">
        <v>150</v>
      </c>
      <c r="X331">
        <v>531</v>
      </c>
      <c r="Y331">
        <v>148</v>
      </c>
      <c r="Z331">
        <v>6.92</v>
      </c>
      <c r="AA331">
        <v>1050</v>
      </c>
      <c r="AB331">
        <v>5.23</v>
      </c>
      <c r="AC331">
        <v>0.92</v>
      </c>
      <c r="AD331">
        <v>0.88</v>
      </c>
      <c r="AE331">
        <v>2.33</v>
      </c>
      <c r="AF331">
        <v>7.28</v>
      </c>
      <c r="AG331">
        <v>1.25</v>
      </c>
      <c r="AH331">
        <v>10.25</v>
      </c>
      <c r="AI331">
        <v>4.29</v>
      </c>
      <c r="AJ331">
        <v>4.67</v>
      </c>
      <c r="AK331">
        <v>17.02</v>
      </c>
      <c r="AL331">
        <v>3.67</v>
      </c>
      <c r="AM331">
        <v>5.98</v>
      </c>
      <c r="AN331">
        <v>5.21</v>
      </c>
      <c r="AO331">
        <v>1.45</v>
      </c>
      <c r="AP331">
        <v>5.12</v>
      </c>
      <c r="AQ331">
        <v>1.64</v>
      </c>
      <c r="AR331">
        <v>5.21</v>
      </c>
      <c r="AS331">
        <v>7.99</v>
      </c>
      <c r="AT331">
        <v>2.78</v>
      </c>
      <c r="AU331">
        <v>5.52</v>
      </c>
      <c r="AV331">
        <v>2.34</v>
      </c>
      <c r="AW331">
        <v>3.16</v>
      </c>
      <c r="AX331">
        <v>7.86</v>
      </c>
      <c r="AY331">
        <v>4185</v>
      </c>
      <c r="AZ331">
        <v>19123</v>
      </c>
      <c r="BA331">
        <v>12016</v>
      </c>
      <c r="BC331">
        <v>8.0399999999999991</v>
      </c>
      <c r="BD331">
        <v>6.79</v>
      </c>
      <c r="BF331">
        <v>125</v>
      </c>
    </row>
    <row r="332" spans="1:58" x14ac:dyDescent="0.25">
      <c r="A332" t="s">
        <v>364</v>
      </c>
      <c r="B332" t="s">
        <v>237</v>
      </c>
      <c r="C332" t="s">
        <v>360</v>
      </c>
      <c r="D332" t="s">
        <v>677</v>
      </c>
      <c r="E332">
        <v>22.08</v>
      </c>
      <c r="F332">
        <v>458</v>
      </c>
      <c r="G332">
        <v>17.14</v>
      </c>
      <c r="H332">
        <v>41.28</v>
      </c>
      <c r="I332">
        <v>3.2</v>
      </c>
      <c r="J332">
        <v>13.68</v>
      </c>
      <c r="K332">
        <v>11.27</v>
      </c>
      <c r="L332">
        <v>2.41</v>
      </c>
      <c r="M332">
        <v>2.63</v>
      </c>
      <c r="Q332">
        <v>0.02</v>
      </c>
      <c r="R332">
        <v>7.0000000000000007E-2</v>
      </c>
      <c r="S332">
        <v>0.76</v>
      </c>
      <c r="T332">
        <v>0.32</v>
      </c>
      <c r="U332">
        <v>41.5</v>
      </c>
      <c r="W332">
        <v>200</v>
      </c>
      <c r="X332">
        <v>548</v>
      </c>
      <c r="Y332">
        <v>123</v>
      </c>
      <c r="Z332">
        <v>7.67</v>
      </c>
      <c r="AA332">
        <v>331</v>
      </c>
      <c r="AB332">
        <v>2.79</v>
      </c>
      <c r="AC332">
        <v>1.36</v>
      </c>
      <c r="AD332">
        <v>2.13</v>
      </c>
      <c r="AE332">
        <v>4.54</v>
      </c>
      <c r="AF332">
        <v>56.14</v>
      </c>
      <c r="AG332">
        <v>1.1200000000000001</v>
      </c>
      <c r="AH332">
        <v>8.18</v>
      </c>
      <c r="AI332">
        <v>3.07</v>
      </c>
      <c r="AJ332">
        <v>4.3600000000000003</v>
      </c>
      <c r="AK332">
        <v>19.34</v>
      </c>
      <c r="AL332">
        <v>4.68</v>
      </c>
      <c r="AM332">
        <v>5.97</v>
      </c>
      <c r="AN332">
        <v>4.04</v>
      </c>
      <c r="AO332">
        <v>1.3</v>
      </c>
      <c r="AP332">
        <v>4.6100000000000003</v>
      </c>
      <c r="AQ332">
        <v>0.99</v>
      </c>
      <c r="AR332">
        <v>4.0599999999999996</v>
      </c>
      <c r="AS332">
        <v>6.83</v>
      </c>
      <c r="AT332">
        <v>3.64</v>
      </c>
      <c r="AU332">
        <v>6.57</v>
      </c>
      <c r="AV332">
        <v>2.5499999999999998</v>
      </c>
      <c r="AW332">
        <v>3.39</v>
      </c>
      <c r="AX332">
        <v>14.35</v>
      </c>
      <c r="AY332">
        <v>15825</v>
      </c>
      <c r="AZ332">
        <v>12616</v>
      </c>
      <c r="BA332">
        <v>10774</v>
      </c>
      <c r="BC332">
        <v>0.04</v>
      </c>
      <c r="BD332">
        <v>3.01</v>
      </c>
      <c r="BF332">
        <v>8.52</v>
      </c>
    </row>
    <row r="333" spans="1:58" x14ac:dyDescent="0.25">
      <c r="A333" t="s">
        <v>364</v>
      </c>
      <c r="B333" t="s">
        <v>238</v>
      </c>
      <c r="C333" t="s">
        <v>360</v>
      </c>
      <c r="D333" t="s">
        <v>678</v>
      </c>
      <c r="E333">
        <v>3.64</v>
      </c>
      <c r="F333">
        <v>671</v>
      </c>
      <c r="G333">
        <v>14.6</v>
      </c>
      <c r="H333">
        <v>64.31</v>
      </c>
      <c r="I333">
        <v>10.49</v>
      </c>
      <c r="J333">
        <v>5.32</v>
      </c>
      <c r="K333">
        <v>4.66</v>
      </c>
      <c r="L333">
        <v>0.66</v>
      </c>
      <c r="M333">
        <v>1.65</v>
      </c>
      <c r="N333">
        <v>1.84</v>
      </c>
      <c r="P333">
        <v>0.41</v>
      </c>
      <c r="Q333">
        <v>0.12</v>
      </c>
      <c r="R333">
        <v>0.88</v>
      </c>
      <c r="S333">
        <v>0.86</v>
      </c>
      <c r="T333">
        <v>0.89</v>
      </c>
      <c r="U333">
        <v>62.28</v>
      </c>
      <c r="V333">
        <v>0.84</v>
      </c>
      <c r="W333">
        <v>104</v>
      </c>
      <c r="X333">
        <v>464</v>
      </c>
      <c r="Y333">
        <v>160</v>
      </c>
      <c r="Z333">
        <v>0.83</v>
      </c>
      <c r="AA333">
        <v>435</v>
      </c>
      <c r="AB333">
        <v>3.24</v>
      </c>
      <c r="AC333">
        <v>3</v>
      </c>
      <c r="AD333">
        <v>1.29</v>
      </c>
      <c r="AE333">
        <v>2.69</v>
      </c>
      <c r="AF333">
        <v>4.6100000000000003</v>
      </c>
      <c r="AG333">
        <v>1.1000000000000001</v>
      </c>
      <c r="AH333">
        <v>10.53</v>
      </c>
      <c r="AI333">
        <v>3.07</v>
      </c>
      <c r="AJ333">
        <v>6.54</v>
      </c>
      <c r="AK333">
        <v>20.55</v>
      </c>
      <c r="AL333">
        <v>3.4</v>
      </c>
      <c r="AM333">
        <v>5.36</v>
      </c>
      <c r="AN333">
        <v>5.66</v>
      </c>
      <c r="AO333">
        <v>1.29</v>
      </c>
      <c r="AP333">
        <v>5.4</v>
      </c>
      <c r="AQ333">
        <v>0.67</v>
      </c>
      <c r="AR333">
        <v>4.7300000000000004</v>
      </c>
      <c r="AS333">
        <v>6.41</v>
      </c>
      <c r="AT333">
        <v>2.84</v>
      </c>
      <c r="AU333">
        <v>4.78</v>
      </c>
      <c r="AV333">
        <v>2.5</v>
      </c>
      <c r="AW333">
        <v>2.4</v>
      </c>
      <c r="AX333">
        <v>13.5</v>
      </c>
      <c r="AY333">
        <v>5129</v>
      </c>
      <c r="AZ333">
        <v>11627</v>
      </c>
      <c r="BA333">
        <v>44722</v>
      </c>
      <c r="BC333">
        <v>3.38</v>
      </c>
      <c r="BD333">
        <v>6.95</v>
      </c>
    </row>
    <row r="334" spans="1:58" x14ac:dyDescent="0.25">
      <c r="A334" t="s">
        <v>364</v>
      </c>
      <c r="B334" t="s">
        <v>342</v>
      </c>
      <c r="C334" t="s">
        <v>361</v>
      </c>
      <c r="D334" t="s">
        <v>241</v>
      </c>
      <c r="F334">
        <v>900</v>
      </c>
      <c r="H334">
        <v>100</v>
      </c>
      <c r="AY334">
        <v>15.4</v>
      </c>
      <c r="AZ334">
        <v>28.81</v>
      </c>
      <c r="BA334">
        <v>55.83</v>
      </c>
    </row>
    <row r="335" spans="1:58" x14ac:dyDescent="0.25">
      <c r="A335" t="s">
        <v>364</v>
      </c>
      <c r="B335" t="s">
        <v>343</v>
      </c>
      <c r="C335" t="s">
        <v>361</v>
      </c>
      <c r="D335" t="s">
        <v>242</v>
      </c>
      <c r="E335">
        <v>16</v>
      </c>
      <c r="F335">
        <v>750</v>
      </c>
      <c r="G335">
        <v>0.3</v>
      </c>
      <c r="H335">
        <v>83.3</v>
      </c>
      <c r="M335">
        <v>0.4</v>
      </c>
      <c r="AY335">
        <v>31.3</v>
      </c>
      <c r="AZ335">
        <v>27.5</v>
      </c>
      <c r="BA335">
        <v>15.9</v>
      </c>
    </row>
    <row r="336" spans="1:58" x14ac:dyDescent="0.25">
      <c r="A336" t="s">
        <v>364</v>
      </c>
      <c r="B336" t="s">
        <v>344</v>
      </c>
      <c r="C336" t="s">
        <v>361</v>
      </c>
      <c r="D336" t="s">
        <v>243</v>
      </c>
      <c r="F336">
        <v>900</v>
      </c>
      <c r="H336">
        <v>100</v>
      </c>
      <c r="AY336">
        <v>5.72</v>
      </c>
      <c r="AZ336">
        <v>67.09</v>
      </c>
      <c r="BA336">
        <v>27.19</v>
      </c>
    </row>
    <row r="337" spans="1:58" x14ac:dyDescent="0.25">
      <c r="A337" t="s">
        <v>364</v>
      </c>
      <c r="B337" t="s">
        <v>345</v>
      </c>
      <c r="C337" t="s">
        <v>361</v>
      </c>
      <c r="D337" t="s">
        <v>244</v>
      </c>
      <c r="F337">
        <v>900</v>
      </c>
      <c r="H337">
        <v>100</v>
      </c>
      <c r="AY337">
        <v>16.22</v>
      </c>
      <c r="AZ337">
        <v>75.91</v>
      </c>
      <c r="BA337">
        <v>7.83</v>
      </c>
    </row>
    <row r="338" spans="1:58" x14ac:dyDescent="0.25">
      <c r="A338" t="s">
        <v>364</v>
      </c>
      <c r="B338" t="s">
        <v>346</v>
      </c>
      <c r="C338" t="s">
        <v>361</v>
      </c>
      <c r="D338" t="s">
        <v>245</v>
      </c>
      <c r="F338">
        <v>900</v>
      </c>
      <c r="H338">
        <v>100</v>
      </c>
      <c r="AY338">
        <v>44.32</v>
      </c>
      <c r="AZ338">
        <v>44.3</v>
      </c>
      <c r="BA338">
        <v>11.36</v>
      </c>
    </row>
    <row r="339" spans="1:58" x14ac:dyDescent="0.25">
      <c r="A339" t="s">
        <v>364</v>
      </c>
      <c r="B339" t="s">
        <v>347</v>
      </c>
      <c r="C339" t="s">
        <v>361</v>
      </c>
      <c r="D339" t="s">
        <v>246</v>
      </c>
      <c r="F339">
        <v>900</v>
      </c>
      <c r="H339">
        <v>100</v>
      </c>
      <c r="AY339">
        <v>17.399999999999999</v>
      </c>
      <c r="AZ339">
        <v>50.47</v>
      </c>
      <c r="BA339">
        <v>32.1</v>
      </c>
    </row>
    <row r="340" spans="1:58" x14ac:dyDescent="0.25">
      <c r="A340" t="s">
        <v>364</v>
      </c>
      <c r="B340" t="s">
        <v>348</v>
      </c>
      <c r="C340" t="s">
        <v>361</v>
      </c>
      <c r="D340" t="s">
        <v>247</v>
      </c>
      <c r="F340">
        <v>900</v>
      </c>
      <c r="H340">
        <v>100</v>
      </c>
      <c r="AY340">
        <v>24.1</v>
      </c>
      <c r="AZ340">
        <v>42.2</v>
      </c>
      <c r="BA340">
        <v>33.700000000000003</v>
      </c>
    </row>
    <row r="341" spans="1:58" x14ac:dyDescent="0.25">
      <c r="A341" t="s">
        <v>364</v>
      </c>
      <c r="B341" t="s">
        <v>349</v>
      </c>
      <c r="C341" t="s">
        <v>361</v>
      </c>
      <c r="D341" t="s">
        <v>248</v>
      </c>
      <c r="F341">
        <v>900</v>
      </c>
      <c r="H341">
        <v>100</v>
      </c>
      <c r="AY341">
        <v>17.37</v>
      </c>
      <c r="AZ341">
        <v>40.700000000000003</v>
      </c>
      <c r="BA341">
        <v>41.93</v>
      </c>
    </row>
    <row r="342" spans="1:58" x14ac:dyDescent="0.25">
      <c r="A342" t="s">
        <v>364</v>
      </c>
      <c r="B342" t="s">
        <v>350</v>
      </c>
      <c r="C342" t="s">
        <v>361</v>
      </c>
      <c r="D342" t="s">
        <v>249</v>
      </c>
      <c r="F342">
        <v>900</v>
      </c>
      <c r="H342">
        <v>100</v>
      </c>
      <c r="AY342">
        <v>15.96</v>
      </c>
      <c r="AZ342">
        <v>24.16</v>
      </c>
      <c r="BA342">
        <v>59.88</v>
      </c>
    </row>
    <row r="343" spans="1:58" x14ac:dyDescent="0.25">
      <c r="A343" t="s">
        <v>364</v>
      </c>
      <c r="B343" t="s">
        <v>351</v>
      </c>
      <c r="C343" t="s">
        <v>361</v>
      </c>
      <c r="D343" t="s">
        <v>250</v>
      </c>
      <c r="F343">
        <v>900</v>
      </c>
      <c r="H343">
        <v>100</v>
      </c>
      <c r="AY343">
        <v>11.71</v>
      </c>
      <c r="AZ343">
        <v>26.74</v>
      </c>
      <c r="BA343">
        <v>61.55</v>
      </c>
    </row>
    <row r="344" spans="1:58" x14ac:dyDescent="0.25">
      <c r="A344" t="s">
        <v>364</v>
      </c>
      <c r="B344" t="s">
        <v>252</v>
      </c>
      <c r="C344" t="s">
        <v>362</v>
      </c>
      <c r="D344" t="s">
        <v>588</v>
      </c>
      <c r="E344">
        <v>84.85</v>
      </c>
      <c r="F344">
        <v>44</v>
      </c>
      <c r="G344">
        <v>2.21</v>
      </c>
      <c r="H344">
        <v>0.75</v>
      </c>
      <c r="I344">
        <v>6.26</v>
      </c>
      <c r="J344">
        <v>5.09</v>
      </c>
      <c r="K344">
        <v>3.25</v>
      </c>
      <c r="L344">
        <v>1.84</v>
      </c>
      <c r="M344">
        <v>0.85</v>
      </c>
      <c r="N344">
        <v>32.159999999999997</v>
      </c>
      <c r="P344">
        <v>7.0000000000000007E-2</v>
      </c>
      <c r="Q344">
        <v>0.06</v>
      </c>
      <c r="R344">
        <v>0.84</v>
      </c>
      <c r="S344">
        <v>0.2</v>
      </c>
      <c r="T344">
        <v>0.23</v>
      </c>
      <c r="U344">
        <v>19.03</v>
      </c>
      <c r="V344">
        <v>105</v>
      </c>
      <c r="W344">
        <v>15.36</v>
      </c>
      <c r="X344">
        <v>49.55</v>
      </c>
      <c r="Y344">
        <v>29.99</v>
      </c>
      <c r="Z344">
        <v>2.59</v>
      </c>
      <c r="AA344">
        <v>317</v>
      </c>
      <c r="AB344">
        <v>1.27</v>
      </c>
      <c r="AC344">
        <v>0.21</v>
      </c>
      <c r="AD344">
        <v>0.12</v>
      </c>
      <c r="AE344">
        <v>0.24</v>
      </c>
      <c r="AG344">
        <v>0.96</v>
      </c>
      <c r="AH344">
        <v>16.75</v>
      </c>
      <c r="AI344">
        <v>3.73</v>
      </c>
      <c r="AJ344">
        <v>4.7300000000000004</v>
      </c>
      <c r="AK344">
        <v>19.82</v>
      </c>
      <c r="AL344">
        <v>2.73</v>
      </c>
      <c r="AM344">
        <v>4.76</v>
      </c>
      <c r="AN344">
        <v>4.6399999999999997</v>
      </c>
      <c r="AO344">
        <v>1.5</v>
      </c>
      <c r="AP344">
        <v>4.74</v>
      </c>
      <c r="AQ344">
        <v>0.95</v>
      </c>
      <c r="AR344">
        <v>3.55</v>
      </c>
      <c r="AS344">
        <v>5.29</v>
      </c>
      <c r="AT344">
        <v>2.9</v>
      </c>
      <c r="AU344">
        <v>5.17</v>
      </c>
      <c r="AV344">
        <v>1.72</v>
      </c>
      <c r="AW344">
        <v>4.24</v>
      </c>
      <c r="AX344">
        <v>5.0599999999999996</v>
      </c>
      <c r="AY344">
        <v>135</v>
      </c>
      <c r="AZ344">
        <v>36.94</v>
      </c>
      <c r="BA344">
        <v>428</v>
      </c>
      <c r="BC344">
        <v>0.55000000000000004</v>
      </c>
      <c r="BD344">
        <v>1.86</v>
      </c>
      <c r="BF344">
        <v>193</v>
      </c>
    </row>
    <row r="345" spans="1:58" x14ac:dyDescent="0.25">
      <c r="A345" t="s">
        <v>364</v>
      </c>
      <c r="B345" t="s">
        <v>254</v>
      </c>
      <c r="C345" t="s">
        <v>362</v>
      </c>
      <c r="D345" t="s">
        <v>591</v>
      </c>
      <c r="E345">
        <v>87.09</v>
      </c>
      <c r="F345">
        <v>31</v>
      </c>
      <c r="G345">
        <v>3.27</v>
      </c>
      <c r="H345">
        <v>0.71</v>
      </c>
      <c r="I345">
        <v>2.25</v>
      </c>
      <c r="J345">
        <v>4.54</v>
      </c>
      <c r="K345">
        <v>3.18</v>
      </c>
      <c r="L345">
        <v>1.36</v>
      </c>
      <c r="M345">
        <v>2.14</v>
      </c>
      <c r="N345">
        <v>586</v>
      </c>
      <c r="P345">
        <v>0.09</v>
      </c>
      <c r="Q345">
        <v>0.05</v>
      </c>
      <c r="R345">
        <v>0.75</v>
      </c>
      <c r="S345">
        <v>0.68</v>
      </c>
      <c r="T345">
        <v>0.19</v>
      </c>
      <c r="U345">
        <v>53.4</v>
      </c>
      <c r="V345">
        <v>29.71</v>
      </c>
      <c r="W345">
        <v>142</v>
      </c>
      <c r="X345">
        <v>43.3</v>
      </c>
      <c r="Y345">
        <v>49.97</v>
      </c>
      <c r="Z345">
        <v>46.5</v>
      </c>
      <c r="AA345">
        <v>373</v>
      </c>
      <c r="AB345">
        <v>7.87</v>
      </c>
      <c r="AC345">
        <v>0.62</v>
      </c>
      <c r="AD345">
        <v>0.21</v>
      </c>
      <c r="AE345">
        <v>0.49</v>
      </c>
      <c r="AF345">
        <v>0.32</v>
      </c>
      <c r="AG345">
        <v>1.01</v>
      </c>
      <c r="AH345">
        <v>12.39</v>
      </c>
      <c r="AI345">
        <v>4.12</v>
      </c>
      <c r="AJ345">
        <v>3.71</v>
      </c>
      <c r="AK345">
        <v>12.72</v>
      </c>
      <c r="AL345">
        <v>4.25</v>
      </c>
      <c r="AM345">
        <v>5.69</v>
      </c>
      <c r="AN345">
        <v>6.16</v>
      </c>
      <c r="AO345">
        <v>0.69</v>
      </c>
      <c r="AP345">
        <v>6.83</v>
      </c>
      <c r="AQ345">
        <v>1.37</v>
      </c>
      <c r="AR345">
        <v>4.57</v>
      </c>
      <c r="AS345">
        <v>6.93</v>
      </c>
      <c r="AT345">
        <v>3.18</v>
      </c>
      <c r="AU345">
        <v>5.63</v>
      </c>
      <c r="AV345">
        <v>1.99</v>
      </c>
      <c r="AW345">
        <v>4.93</v>
      </c>
      <c r="AX345">
        <v>5.3</v>
      </c>
      <c r="AY345">
        <v>234</v>
      </c>
      <c r="AZ345">
        <v>9.43</v>
      </c>
      <c r="BA345">
        <v>314</v>
      </c>
      <c r="BC345">
        <v>0.21</v>
      </c>
      <c r="BD345">
        <v>1.18</v>
      </c>
      <c r="BF345">
        <v>3516</v>
      </c>
    </row>
    <row r="346" spans="1:58" x14ac:dyDescent="0.25">
      <c r="A346" t="s">
        <v>364</v>
      </c>
      <c r="B346" t="s">
        <v>257</v>
      </c>
      <c r="C346" t="s">
        <v>362</v>
      </c>
      <c r="D346" t="s">
        <v>597</v>
      </c>
      <c r="E346">
        <v>84.43</v>
      </c>
      <c r="F346">
        <v>41</v>
      </c>
      <c r="G346">
        <v>1.22</v>
      </c>
      <c r="H346">
        <v>0.67</v>
      </c>
      <c r="I346">
        <v>7.08</v>
      </c>
      <c r="J346">
        <v>5</v>
      </c>
      <c r="K346">
        <v>3.81</v>
      </c>
      <c r="L346">
        <v>1.19</v>
      </c>
      <c r="M346">
        <v>1.61</v>
      </c>
      <c r="N346">
        <v>10.59</v>
      </c>
      <c r="P346">
        <v>0.02</v>
      </c>
      <c r="Q346">
        <v>7.0000000000000007E-2</v>
      </c>
      <c r="R346">
        <v>0.45</v>
      </c>
      <c r="S346">
        <v>0.27</v>
      </c>
      <c r="T346">
        <v>0.18</v>
      </c>
      <c r="U346">
        <v>22.08</v>
      </c>
      <c r="V346">
        <v>1.33</v>
      </c>
      <c r="W346">
        <v>11.53</v>
      </c>
      <c r="X346">
        <v>73.48</v>
      </c>
      <c r="Y346">
        <v>29.62</v>
      </c>
      <c r="Z346">
        <v>5.81</v>
      </c>
      <c r="AA346">
        <v>381</v>
      </c>
      <c r="AB346">
        <v>3.78</v>
      </c>
      <c r="AC346">
        <v>0.93</v>
      </c>
      <c r="AD346">
        <v>0.1</v>
      </c>
      <c r="AE346">
        <v>0.32</v>
      </c>
      <c r="AG346">
        <v>1.28</v>
      </c>
      <c r="AH346">
        <v>16.11</v>
      </c>
      <c r="AI346">
        <v>4.95</v>
      </c>
      <c r="AJ346">
        <v>4.38</v>
      </c>
      <c r="AK346">
        <v>14.33</v>
      </c>
      <c r="AL346">
        <v>5.35</v>
      </c>
      <c r="AM346">
        <v>5.76</v>
      </c>
      <c r="AN346">
        <v>5.25</v>
      </c>
      <c r="AO346">
        <v>0.61</v>
      </c>
      <c r="AP346">
        <v>5.1100000000000003</v>
      </c>
      <c r="AQ346">
        <v>1.1200000000000001</v>
      </c>
      <c r="AR346">
        <v>5.05</v>
      </c>
      <c r="AS346">
        <v>9.89</v>
      </c>
      <c r="AT346">
        <v>3.11</v>
      </c>
      <c r="AU346">
        <v>4.21</v>
      </c>
      <c r="AV346">
        <v>2.2000000000000002</v>
      </c>
      <c r="AW346">
        <v>1.23</v>
      </c>
      <c r="AX346">
        <v>3.51</v>
      </c>
      <c r="AY346">
        <v>167</v>
      </c>
      <c r="AZ346">
        <v>48.77</v>
      </c>
      <c r="BA346">
        <v>320</v>
      </c>
      <c r="BC346">
        <v>2.35</v>
      </c>
      <c r="BD346">
        <v>1.78</v>
      </c>
      <c r="BF346">
        <v>63.54</v>
      </c>
    </row>
    <row r="347" spans="1:58" x14ac:dyDescent="0.25">
      <c r="A347" t="s">
        <v>364</v>
      </c>
      <c r="B347" t="s">
        <v>258</v>
      </c>
      <c r="C347" t="s">
        <v>362</v>
      </c>
      <c r="D347" t="s">
        <v>598</v>
      </c>
      <c r="E347">
        <v>83.71</v>
      </c>
      <c r="F347">
        <v>37</v>
      </c>
      <c r="G347">
        <v>4.72</v>
      </c>
      <c r="H347">
        <v>0.7</v>
      </c>
      <c r="I347">
        <v>2.3199999999999998</v>
      </c>
      <c r="J347">
        <v>6.09</v>
      </c>
      <c r="K347">
        <v>4.74</v>
      </c>
      <c r="L347">
        <v>1.35</v>
      </c>
      <c r="M347">
        <v>2.4700000000000002</v>
      </c>
      <c r="N347">
        <v>672</v>
      </c>
      <c r="P347">
        <v>0.02</v>
      </c>
      <c r="Q347">
        <v>0.23</v>
      </c>
      <c r="R347">
        <v>0.81</v>
      </c>
      <c r="S347">
        <v>0.35</v>
      </c>
      <c r="T347">
        <v>0.2</v>
      </c>
      <c r="U347">
        <v>103</v>
      </c>
      <c r="V347">
        <v>19.39</v>
      </c>
      <c r="W347">
        <v>222</v>
      </c>
      <c r="X347">
        <v>91.58</v>
      </c>
      <c r="Y347">
        <v>153</v>
      </c>
      <c r="Z347">
        <v>12.41</v>
      </c>
      <c r="AA347">
        <v>535</v>
      </c>
      <c r="AB347">
        <v>10.6</v>
      </c>
      <c r="AC347">
        <v>2</v>
      </c>
      <c r="AD347">
        <v>0.33</v>
      </c>
      <c r="AE347">
        <v>0.85</v>
      </c>
      <c r="AF347">
        <v>12.46</v>
      </c>
      <c r="AG347">
        <v>1.1499999999999999</v>
      </c>
      <c r="AH347">
        <v>13.23</v>
      </c>
      <c r="AI347">
        <v>4.16</v>
      </c>
      <c r="AJ347">
        <v>4.33</v>
      </c>
      <c r="AK347">
        <v>15.46</v>
      </c>
      <c r="AL347">
        <v>4.0599999999999996</v>
      </c>
      <c r="AM347">
        <v>4.75</v>
      </c>
      <c r="AN347">
        <v>5.26</v>
      </c>
      <c r="AO347">
        <v>0.65</v>
      </c>
      <c r="AP347">
        <v>5.51</v>
      </c>
      <c r="AQ347">
        <v>1.5</v>
      </c>
      <c r="AR347">
        <v>4.12</v>
      </c>
      <c r="AS347">
        <v>7.89</v>
      </c>
      <c r="AT347">
        <v>3.14</v>
      </c>
      <c r="AU347">
        <v>4.84</v>
      </c>
      <c r="AV347">
        <v>1.69</v>
      </c>
      <c r="AW347">
        <v>2.89</v>
      </c>
      <c r="AX347">
        <v>4.84</v>
      </c>
      <c r="AY347">
        <v>119</v>
      </c>
      <c r="AZ347">
        <v>12.72</v>
      </c>
      <c r="BA347">
        <v>332</v>
      </c>
      <c r="BC347">
        <v>0.06</v>
      </c>
      <c r="BD347">
        <v>1.05</v>
      </c>
      <c r="BF347">
        <v>4032</v>
      </c>
    </row>
    <row r="348" spans="1:58" x14ac:dyDescent="0.25">
      <c r="A348" t="s">
        <v>364</v>
      </c>
      <c r="B348" t="s">
        <v>336</v>
      </c>
      <c r="C348" t="s">
        <v>362</v>
      </c>
      <c r="D348" t="s">
        <v>599</v>
      </c>
      <c r="E348">
        <v>15.18</v>
      </c>
      <c r="F348">
        <v>466</v>
      </c>
      <c r="G348">
        <v>6.08</v>
      </c>
      <c r="H348">
        <v>36.549999999999997</v>
      </c>
      <c r="I348">
        <v>28.54</v>
      </c>
      <c r="J348">
        <v>11.66</v>
      </c>
      <c r="K348">
        <v>10.26</v>
      </c>
      <c r="L348">
        <v>1.4</v>
      </c>
      <c r="M348">
        <v>1.99</v>
      </c>
      <c r="N348">
        <v>2.63</v>
      </c>
      <c r="P348">
        <v>7.0000000000000007E-2</v>
      </c>
      <c r="Q348">
        <v>0.06</v>
      </c>
      <c r="R348">
        <v>0.5</v>
      </c>
      <c r="S348">
        <v>0.39</v>
      </c>
      <c r="T348">
        <v>0.1</v>
      </c>
      <c r="U348">
        <v>72.42</v>
      </c>
      <c r="W348">
        <v>146</v>
      </c>
      <c r="X348">
        <v>247</v>
      </c>
      <c r="Y348">
        <v>185</v>
      </c>
      <c r="Z348">
        <v>14.32</v>
      </c>
      <c r="AA348">
        <v>474</v>
      </c>
      <c r="AB348">
        <v>2.09</v>
      </c>
      <c r="AC348">
        <v>3.54</v>
      </c>
      <c r="AD348">
        <v>1.1100000000000001</v>
      </c>
      <c r="AE348">
        <v>1.31</v>
      </c>
      <c r="AF348">
        <v>1.59</v>
      </c>
      <c r="AG348">
        <v>0.94</v>
      </c>
      <c r="AH348">
        <v>10.86</v>
      </c>
      <c r="AI348">
        <v>3.39</v>
      </c>
      <c r="AJ348">
        <v>6.71</v>
      </c>
      <c r="AK348">
        <v>16.63</v>
      </c>
      <c r="AL348">
        <v>5.47</v>
      </c>
      <c r="AM348">
        <v>5.61</v>
      </c>
      <c r="AN348">
        <v>6.68</v>
      </c>
      <c r="AO348">
        <v>0.72</v>
      </c>
      <c r="AP348">
        <v>3.44</v>
      </c>
      <c r="AQ348">
        <v>1.03</v>
      </c>
      <c r="AR348">
        <v>2.2400000000000002</v>
      </c>
      <c r="AS348">
        <v>5.5</v>
      </c>
      <c r="AT348">
        <v>2.66</v>
      </c>
      <c r="AU348">
        <v>4.3099999999999996</v>
      </c>
      <c r="AV348">
        <v>1.63</v>
      </c>
      <c r="AW348">
        <v>3.74</v>
      </c>
      <c r="AX348">
        <v>7.6</v>
      </c>
      <c r="AY348">
        <v>3262</v>
      </c>
      <c r="AZ348">
        <v>1732</v>
      </c>
      <c r="BA348">
        <v>382</v>
      </c>
      <c r="BC348">
        <v>0.99</v>
      </c>
      <c r="BD348">
        <v>26.56</v>
      </c>
      <c r="BF348">
        <v>15.82</v>
      </c>
    </row>
    <row r="349" spans="1:58" x14ac:dyDescent="0.25">
      <c r="A349" t="s">
        <v>364</v>
      </c>
      <c r="B349" t="s">
        <v>266</v>
      </c>
      <c r="C349" t="s">
        <v>363</v>
      </c>
      <c r="D349" t="s">
        <v>263</v>
      </c>
      <c r="E349">
        <v>94.5</v>
      </c>
      <c r="F349">
        <v>20</v>
      </c>
      <c r="G349">
        <v>0.6</v>
      </c>
      <c r="H349">
        <v>0.3</v>
      </c>
      <c r="I349">
        <v>3.2</v>
      </c>
      <c r="J349">
        <v>1.1000000000000001</v>
      </c>
      <c r="M349">
        <v>0.3</v>
      </c>
      <c r="P349">
        <v>0.06</v>
      </c>
      <c r="Q349">
        <v>0.03</v>
      </c>
      <c r="R349">
        <v>0.1</v>
      </c>
      <c r="T349">
        <v>0.03</v>
      </c>
      <c r="U349">
        <v>3</v>
      </c>
      <c r="V349">
        <v>3.3</v>
      </c>
      <c r="W349">
        <v>20</v>
      </c>
      <c r="X349">
        <v>18</v>
      </c>
      <c r="Y349">
        <v>25</v>
      </c>
      <c r="Z349">
        <v>96</v>
      </c>
      <c r="AA349">
        <v>260</v>
      </c>
      <c r="AB349">
        <v>0.2</v>
      </c>
      <c r="AD349">
        <v>0.04</v>
      </c>
      <c r="AE349">
        <v>0.1</v>
      </c>
    </row>
    <row r="350" spans="1:58" x14ac:dyDescent="0.25">
      <c r="A350" t="s">
        <v>364</v>
      </c>
      <c r="B350" t="s">
        <v>264</v>
      </c>
      <c r="C350" t="s">
        <v>363</v>
      </c>
      <c r="D350" t="s">
        <v>265</v>
      </c>
      <c r="E350">
        <v>98.41</v>
      </c>
      <c r="F350">
        <v>4</v>
      </c>
      <c r="G350">
        <v>0.28999999999999998</v>
      </c>
      <c r="I350">
        <v>0.71</v>
      </c>
      <c r="M350">
        <v>0.6</v>
      </c>
      <c r="R350">
        <v>0.04</v>
      </c>
      <c r="S350">
        <v>0.4</v>
      </c>
      <c r="T350">
        <v>0.03</v>
      </c>
      <c r="U350">
        <v>6.15</v>
      </c>
      <c r="W350">
        <v>8.98</v>
      </c>
      <c r="X350">
        <v>35.97</v>
      </c>
      <c r="Y350">
        <v>24.36</v>
      </c>
      <c r="Z350">
        <v>63.98</v>
      </c>
      <c r="AA350">
        <v>304</v>
      </c>
      <c r="AB350">
        <v>0.16</v>
      </c>
      <c r="AC350">
        <v>1.1100000000000001</v>
      </c>
      <c r="AD350">
        <v>0.05</v>
      </c>
      <c r="AE350">
        <v>0.81</v>
      </c>
      <c r="AF350">
        <v>4.93</v>
      </c>
      <c r="BC350">
        <v>0.7</v>
      </c>
    </row>
    <row r="351" spans="1:58" x14ac:dyDescent="0.25">
      <c r="A351" t="s">
        <v>369</v>
      </c>
      <c r="B351" t="s">
        <v>462</v>
      </c>
      <c r="C351" t="s">
        <v>352</v>
      </c>
      <c r="D351" t="s">
        <v>461</v>
      </c>
      <c r="E351">
        <v>6.51</v>
      </c>
      <c r="F351">
        <v>395</v>
      </c>
      <c r="G351">
        <v>13.4</v>
      </c>
      <c r="H351">
        <v>5.3</v>
      </c>
      <c r="I351">
        <v>72</v>
      </c>
      <c r="J351">
        <v>4.5</v>
      </c>
      <c r="M351">
        <v>2.87</v>
      </c>
      <c r="N351">
        <v>0</v>
      </c>
      <c r="O351">
        <v>0</v>
      </c>
      <c r="P351">
        <v>0.96699999999999997</v>
      </c>
      <c r="Q351">
        <v>0.40300000000000002</v>
      </c>
      <c r="R351">
        <v>6.63</v>
      </c>
      <c r="S351">
        <v>0.55200000000000005</v>
      </c>
      <c r="T351">
        <v>0.121</v>
      </c>
      <c r="U351">
        <v>107</v>
      </c>
      <c r="V351">
        <v>0</v>
      </c>
      <c r="W351">
        <v>183</v>
      </c>
      <c r="X351">
        <v>165</v>
      </c>
      <c r="Y351">
        <v>43</v>
      </c>
      <c r="Z351">
        <v>732</v>
      </c>
      <c r="AA351">
        <v>196</v>
      </c>
      <c r="AB351">
        <v>4.83</v>
      </c>
      <c r="AC351">
        <v>0.91900000000000004</v>
      </c>
      <c r="AD351">
        <v>0.255</v>
      </c>
      <c r="AE351">
        <v>1.45</v>
      </c>
      <c r="AF351">
        <v>25.2</v>
      </c>
      <c r="AY351">
        <v>1.2</v>
      </c>
      <c r="AZ351">
        <v>1.02</v>
      </c>
      <c r="BA351">
        <v>2.06</v>
      </c>
      <c r="BD351">
        <v>59.7</v>
      </c>
      <c r="BE351">
        <v>0</v>
      </c>
      <c r="BF351">
        <v>0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1065-2D62-4C84-B85E-268538872C89}">
  <dimension ref="A1:AL61"/>
  <sheetViews>
    <sheetView topLeftCell="D1" workbookViewId="0">
      <pane xSplit="5" ySplit="1" topLeftCell="V2" activePane="bottomRight" state="frozen"/>
      <selection activeCell="D1" sqref="D1"/>
      <selection pane="topRight" activeCell="I1" sqref="I1"/>
      <selection pane="bottomLeft" activeCell="D2" sqref="D2"/>
      <selection pane="bottomRight" activeCell="Y22" sqref="Y22"/>
    </sheetView>
  </sheetViews>
  <sheetFormatPr defaultColWidth="7.28515625" defaultRowHeight="15" x14ac:dyDescent="0.25"/>
  <cols>
    <col min="1" max="2" width="6.42578125" style="3" customWidth="1"/>
    <col min="3" max="3" width="25.5703125" style="3" bestFit="1" customWidth="1"/>
    <col min="4" max="4" width="5.85546875" style="3" customWidth="1"/>
    <col min="5" max="5" width="11.42578125" style="3" bestFit="1" customWidth="1"/>
    <col min="6" max="6" width="16.28515625" style="3" bestFit="1" customWidth="1"/>
    <col min="7" max="7" width="7.7109375" style="3" bestFit="1" customWidth="1"/>
    <col min="8" max="8" width="41.140625" style="3" bestFit="1" customWidth="1"/>
    <col min="9" max="9" width="9.28515625" style="2" bestFit="1" customWidth="1"/>
    <col min="10" max="10" width="8.7109375" style="2" bestFit="1" customWidth="1"/>
    <col min="11" max="11" width="10.42578125" style="2" bestFit="1" customWidth="1"/>
    <col min="12" max="12" width="11.5703125" style="2" bestFit="1" customWidth="1"/>
    <col min="13" max="13" width="12.140625" style="2" bestFit="1" customWidth="1"/>
    <col min="14" max="14" width="13.140625" style="2" bestFit="1" customWidth="1"/>
    <col min="15" max="15" width="9.7109375" style="2" bestFit="1" customWidth="1"/>
    <col min="16" max="16" width="14.85546875" style="2" bestFit="1" customWidth="1"/>
    <col min="17" max="17" width="8.28515625" style="2" bestFit="1" customWidth="1"/>
    <col min="18" max="18" width="7.28515625" style="2" bestFit="1" customWidth="1"/>
    <col min="19" max="19" width="5.28515625" style="2" bestFit="1" customWidth="1"/>
    <col min="20" max="20" width="5.5703125" style="2" bestFit="1" customWidth="1"/>
    <col min="21" max="21" width="7.28515625" style="2" bestFit="1" customWidth="1"/>
    <col min="22" max="22" width="6.85546875" style="2" bestFit="1" customWidth="1"/>
    <col min="23" max="23" width="6.28515625" style="2" bestFit="1" customWidth="1"/>
    <col min="24" max="24" width="8.140625" style="2" bestFit="1" customWidth="1"/>
    <col min="25" max="25" width="8.140625" style="2" customWidth="1"/>
    <col min="26" max="26" width="10.28515625" style="2" bestFit="1" customWidth="1"/>
    <col min="27" max="27" width="7.140625" style="2" bestFit="1" customWidth="1"/>
    <col min="28" max="28" width="9.140625" style="2" bestFit="1" customWidth="1"/>
    <col min="29" max="29" width="6.85546875" style="2" bestFit="1" customWidth="1"/>
    <col min="30" max="30" width="9.42578125" style="2" bestFit="1" customWidth="1"/>
    <col min="31" max="31" width="10.140625" style="2" bestFit="1" customWidth="1"/>
    <col min="32" max="32" width="9.5703125" style="2" bestFit="1" customWidth="1"/>
    <col min="33" max="33" width="8.140625" style="2" bestFit="1" customWidth="1"/>
    <col min="34" max="34" width="7.28515625" style="2" bestFit="1" customWidth="1"/>
    <col min="35" max="35" width="8.28515625" style="2" bestFit="1" customWidth="1"/>
    <col min="36" max="36" width="9.28515625" style="2" bestFit="1" customWidth="1"/>
    <col min="37" max="37" width="7.28515625" style="2" bestFit="1" customWidth="1"/>
    <col min="38" max="38" width="10.5703125" style="2" bestFit="1" customWidth="1"/>
    <col min="39" max="16384" width="7.28515625" style="3"/>
  </cols>
  <sheetData>
    <row r="1" spans="1:38" s="4" customFormat="1" x14ac:dyDescent="0.25">
      <c r="G1" s="4" t="s">
        <v>384</v>
      </c>
      <c r="I1" s="9" t="s">
        <v>388</v>
      </c>
      <c r="J1" s="9" t="s">
        <v>389</v>
      </c>
      <c r="K1" s="9" t="s">
        <v>390</v>
      </c>
      <c r="L1" s="9" t="s">
        <v>391</v>
      </c>
      <c r="M1" s="9" t="s">
        <v>392</v>
      </c>
      <c r="N1" s="9" t="s">
        <v>393</v>
      </c>
      <c r="O1" s="9" t="s">
        <v>439</v>
      </c>
      <c r="P1" s="9" t="s">
        <v>437</v>
      </c>
      <c r="Q1" s="9" t="s">
        <v>402</v>
      </c>
      <c r="R1" s="9" t="s">
        <v>403</v>
      </c>
      <c r="S1" s="9" t="s">
        <v>406</v>
      </c>
      <c r="T1" s="9" t="s">
        <v>409</v>
      </c>
      <c r="U1" s="9" t="s">
        <v>396</v>
      </c>
      <c r="V1" s="9" t="s">
        <v>397</v>
      </c>
      <c r="W1" s="9" t="s">
        <v>398</v>
      </c>
      <c r="X1" s="9" t="s">
        <v>399</v>
      </c>
      <c r="Y1" s="9" t="s">
        <v>874</v>
      </c>
      <c r="Z1" s="9" t="s">
        <v>400</v>
      </c>
      <c r="AA1" s="9" t="s">
        <v>401</v>
      </c>
      <c r="AB1" s="9" t="s">
        <v>394</v>
      </c>
      <c r="AC1" s="9" t="s">
        <v>395</v>
      </c>
      <c r="AD1" s="9" t="s">
        <v>434</v>
      </c>
      <c r="AE1" s="9" t="s">
        <v>435</v>
      </c>
      <c r="AF1" s="9" t="s">
        <v>436</v>
      </c>
      <c r="AG1" s="9" t="s">
        <v>472</v>
      </c>
      <c r="AH1" s="9" t="s">
        <v>415</v>
      </c>
      <c r="AI1" s="9" t="s">
        <v>405</v>
      </c>
      <c r="AJ1" s="9" t="s">
        <v>404</v>
      </c>
      <c r="AK1" s="9" t="s">
        <v>410</v>
      </c>
      <c r="AL1" s="9" t="s">
        <v>438</v>
      </c>
    </row>
    <row r="2" spans="1:38" s="4" customFormat="1" x14ac:dyDescent="0.25">
      <c r="A2" s="4" t="s">
        <v>514</v>
      </c>
      <c r="B2" s="4" t="s">
        <v>500</v>
      </c>
      <c r="C2" s="4" t="s">
        <v>515</v>
      </c>
      <c r="D2" s="4" t="s">
        <v>516</v>
      </c>
      <c r="E2" s="4" t="s">
        <v>517</v>
      </c>
      <c r="F2" s="4" t="s">
        <v>518</v>
      </c>
      <c r="G2" s="3" t="s">
        <v>849</v>
      </c>
      <c r="H2" s="4" t="s">
        <v>503</v>
      </c>
      <c r="I2" s="2">
        <f>(I4*$E$4)+(I5*$E$5)+(I6*$E$6)+(I7*$E$7)+(I8*$E$8)</f>
        <v>23.857877813504828</v>
      </c>
      <c r="J2" s="2">
        <f t="shared" ref="J2:AK2" si="0">(J4*$E$4)+(J5*$E$5)+(J6*$E$6)+(J7*$E$7)+(J8*$E$8)</f>
        <v>269.21221864951769</v>
      </c>
      <c r="K2" s="2">
        <f t="shared" si="0"/>
        <v>53.930375133976419</v>
      </c>
      <c r="L2" s="2">
        <f t="shared" si="0"/>
        <v>5.9495712754555203</v>
      </c>
      <c r="M2" s="6"/>
      <c r="N2" s="6"/>
      <c r="O2" s="6"/>
      <c r="P2" s="2">
        <f t="shared" si="0"/>
        <v>135.82484458735263</v>
      </c>
      <c r="Q2" s="2">
        <f t="shared" si="0"/>
        <v>139.4998177920686</v>
      </c>
      <c r="R2" s="2">
        <f t="shared" si="0"/>
        <v>138.66288317256164</v>
      </c>
      <c r="S2" s="2">
        <f t="shared" si="0"/>
        <v>2.9927224008574496</v>
      </c>
      <c r="T2" s="2">
        <f t="shared" si="0"/>
        <v>3.2104501607717046</v>
      </c>
      <c r="U2" s="2"/>
      <c r="V2" s="2">
        <f t="shared" si="0"/>
        <v>0.19214362272240085</v>
      </c>
      <c r="W2" s="2">
        <f t="shared" si="0"/>
        <v>4.5467952840300105</v>
      </c>
      <c r="X2" s="2">
        <f t="shared" si="0"/>
        <v>1.0308252947481245</v>
      </c>
      <c r="Y2" s="2">
        <f>(Y4*$E$4)+(Y5*$E$5)+(Y6*$E$6)+(Y7*$E$7)+(Y8*$E$8)</f>
        <v>3.2398713826366565</v>
      </c>
      <c r="Z2" s="2">
        <f t="shared" si="0"/>
        <v>337.4825294748124</v>
      </c>
      <c r="AA2" s="6"/>
      <c r="AB2" s="6"/>
      <c r="AC2" s="6"/>
      <c r="AD2" s="2">
        <f t="shared" si="0"/>
        <v>2185.0900321543409</v>
      </c>
      <c r="AE2" s="2">
        <f t="shared" si="0"/>
        <v>979.56806002143628</v>
      </c>
      <c r="AF2" s="2">
        <f t="shared" si="0"/>
        <v>1279.8488745980708</v>
      </c>
      <c r="AG2" s="2">
        <f t="shared" si="0"/>
        <v>0.84225080385852091</v>
      </c>
      <c r="AH2" s="2">
        <f t="shared" si="0"/>
        <v>355.71382636655954</v>
      </c>
      <c r="AI2" s="2">
        <f t="shared" si="0"/>
        <v>729.21329046087897</v>
      </c>
      <c r="AJ2" s="2">
        <f t="shared" si="0"/>
        <v>10537.766345123258</v>
      </c>
      <c r="AK2" s="2">
        <f t="shared" si="0"/>
        <v>427.65380493033229</v>
      </c>
      <c r="AL2" s="2"/>
    </row>
    <row r="3" spans="1:38" s="4" customFormat="1" x14ac:dyDescent="0.25">
      <c r="G3" s="3" t="s">
        <v>850</v>
      </c>
      <c r="H3" s="4" t="s">
        <v>504</v>
      </c>
      <c r="I3" s="2">
        <f>(I4*$F$4)+(I5*$F$5)+(I6*$F$6)</f>
        <v>23.045910652920963</v>
      </c>
      <c r="J3" s="2">
        <f t="shared" ref="J3:AK3" si="1">(J4*$F$4)+(J5*$F$5)+(J6*$F$6)</f>
        <v>278.69759450171819</v>
      </c>
      <c r="K3" s="2">
        <f t="shared" si="1"/>
        <v>60.433676975945012</v>
      </c>
      <c r="L3" s="2">
        <f t="shared" si="1"/>
        <v>4.3842268041237116</v>
      </c>
      <c r="M3" s="6"/>
      <c r="N3" s="6"/>
      <c r="O3" s="6"/>
      <c r="P3" s="2">
        <f t="shared" si="1"/>
        <v>71.266597938144329</v>
      </c>
      <c r="Q3" s="2">
        <f t="shared" si="1"/>
        <v>77.698041237113401</v>
      </c>
      <c r="R3" s="2">
        <f t="shared" si="1"/>
        <v>86.173436426116837</v>
      </c>
      <c r="S3" s="2">
        <f t="shared" si="1"/>
        <v>2.9647079037800688</v>
      </c>
      <c r="T3" s="2">
        <f t="shared" si="1"/>
        <v>1.2806872852233675</v>
      </c>
      <c r="U3" s="2"/>
      <c r="V3" s="2">
        <f t="shared" si="1"/>
        <v>9.4604810996563551E-2</v>
      </c>
      <c r="W3" s="2">
        <f t="shared" si="1"/>
        <v>2.846529209621993</v>
      </c>
      <c r="X3" s="2">
        <f>(X4*$F$4)+(X5*$F$5)+(X6*$F$6)</f>
        <v>1.488144329896907</v>
      </c>
      <c r="Y3" s="2">
        <f>(Y4*$F$4)+(Y5*$F$5)+(Y6*$F$6)</f>
        <v>4.6746048109965637</v>
      </c>
      <c r="Z3" s="2">
        <f t="shared" si="1"/>
        <v>189.47491408934707</v>
      </c>
      <c r="AA3" s="6"/>
      <c r="AB3" s="6"/>
      <c r="AC3" s="6"/>
      <c r="AD3" s="2">
        <f t="shared" si="1"/>
        <v>1604.5773195876288</v>
      </c>
      <c r="AE3" s="2">
        <f t="shared" si="1"/>
        <v>694.09278350515456</v>
      </c>
      <c r="AF3" s="2">
        <f t="shared" si="1"/>
        <v>646.2268041237113</v>
      </c>
      <c r="AG3" s="2">
        <f t="shared" si="1"/>
        <v>1.368213058419244</v>
      </c>
      <c r="AH3" s="2">
        <f t="shared" si="1"/>
        <v>175.70446735395188</v>
      </c>
      <c r="AI3" s="2">
        <f t="shared" si="1"/>
        <v>783.57044673539508</v>
      </c>
      <c r="AJ3" s="2">
        <f t="shared" si="1"/>
        <v>9166.2302405498285</v>
      </c>
      <c r="AK3" s="2">
        <f t="shared" si="1"/>
        <v>567.82130584192441</v>
      </c>
      <c r="AL3" s="2"/>
    </row>
    <row r="4" spans="1:38" x14ac:dyDescent="0.25">
      <c r="A4" s="3" t="s">
        <v>519</v>
      </c>
      <c r="B4" s="3" t="s">
        <v>502</v>
      </c>
      <c r="C4" s="3" t="s">
        <v>520</v>
      </c>
      <c r="D4" s="3">
        <v>204</v>
      </c>
      <c r="E4" s="2">
        <f>D4/SUM($D$4:$D$8)</f>
        <v>0.21864951768488747</v>
      </c>
      <c r="F4" s="2">
        <f>D4/SUM($D$4:$D$6)</f>
        <v>0.7010309278350515</v>
      </c>
      <c r="G4" s="3" t="s">
        <v>326</v>
      </c>
      <c r="H4" s="3" t="s">
        <v>815</v>
      </c>
      <c r="I4" s="8">
        <v>22.77</v>
      </c>
      <c r="J4" s="2">
        <v>282</v>
      </c>
      <c r="K4" s="2">
        <v>63.79</v>
      </c>
      <c r="L4" s="2">
        <v>3.37</v>
      </c>
      <c r="P4" s="2">
        <v>77.14</v>
      </c>
      <c r="Q4" s="2">
        <v>83.48</v>
      </c>
      <c r="R4" s="2">
        <v>83.45</v>
      </c>
      <c r="S4" s="2">
        <v>3.6</v>
      </c>
      <c r="T4" s="2">
        <v>1.44</v>
      </c>
      <c r="V4" s="2">
        <v>0.12</v>
      </c>
      <c r="W4" s="2">
        <v>2.98</v>
      </c>
      <c r="X4" s="2">
        <v>1.98</v>
      </c>
      <c r="Y4" s="2">
        <v>5.64</v>
      </c>
      <c r="Z4" s="2">
        <v>213</v>
      </c>
      <c r="AD4" s="2">
        <v>1767</v>
      </c>
      <c r="AE4" s="2">
        <v>657</v>
      </c>
      <c r="AF4" s="2">
        <v>604</v>
      </c>
      <c r="AG4" s="2">
        <v>1.64</v>
      </c>
      <c r="AH4" s="2">
        <v>185</v>
      </c>
      <c r="AI4" s="2">
        <v>765</v>
      </c>
      <c r="AJ4" s="2">
        <v>7909</v>
      </c>
      <c r="AK4" s="2">
        <v>624</v>
      </c>
    </row>
    <row r="5" spans="1:38" x14ac:dyDescent="0.25">
      <c r="A5" s="3" t="s">
        <v>519</v>
      </c>
      <c r="B5" s="3" t="s">
        <v>502</v>
      </c>
      <c r="C5" s="3" t="s">
        <v>521</v>
      </c>
      <c r="D5" s="3">
        <v>44</v>
      </c>
      <c r="E5" s="2">
        <f>D5/SUM($D$4:$D$8)</f>
        <v>4.7159699892818867E-2</v>
      </c>
      <c r="F5" s="2">
        <f>D5/SUM($D$4:$D$6)</f>
        <v>0.15120274914089346</v>
      </c>
      <c r="G5" s="3" t="s">
        <v>193</v>
      </c>
      <c r="H5" s="3" t="s">
        <v>814</v>
      </c>
      <c r="I5" s="8">
        <v>26.09</v>
      </c>
      <c r="J5" s="2">
        <v>267</v>
      </c>
      <c r="K5" s="2">
        <v>55.03</v>
      </c>
      <c r="L5" s="2">
        <v>5.25</v>
      </c>
      <c r="P5" s="2">
        <v>39.82</v>
      </c>
      <c r="Q5" s="2">
        <v>42.24</v>
      </c>
      <c r="R5" s="2">
        <v>92.94</v>
      </c>
      <c r="S5" s="2">
        <v>1.48</v>
      </c>
      <c r="T5" s="2">
        <v>0.66</v>
      </c>
      <c r="V5" s="2">
        <v>0.04</v>
      </c>
      <c r="W5" s="2">
        <v>3.27</v>
      </c>
      <c r="X5" s="2">
        <v>0.32</v>
      </c>
      <c r="Y5" s="2">
        <v>2.06</v>
      </c>
      <c r="Z5" s="2">
        <v>187</v>
      </c>
      <c r="AD5" s="2">
        <v>1157</v>
      </c>
      <c r="AE5" s="2">
        <v>830</v>
      </c>
      <c r="AF5" s="2">
        <v>852</v>
      </c>
      <c r="AG5" s="2">
        <v>0.81</v>
      </c>
      <c r="AH5" s="2">
        <v>146</v>
      </c>
      <c r="AI5" s="2">
        <v>837</v>
      </c>
      <c r="AJ5" s="2">
        <v>10585</v>
      </c>
      <c r="AK5" s="2">
        <v>143</v>
      </c>
    </row>
    <row r="6" spans="1:38" x14ac:dyDescent="0.25">
      <c r="A6" s="3" t="s">
        <v>519</v>
      </c>
      <c r="B6" s="3" t="s">
        <v>502</v>
      </c>
      <c r="C6" s="3" t="s">
        <v>522</v>
      </c>
      <c r="D6" s="3">
        <v>43</v>
      </c>
      <c r="E6" s="2">
        <f>D6/SUM($D$4:$D$8)</f>
        <v>4.6087888531618437E-2</v>
      </c>
      <c r="F6" s="2">
        <f>D6/SUM($D$4:$D$6)</f>
        <v>0.14776632302405499</v>
      </c>
      <c r="G6" s="3" t="s">
        <v>192</v>
      </c>
      <c r="H6" s="3" t="s">
        <v>813</v>
      </c>
      <c r="I6" s="8">
        <v>21.24</v>
      </c>
      <c r="J6" s="2">
        <v>275</v>
      </c>
      <c r="K6" s="2">
        <v>50.04</v>
      </c>
      <c r="L6" s="2">
        <v>8.31</v>
      </c>
      <c r="P6" s="2">
        <v>75.58</v>
      </c>
      <c r="Q6" s="2">
        <v>86.55</v>
      </c>
      <c r="R6" s="2">
        <v>92.17</v>
      </c>
      <c r="S6" s="2">
        <v>1.47</v>
      </c>
      <c r="T6" s="2">
        <v>1.1599999999999999</v>
      </c>
      <c r="V6" s="2">
        <v>0.03</v>
      </c>
      <c r="W6" s="2">
        <v>1.78</v>
      </c>
      <c r="X6" s="2">
        <v>0.35</v>
      </c>
      <c r="Y6" s="2">
        <v>2.77</v>
      </c>
      <c r="Z6" s="2">
        <v>80.400000000000006</v>
      </c>
      <c r="AD6" s="2">
        <v>1292</v>
      </c>
      <c r="AE6" s="2">
        <v>731</v>
      </c>
      <c r="AF6" s="2">
        <v>636</v>
      </c>
      <c r="AG6" s="2">
        <v>0.65</v>
      </c>
      <c r="AH6" s="2">
        <v>162</v>
      </c>
      <c r="AI6" s="2">
        <v>817</v>
      </c>
      <c r="AJ6" s="2">
        <v>13679</v>
      </c>
      <c r="AK6" s="2">
        <v>736</v>
      </c>
    </row>
    <row r="7" spans="1:38" x14ac:dyDescent="0.25">
      <c r="A7" s="4" t="s">
        <v>519</v>
      </c>
      <c r="B7" s="4" t="s">
        <v>501</v>
      </c>
      <c r="C7" s="4" t="s">
        <v>523</v>
      </c>
      <c r="D7" s="4">
        <v>569</v>
      </c>
      <c r="E7" s="2">
        <f>D7/SUM($D$4:$D$8)</f>
        <v>0.60986066452304399</v>
      </c>
      <c r="F7" s="2">
        <f>D7/SUM($D$7:$D$8)</f>
        <v>0.88629283489096577</v>
      </c>
      <c r="G7" s="3" t="s">
        <v>189</v>
      </c>
      <c r="H7" s="3" t="s">
        <v>803</v>
      </c>
      <c r="I7" s="8">
        <v>24.94</v>
      </c>
      <c r="J7" s="2">
        <v>259</v>
      </c>
      <c r="K7" s="2">
        <v>51.16</v>
      </c>
      <c r="L7" s="2">
        <v>5.92</v>
      </c>
      <c r="P7" s="2">
        <v>171</v>
      </c>
      <c r="Q7" s="2">
        <v>117.8</v>
      </c>
      <c r="R7" s="2">
        <v>162</v>
      </c>
      <c r="S7" s="2">
        <v>3.06</v>
      </c>
      <c r="T7" s="2">
        <v>4.2</v>
      </c>
      <c r="V7" s="2">
        <v>0.25</v>
      </c>
      <c r="W7" s="2">
        <v>5.72</v>
      </c>
      <c r="X7" s="2">
        <v>0.62</v>
      </c>
      <c r="Y7" s="2">
        <v>2.2200000000000002</v>
      </c>
      <c r="Z7" s="2">
        <v>438</v>
      </c>
      <c r="AD7" s="2">
        <v>2497</v>
      </c>
      <c r="AE7" s="2">
        <v>1164</v>
      </c>
      <c r="AF7" s="2">
        <v>1667</v>
      </c>
      <c r="AG7" s="2">
        <v>0.63</v>
      </c>
      <c r="AH7" s="2">
        <v>419</v>
      </c>
      <c r="AI7" s="2">
        <v>694</v>
      </c>
      <c r="AJ7" s="2">
        <v>10921</v>
      </c>
      <c r="AK7" s="2">
        <v>354</v>
      </c>
    </row>
    <row r="8" spans="1:38" x14ac:dyDescent="0.25">
      <c r="A8" s="4" t="s">
        <v>519</v>
      </c>
      <c r="B8" s="4" t="s">
        <v>501</v>
      </c>
      <c r="C8" s="4" t="s">
        <v>524</v>
      </c>
      <c r="D8" s="4">
        <v>73</v>
      </c>
      <c r="E8" s="2">
        <f>D8/SUM($D$4:$D$8)</f>
        <v>7.8242229367631297E-2</v>
      </c>
      <c r="F8" s="2">
        <f>D8/SUM($D$7:$D$8)</f>
        <v>0.11370716510903427</v>
      </c>
      <c r="G8" s="3" t="s">
        <v>194</v>
      </c>
      <c r="H8" s="3" t="s">
        <v>816</v>
      </c>
      <c r="I8" s="8">
        <v>18.66</v>
      </c>
      <c r="J8" s="2">
        <v>311</v>
      </c>
      <c r="K8" s="2">
        <v>49.6</v>
      </c>
      <c r="L8" s="2">
        <v>12.42</v>
      </c>
      <c r="P8" s="2">
        <v>119</v>
      </c>
      <c r="Q8" s="2">
        <v>555</v>
      </c>
      <c r="R8" s="2">
        <v>166</v>
      </c>
      <c r="S8" s="2">
        <v>2.58</v>
      </c>
      <c r="T8" s="2">
        <v>3.19</v>
      </c>
      <c r="V8" s="2">
        <v>0.13</v>
      </c>
      <c r="W8" s="2">
        <v>2.1800000000000002</v>
      </c>
      <c r="X8" s="2">
        <v>2.41</v>
      </c>
      <c r="Y8" s="2">
        <v>5.47</v>
      </c>
      <c r="Z8" s="2">
        <v>144</v>
      </c>
      <c r="AD8" s="2">
        <v>2068</v>
      </c>
      <c r="AE8" s="2">
        <v>680</v>
      </c>
      <c r="AF8" s="2">
        <v>788</v>
      </c>
      <c r="AG8" s="2">
        <v>0.4</v>
      </c>
      <c r="AH8" s="2">
        <v>580</v>
      </c>
      <c r="AI8" s="2">
        <v>787</v>
      </c>
      <c r="AJ8" s="2">
        <v>13018</v>
      </c>
      <c r="AK8" s="2">
        <v>443</v>
      </c>
    </row>
    <row r="9" spans="1:38" x14ac:dyDescent="0.25">
      <c r="A9" s="4"/>
      <c r="B9" s="4"/>
      <c r="C9" s="4"/>
      <c r="D9" s="4"/>
      <c r="E9" s="5"/>
      <c r="F9" s="5"/>
      <c r="G9" s="3" t="s">
        <v>851</v>
      </c>
      <c r="H9" s="4" t="s">
        <v>505</v>
      </c>
      <c r="I9" s="2">
        <f>(I7*$F$7)+(I8*$F$8)</f>
        <v>24.225919003115266</v>
      </c>
      <c r="J9" s="2">
        <f t="shared" ref="J9:AK9" si="2">(J7*$F$7)+(J8*$F$8)</f>
        <v>264.91277258566976</v>
      </c>
      <c r="K9" s="2">
        <f t="shared" si="2"/>
        <v>50.982616822429904</v>
      </c>
      <c r="L9" s="2">
        <f t="shared" si="2"/>
        <v>6.6590965732087231</v>
      </c>
      <c r="M9" s="6"/>
      <c r="N9" s="6"/>
      <c r="O9" s="6"/>
      <c r="P9" s="2">
        <f t="shared" si="2"/>
        <v>165.08722741433024</v>
      </c>
      <c r="Q9" s="2">
        <f t="shared" si="2"/>
        <v>167.51277258566978</v>
      </c>
      <c r="R9" s="2">
        <f t="shared" si="2"/>
        <v>162.45482866043614</v>
      </c>
      <c r="S9" s="2">
        <f t="shared" si="2"/>
        <v>3.0054205607476638</v>
      </c>
      <c r="T9" s="2">
        <f t="shared" si="2"/>
        <v>4.0851557632398761</v>
      </c>
      <c r="V9" s="2">
        <f t="shared" si="2"/>
        <v>0.23635514018691589</v>
      </c>
      <c r="W9" s="2">
        <f t="shared" si="2"/>
        <v>5.3174766355140184</v>
      </c>
      <c r="X9" s="2">
        <f t="shared" si="2"/>
        <v>0.82353582554517146</v>
      </c>
      <c r="Y9" s="2">
        <f>(Y7*$F$7)+(Y8*$F$8)</f>
        <v>2.5895482866043613</v>
      </c>
      <c r="Z9" s="2">
        <f t="shared" si="2"/>
        <v>404.57009345794393</v>
      </c>
      <c r="AA9" s="6"/>
      <c r="AB9" s="6"/>
      <c r="AC9" s="6"/>
      <c r="AD9" s="2">
        <f t="shared" si="2"/>
        <v>2448.2196261682243</v>
      </c>
      <c r="AE9" s="2">
        <f t="shared" si="2"/>
        <v>1108.9657320872275</v>
      </c>
      <c r="AF9" s="2">
        <f t="shared" si="2"/>
        <v>1567.051401869159</v>
      </c>
      <c r="AG9" s="2">
        <f t="shared" si="2"/>
        <v>0.60384735202492212</v>
      </c>
      <c r="AH9" s="2">
        <f t="shared" si="2"/>
        <v>437.30685358255454</v>
      </c>
      <c r="AI9" s="2">
        <f t="shared" si="2"/>
        <v>704.57476635514024</v>
      </c>
      <c r="AJ9" s="2">
        <f t="shared" si="2"/>
        <v>11159.443925233645</v>
      </c>
      <c r="AK9" s="2">
        <f t="shared" si="2"/>
        <v>364.11993769470405</v>
      </c>
    </row>
    <row r="11" spans="1:38" x14ac:dyDescent="0.25">
      <c r="A11" s="4" t="s">
        <v>514</v>
      </c>
      <c r="B11" s="4" t="s">
        <v>500</v>
      </c>
      <c r="C11" s="4" t="s">
        <v>515</v>
      </c>
      <c r="D11" s="4" t="s">
        <v>516</v>
      </c>
      <c r="E11" s="4" t="s">
        <v>525</v>
      </c>
      <c r="F11" s="4" t="s">
        <v>518</v>
      </c>
      <c r="G11" s="3" t="s">
        <v>852</v>
      </c>
      <c r="H11" s="4" t="s">
        <v>506</v>
      </c>
      <c r="I11" s="2">
        <f>(I13*$E$13)+(I14*$E$14)+(I15*$E$15)+(I16*$E$16)+(I17*$E$17)+(I18*$E$18)+(I19*$E$19)+(I20*$E$20)+(I21*$E$21)</f>
        <v>77.599865905848773</v>
      </c>
      <c r="J11" s="2">
        <f t="shared" ref="J11:AK11" si="3">(J13*$E$13)+(J14*$E$14)+(J15*$E$15)+(J16*$E$16)+(J17*$E$17)+(J18*$E$18)+(J19*$E$19)+(J20*$E$20)+(J21*$E$21)</f>
        <v>97.432239657631953</v>
      </c>
      <c r="K11" s="2">
        <f>(K13*$E$13)+(K14*$E$14)+(K15*$E$15)+(K16*$E$16)+(K17*$E$17)+(K18*$E$18)+(K19*$E$19)+(K20*$E$20)+(K21*$E$21)</f>
        <v>19.047312410841652</v>
      </c>
      <c r="L11" s="2">
        <f>(L13*$E$13)+(L14*$E$14)+(L15*$E$15)+(L16*$E$16)+(L17*$E$17)+(L18*$E$18)+(L19*$E$19)+(L20*$E$20)+(L21*$E$21)</f>
        <v>2.4843121255349501</v>
      </c>
      <c r="M11" s="6"/>
      <c r="N11" s="6"/>
      <c r="O11" s="6"/>
      <c r="P11" s="2">
        <f t="shared" si="3"/>
        <v>28.495475035663336</v>
      </c>
      <c r="Q11" s="2">
        <f t="shared" si="3"/>
        <v>74.828199714693298</v>
      </c>
      <c r="R11" s="2">
        <f t="shared" si="3"/>
        <v>27.800002853067049</v>
      </c>
      <c r="S11" s="2">
        <f t="shared" si="3"/>
        <v>1.7746875891583451</v>
      </c>
      <c r="T11" s="2">
        <f t="shared" si="3"/>
        <v>0.79170328102710397</v>
      </c>
      <c r="U11" s="2">
        <f t="shared" si="3"/>
        <v>2.9081312410841657E-2</v>
      </c>
      <c r="V11" s="2">
        <f t="shared" si="3"/>
        <v>0.12636804564907278</v>
      </c>
      <c r="W11" s="2">
        <f t="shared" si="3"/>
        <v>1.6226077032810267</v>
      </c>
      <c r="X11" s="2">
        <f t="shared" si="3"/>
        <v>5.5145791726105564</v>
      </c>
      <c r="Y11" s="2">
        <f>(Y13*$E$13)+(Y14*$E$14)+(Y15*$E$15)+(Y16*$E$16)+(Y17*$E$17)+(Y18*$E$18)+(Y19*$E$19)+(Y20*$E$20)+(Y21*$E$21)</f>
        <v>1.5785734664764621</v>
      </c>
      <c r="Z11" s="2">
        <f t="shared" si="3"/>
        <v>114.44747788873039</v>
      </c>
      <c r="AA11" s="6"/>
      <c r="AB11" s="6"/>
      <c r="AC11" s="6"/>
      <c r="AD11" s="2">
        <f t="shared" si="3"/>
        <v>629.58659058487865</v>
      </c>
      <c r="AE11" s="2">
        <f t="shared" si="3"/>
        <v>310.18915834522113</v>
      </c>
      <c r="AF11" s="2">
        <f t="shared" si="3"/>
        <v>344.99885877318115</v>
      </c>
      <c r="AG11" s="2">
        <f t="shared" si="3"/>
        <v>0.79451640513552069</v>
      </c>
      <c r="AH11" s="2">
        <f t="shared" si="3"/>
        <v>190.31126961483596</v>
      </c>
      <c r="AI11" s="2">
        <f t="shared" si="3"/>
        <v>266.05763195435094</v>
      </c>
      <c r="AJ11" s="2">
        <f t="shared" si="3"/>
        <v>51.996562054208276</v>
      </c>
      <c r="AK11" s="2">
        <f t="shared" si="3"/>
        <v>40.306379457917267</v>
      </c>
    </row>
    <row r="12" spans="1:38" x14ac:dyDescent="0.25">
      <c r="A12" s="4"/>
      <c r="B12" s="4"/>
      <c r="C12" s="4"/>
      <c r="D12" s="4"/>
      <c r="E12" s="4"/>
      <c r="F12" s="4"/>
      <c r="G12" s="3" t="s">
        <v>853</v>
      </c>
      <c r="H12" s="4" t="s">
        <v>507</v>
      </c>
      <c r="I12" s="2">
        <f>(I13*$F$13)+(I14*$F$14)+(I15*$F$15)+(I16*$F$16)+(I17*$F$17)+(I18*$F$18)</f>
        <v>78.338459191456906</v>
      </c>
      <c r="J12" s="2">
        <f t="shared" ref="J12:AK12" si="4">(J13*$F$13)+(J14*$F$14)+(J15*$F$15)+(J16*$F$16)+(J17*$F$17)+(J18*$F$18)</f>
        <v>90.990465293668962</v>
      </c>
      <c r="K12" s="2">
        <f t="shared" si="4"/>
        <v>19.450995423340959</v>
      </c>
      <c r="L12" s="2">
        <f t="shared" si="4"/>
        <v>1.6250244088482075</v>
      </c>
      <c r="M12" s="6"/>
      <c r="N12" s="6"/>
      <c r="O12" s="6"/>
      <c r="P12" s="2">
        <f t="shared" si="4"/>
        <v>27.528520213577423</v>
      </c>
      <c r="Q12" s="2">
        <f t="shared" si="4"/>
        <v>77.679969488939747</v>
      </c>
      <c r="R12" s="2">
        <f t="shared" si="4"/>
        <v>26.057463768115944</v>
      </c>
      <c r="S12" s="2">
        <f t="shared" si="4"/>
        <v>2.0500457665903888</v>
      </c>
      <c r="T12" s="2">
        <f t="shared" si="4"/>
        <v>0.74795194508009155</v>
      </c>
      <c r="U12" s="2">
        <f t="shared" si="4"/>
        <v>3.5934401220442412E-2</v>
      </c>
      <c r="V12" s="2">
        <f t="shared" si="4"/>
        <v>0.13862700228832953</v>
      </c>
      <c r="W12" s="2">
        <f t="shared" si="4"/>
        <v>1.9468077803203665</v>
      </c>
      <c r="X12" s="2">
        <f t="shared" si="4"/>
        <v>7.1185125858123577</v>
      </c>
      <c r="Y12" s="2">
        <f>(Y13*$F$13)+(Y14*$F$14)+(Y15*$F$15)+(Y16*$F$16)+(Y17*$F$17)+(Y18*$F$18)</f>
        <v>1.5805873379099926</v>
      </c>
      <c r="Z12" s="2">
        <f t="shared" si="4"/>
        <v>140.49642639206712</v>
      </c>
      <c r="AA12" s="6"/>
      <c r="AB12" s="6"/>
      <c r="AC12" s="6"/>
      <c r="AD12" s="2">
        <f t="shared" si="4"/>
        <v>485.8173150266972</v>
      </c>
      <c r="AE12" s="2">
        <f t="shared" si="4"/>
        <v>274.30129672006103</v>
      </c>
      <c r="AF12" s="2">
        <f t="shared" si="4"/>
        <v>258.16742944317315</v>
      </c>
      <c r="AG12" s="2">
        <f t="shared" si="4"/>
        <v>0.78869946605644548</v>
      </c>
      <c r="AH12" s="2">
        <f t="shared" si="4"/>
        <v>199.1926010678871</v>
      </c>
      <c r="AI12" s="2">
        <f t="shared" si="4"/>
        <v>286.95041952707857</v>
      </c>
      <c r="AJ12" s="2">
        <f t="shared" si="4"/>
        <v>46.329355453852017</v>
      </c>
      <c r="AK12" s="2">
        <f t="shared" si="4"/>
        <v>28.015713196033563</v>
      </c>
    </row>
    <row r="13" spans="1:38" x14ac:dyDescent="0.25">
      <c r="A13" s="3" t="s">
        <v>526</v>
      </c>
      <c r="B13" s="3" t="s">
        <v>502</v>
      </c>
      <c r="C13" s="3" t="s">
        <v>527</v>
      </c>
      <c r="D13" s="3">
        <v>1633</v>
      </c>
      <c r="E13" s="2">
        <f t="shared" ref="E13:E21" si="5">D13/SUM($D$13:$D$21)</f>
        <v>0.46590584878744651</v>
      </c>
      <c r="F13" s="2">
        <f t="shared" ref="F13:F18" si="6">D13/SUM($D$13:$D$18)</f>
        <v>0.6228070175438597</v>
      </c>
      <c r="G13" s="3" t="s">
        <v>323</v>
      </c>
      <c r="H13" s="3" t="s">
        <v>820</v>
      </c>
      <c r="I13" s="7">
        <v>79.569999999999993</v>
      </c>
      <c r="J13" s="2">
        <v>83</v>
      </c>
      <c r="K13" s="2">
        <v>18.48</v>
      </c>
      <c r="L13" s="2">
        <v>1.08</v>
      </c>
      <c r="P13" s="2">
        <v>26.36</v>
      </c>
      <c r="Q13" s="2">
        <v>99.39</v>
      </c>
      <c r="R13" s="2">
        <v>24.96</v>
      </c>
      <c r="S13" s="2">
        <v>2.84</v>
      </c>
      <c r="T13" s="2">
        <v>0.88</v>
      </c>
      <c r="U13" s="2">
        <v>0.02</v>
      </c>
      <c r="V13" s="2">
        <v>0.18</v>
      </c>
      <c r="W13" s="2">
        <v>1.4</v>
      </c>
      <c r="X13" s="2">
        <v>0.18</v>
      </c>
      <c r="Y13" s="2">
        <v>1.58</v>
      </c>
      <c r="Z13" s="2">
        <v>8.2899999999999991</v>
      </c>
      <c r="AD13" s="2">
        <v>413</v>
      </c>
      <c r="AE13" s="2">
        <v>254</v>
      </c>
      <c r="AF13" s="2">
        <v>199</v>
      </c>
      <c r="AG13" s="2">
        <v>0.78</v>
      </c>
      <c r="AH13" s="2">
        <v>184</v>
      </c>
      <c r="AI13" s="2">
        <v>255</v>
      </c>
      <c r="AJ13" s="2">
        <v>52.55</v>
      </c>
      <c r="AK13" s="2">
        <v>20.85</v>
      </c>
    </row>
    <row r="14" spans="1:38" x14ac:dyDescent="0.25">
      <c r="A14" s="3" t="s">
        <v>526</v>
      </c>
      <c r="B14" s="3" t="s">
        <v>502</v>
      </c>
      <c r="C14" s="3" t="s">
        <v>528</v>
      </c>
      <c r="D14" s="3">
        <v>252</v>
      </c>
      <c r="E14" s="2">
        <f t="shared" si="5"/>
        <v>7.1897289586305271E-2</v>
      </c>
      <c r="F14" s="2">
        <f t="shared" si="6"/>
        <v>9.6109839816933634E-2</v>
      </c>
      <c r="G14" s="3" t="s">
        <v>149</v>
      </c>
      <c r="H14" s="3" t="s">
        <v>684</v>
      </c>
      <c r="I14" s="7">
        <v>75.66</v>
      </c>
      <c r="J14" s="2">
        <v>108</v>
      </c>
      <c r="K14" s="2">
        <v>22.45</v>
      </c>
      <c r="L14" s="2">
        <v>1.92</v>
      </c>
      <c r="P14" s="2">
        <v>19.98</v>
      </c>
      <c r="Q14" s="2">
        <v>6.65</v>
      </c>
      <c r="R14" s="2">
        <v>31.12</v>
      </c>
      <c r="S14" s="2">
        <v>0.28000000000000003</v>
      </c>
      <c r="T14" s="2">
        <v>0.35</v>
      </c>
      <c r="U14" s="2">
        <v>0.12</v>
      </c>
      <c r="V14" s="2">
        <v>0.02</v>
      </c>
      <c r="W14" s="2">
        <v>2.82</v>
      </c>
      <c r="X14" s="2">
        <v>7.0000000000000007E-2</v>
      </c>
      <c r="Y14" s="2">
        <v>1.92</v>
      </c>
      <c r="Z14" s="2">
        <v>8.2799999999999994</v>
      </c>
      <c r="AD14" s="2">
        <v>837</v>
      </c>
      <c r="AE14" s="2">
        <v>519</v>
      </c>
      <c r="AF14" s="2">
        <v>294</v>
      </c>
      <c r="AG14" s="2">
        <v>0.28999999999999998</v>
      </c>
      <c r="AH14" s="2">
        <v>249</v>
      </c>
      <c r="AI14" s="2">
        <v>467</v>
      </c>
      <c r="AJ14" s="2">
        <v>30.53</v>
      </c>
      <c r="AK14" s="2">
        <v>12.35</v>
      </c>
    </row>
    <row r="15" spans="1:38" x14ac:dyDescent="0.25">
      <c r="A15" s="3" t="s">
        <v>526</v>
      </c>
      <c r="B15" s="3" t="s">
        <v>502</v>
      </c>
      <c r="C15" s="3" t="s">
        <v>520</v>
      </c>
      <c r="D15" s="3">
        <v>248</v>
      </c>
      <c r="E15" s="2">
        <f t="shared" si="5"/>
        <v>7.0756062767475036E-2</v>
      </c>
      <c r="F15" s="2">
        <f t="shared" si="6"/>
        <v>9.4584286803966439E-2</v>
      </c>
      <c r="G15" s="3" t="s">
        <v>175</v>
      </c>
      <c r="H15" s="3" t="s">
        <v>735</v>
      </c>
      <c r="I15" s="7">
        <v>77.760000000000005</v>
      </c>
      <c r="J15" s="2">
        <v>96</v>
      </c>
      <c r="K15" s="2">
        <v>21.28</v>
      </c>
      <c r="L15" s="10">
        <f>AVERAGE(L13,L14,L16,L17,L18)</f>
        <v>2.488</v>
      </c>
      <c r="P15" s="2">
        <v>64.06</v>
      </c>
      <c r="Q15" s="2">
        <v>6.45</v>
      </c>
      <c r="R15" s="2">
        <v>26.02</v>
      </c>
      <c r="S15" s="2">
        <v>0.68</v>
      </c>
      <c r="T15" s="2">
        <v>0.46</v>
      </c>
      <c r="U15" s="2">
        <v>7.0000000000000007E-2</v>
      </c>
      <c r="V15" s="2">
        <v>0.15</v>
      </c>
      <c r="W15" s="2">
        <v>5.04</v>
      </c>
      <c r="X15" s="2">
        <v>0.12</v>
      </c>
      <c r="Y15" s="2">
        <v>1.9</v>
      </c>
      <c r="Z15" s="2">
        <v>7.89</v>
      </c>
      <c r="AD15" s="2">
        <v>424</v>
      </c>
      <c r="AE15" s="2">
        <v>168</v>
      </c>
      <c r="AF15" s="2">
        <v>306</v>
      </c>
      <c r="AG15" s="2">
        <v>1.27</v>
      </c>
      <c r="AH15" s="2">
        <v>209</v>
      </c>
      <c r="AI15" s="2">
        <v>273</v>
      </c>
      <c r="AJ15" s="2">
        <v>22.6</v>
      </c>
      <c r="AK15" s="2">
        <v>23.85</v>
      </c>
    </row>
    <row r="16" spans="1:38" x14ac:dyDescent="0.25">
      <c r="A16" s="3" t="s">
        <v>526</v>
      </c>
      <c r="B16" s="3" t="s">
        <v>502</v>
      </c>
      <c r="C16" s="3" t="s">
        <v>529</v>
      </c>
      <c r="D16" s="3">
        <v>226</v>
      </c>
      <c r="E16" s="2">
        <f t="shared" si="5"/>
        <v>6.4479315263908696E-2</v>
      </c>
      <c r="F16" s="2">
        <f t="shared" si="6"/>
        <v>8.6193745232646835E-2</v>
      </c>
      <c r="G16" s="3" t="s">
        <v>171</v>
      </c>
      <c r="H16" s="3" t="s">
        <v>821</v>
      </c>
      <c r="I16" s="7">
        <v>76.37</v>
      </c>
      <c r="J16" s="2">
        <v>103</v>
      </c>
      <c r="K16" s="2">
        <v>21.95</v>
      </c>
      <c r="L16" s="2">
        <v>1.6</v>
      </c>
      <c r="P16" s="2">
        <v>16.059999999999999</v>
      </c>
      <c r="Q16" s="2">
        <v>7.21</v>
      </c>
      <c r="R16" s="2">
        <v>26.33</v>
      </c>
      <c r="S16" s="2">
        <v>1.1100000000000001</v>
      </c>
      <c r="T16" s="2">
        <v>0.45</v>
      </c>
      <c r="U16" s="2">
        <v>0.05</v>
      </c>
      <c r="V16" s="2">
        <v>0.04</v>
      </c>
      <c r="W16" s="2">
        <v>1.51</v>
      </c>
      <c r="X16" s="2">
        <v>0.15</v>
      </c>
      <c r="Y16" s="2">
        <v>1.1200000000000001</v>
      </c>
      <c r="Z16" s="2">
        <v>13.03</v>
      </c>
      <c r="AD16" s="2">
        <v>603</v>
      </c>
      <c r="AE16" s="2">
        <v>259</v>
      </c>
      <c r="AF16" s="2">
        <v>487</v>
      </c>
      <c r="AG16" s="2">
        <v>0.75</v>
      </c>
      <c r="AH16" s="2">
        <v>235</v>
      </c>
      <c r="AI16" s="2">
        <v>384</v>
      </c>
      <c r="AJ16" s="2">
        <v>49.51</v>
      </c>
      <c r="AK16" s="2">
        <v>42.5</v>
      </c>
    </row>
    <row r="17" spans="1:38" x14ac:dyDescent="0.25">
      <c r="A17" s="3" t="s">
        <v>526</v>
      </c>
      <c r="B17" s="3" t="s">
        <v>502</v>
      </c>
      <c r="C17" s="3" t="s">
        <v>530</v>
      </c>
      <c r="D17" s="3">
        <v>133</v>
      </c>
      <c r="E17" s="2">
        <f t="shared" si="5"/>
        <v>3.7945791726105564E-2</v>
      </c>
      <c r="F17" s="2">
        <f t="shared" si="6"/>
        <v>5.0724637681159424E-2</v>
      </c>
      <c r="G17" s="3" t="s">
        <v>480</v>
      </c>
      <c r="H17" s="3" t="s">
        <v>479</v>
      </c>
      <c r="I17" s="7">
        <v>72.47</v>
      </c>
      <c r="J17" s="2">
        <v>132</v>
      </c>
      <c r="K17" s="2">
        <v>21.71</v>
      </c>
      <c r="L17" s="2">
        <v>5.17</v>
      </c>
      <c r="Q17" s="2">
        <v>85.55</v>
      </c>
      <c r="R17" s="2">
        <v>24.97</v>
      </c>
      <c r="S17" s="2">
        <v>0.57999999999999996</v>
      </c>
      <c r="T17" s="2">
        <v>0.56999999999999995</v>
      </c>
      <c r="U17" s="2">
        <v>0.02</v>
      </c>
      <c r="V17" s="2">
        <v>0.02</v>
      </c>
      <c r="W17" s="2">
        <v>1.87</v>
      </c>
      <c r="X17" s="2">
        <v>136</v>
      </c>
      <c r="Y17" s="1">
        <v>0.8</v>
      </c>
      <c r="Z17" s="2">
        <v>2462</v>
      </c>
      <c r="AC17" s="2">
        <v>0.6</v>
      </c>
      <c r="AG17" s="2">
        <v>1.33</v>
      </c>
      <c r="AH17" s="2">
        <v>187</v>
      </c>
      <c r="AI17" s="2">
        <v>249</v>
      </c>
      <c r="AJ17" s="2">
        <v>19.600000000000001</v>
      </c>
      <c r="AK17" s="2">
        <v>72.55</v>
      </c>
    </row>
    <row r="18" spans="1:38" x14ac:dyDescent="0.25">
      <c r="A18" s="3" t="s">
        <v>526</v>
      </c>
      <c r="B18" s="3" t="s">
        <v>502</v>
      </c>
      <c r="C18" s="3" t="s">
        <v>531</v>
      </c>
      <c r="D18" s="3">
        <v>130</v>
      </c>
      <c r="E18" s="2">
        <f t="shared" si="5"/>
        <v>3.7089871611982884E-2</v>
      </c>
      <c r="F18" s="2">
        <f t="shared" si="6"/>
        <v>4.958047292143402E-2</v>
      </c>
      <c r="G18" s="3" t="s">
        <v>163</v>
      </c>
      <c r="H18" s="3" t="s">
        <v>702</v>
      </c>
      <c r="I18" s="7">
        <v>78.59</v>
      </c>
      <c r="J18" s="2">
        <v>86</v>
      </c>
      <c r="K18" s="2">
        <v>15.69</v>
      </c>
      <c r="L18" s="2">
        <v>2.67</v>
      </c>
      <c r="P18" s="2">
        <v>35.25</v>
      </c>
      <c r="Q18" s="2">
        <v>193</v>
      </c>
      <c r="R18" s="2">
        <v>30.74</v>
      </c>
      <c r="S18" s="2">
        <v>1.31</v>
      </c>
      <c r="T18" s="2">
        <v>1.1100000000000001</v>
      </c>
      <c r="V18" s="2">
        <v>0.12</v>
      </c>
      <c r="W18" s="2">
        <v>2.06</v>
      </c>
      <c r="X18" s="2">
        <v>1.55</v>
      </c>
      <c r="Y18" s="2">
        <v>1.92</v>
      </c>
      <c r="Z18" s="2">
        <v>157</v>
      </c>
      <c r="AD18" s="2">
        <v>1131</v>
      </c>
      <c r="AE18" s="2">
        <v>565</v>
      </c>
      <c r="AF18" s="2">
        <v>707</v>
      </c>
      <c r="AG18" s="2">
        <v>0.46</v>
      </c>
      <c r="AH18" s="2">
        <v>225</v>
      </c>
      <c r="AI18" s="2">
        <v>236</v>
      </c>
      <c r="AJ18" s="2">
        <v>65.900000000000006</v>
      </c>
      <c r="AK18" s="2">
        <v>85.6</v>
      </c>
    </row>
    <row r="19" spans="1:38" x14ac:dyDescent="0.25">
      <c r="A19" s="4" t="s">
        <v>526</v>
      </c>
      <c r="B19" s="4" t="s">
        <v>501</v>
      </c>
      <c r="C19" s="4" t="s">
        <v>532</v>
      </c>
      <c r="D19" s="4">
        <v>396</v>
      </c>
      <c r="E19" s="9">
        <f t="shared" si="5"/>
        <v>0.11298145506419401</v>
      </c>
      <c r="F19" s="9">
        <f>D19/SUM($D$19:$D$21)</f>
        <v>0.44847112117780297</v>
      </c>
      <c r="G19" s="3" t="s">
        <v>161</v>
      </c>
      <c r="H19" s="3" t="s">
        <v>700</v>
      </c>
      <c r="I19" s="7">
        <v>72.290000000000006</v>
      </c>
      <c r="J19" s="2">
        <v>152</v>
      </c>
      <c r="K19" s="2">
        <v>17.91</v>
      </c>
      <c r="L19" s="2">
        <v>8.99</v>
      </c>
      <c r="P19" s="2">
        <v>49.12</v>
      </c>
      <c r="Q19" s="2">
        <v>42.26</v>
      </c>
      <c r="R19" s="2">
        <v>24.39</v>
      </c>
      <c r="S19" s="2">
        <v>0.83</v>
      </c>
      <c r="T19" s="2">
        <v>0.89</v>
      </c>
      <c r="U19" s="2">
        <v>0.01</v>
      </c>
      <c r="V19" s="2">
        <v>0.06</v>
      </c>
      <c r="W19" s="2">
        <v>0.91</v>
      </c>
      <c r="X19" s="2">
        <v>0.14000000000000001</v>
      </c>
      <c r="Y19" s="2">
        <v>1.7</v>
      </c>
      <c r="Z19" s="2">
        <v>22.66</v>
      </c>
      <c r="AD19" s="2">
        <v>1250</v>
      </c>
      <c r="AE19" s="2">
        <v>630</v>
      </c>
      <c r="AF19" s="2">
        <v>770</v>
      </c>
      <c r="AG19" s="2">
        <v>0.77</v>
      </c>
      <c r="AH19" s="2">
        <v>191</v>
      </c>
      <c r="AI19" s="2">
        <v>228</v>
      </c>
      <c r="AJ19" s="2">
        <v>38.49</v>
      </c>
      <c r="AK19" s="2">
        <v>50.21</v>
      </c>
    </row>
    <row r="20" spans="1:38" x14ac:dyDescent="0.25">
      <c r="A20" s="4" t="s">
        <v>526</v>
      </c>
      <c r="B20" s="4" t="s">
        <v>501</v>
      </c>
      <c r="C20" s="4" t="s">
        <v>524</v>
      </c>
      <c r="D20" s="4">
        <v>362</v>
      </c>
      <c r="E20" s="9">
        <f t="shared" si="5"/>
        <v>0.10328102710413695</v>
      </c>
      <c r="F20" s="9">
        <f>D20/SUM($D$19:$D$21)</f>
        <v>0.40996602491506229</v>
      </c>
      <c r="G20" s="3" t="s">
        <v>160</v>
      </c>
      <c r="H20" s="3" t="s">
        <v>699</v>
      </c>
      <c r="I20" s="7">
        <v>78</v>
      </c>
      <c r="J20" s="2">
        <v>88</v>
      </c>
      <c r="K20" s="2">
        <v>17.079999999999998</v>
      </c>
      <c r="L20" s="2">
        <v>2.1800000000000002</v>
      </c>
      <c r="P20" s="2">
        <v>12.57</v>
      </c>
      <c r="Q20" s="2">
        <v>103</v>
      </c>
      <c r="R20" s="2">
        <v>35.450000000000003</v>
      </c>
      <c r="S20" s="2">
        <v>1.24</v>
      </c>
      <c r="T20" s="2">
        <v>1.05</v>
      </c>
      <c r="V20" s="2">
        <v>0.14000000000000001</v>
      </c>
      <c r="W20" s="2">
        <v>0.3</v>
      </c>
      <c r="X20" s="2">
        <v>1.66</v>
      </c>
      <c r="Y20" s="2">
        <v>1.7</v>
      </c>
      <c r="Z20" s="2">
        <v>61.66</v>
      </c>
      <c r="AD20" s="2">
        <v>1124</v>
      </c>
      <c r="AE20" s="2">
        <v>310</v>
      </c>
      <c r="AF20" s="2">
        <v>528</v>
      </c>
      <c r="AG20" s="2">
        <v>0.72</v>
      </c>
      <c r="AH20" s="2">
        <v>106</v>
      </c>
      <c r="AI20" s="2">
        <v>155</v>
      </c>
      <c r="AJ20" s="2">
        <v>52.57</v>
      </c>
      <c r="AK20" s="2">
        <v>113</v>
      </c>
    </row>
    <row r="21" spans="1:38" x14ac:dyDescent="0.25">
      <c r="A21" s="4" t="s">
        <v>526</v>
      </c>
      <c r="B21" s="4" t="s">
        <v>501</v>
      </c>
      <c r="C21" s="4" t="s">
        <v>523</v>
      </c>
      <c r="D21" s="4">
        <v>125</v>
      </c>
      <c r="E21" s="9">
        <f t="shared" si="5"/>
        <v>3.566333808844508E-2</v>
      </c>
      <c r="F21" s="9">
        <f>D21/SUM($D$19:$D$21)</f>
        <v>0.14156285390713477</v>
      </c>
      <c r="G21" s="3" t="s">
        <v>276</v>
      </c>
      <c r="H21" s="3" t="s">
        <v>679</v>
      </c>
      <c r="I21" s="7">
        <v>77.77</v>
      </c>
      <c r="J21" s="2">
        <v>87</v>
      </c>
      <c r="K21" s="2">
        <v>19.88</v>
      </c>
      <c r="L21" s="2">
        <v>0.78</v>
      </c>
      <c r="P21" s="2">
        <v>29.56</v>
      </c>
      <c r="Q21" s="2">
        <v>36.6</v>
      </c>
      <c r="R21" s="2">
        <v>53</v>
      </c>
      <c r="S21" s="2">
        <v>0.54</v>
      </c>
      <c r="T21" s="2">
        <v>0.65</v>
      </c>
      <c r="U21" s="2">
        <v>0.03</v>
      </c>
      <c r="V21" s="2">
        <v>0.04</v>
      </c>
      <c r="W21" s="2">
        <v>0.91</v>
      </c>
      <c r="X21" s="2">
        <v>0.06</v>
      </c>
      <c r="Y21" s="2">
        <v>0.8</v>
      </c>
      <c r="Z21" s="2">
        <v>11.7</v>
      </c>
      <c r="AD21" s="2">
        <v>248</v>
      </c>
      <c r="AE21" s="2">
        <v>50.36</v>
      </c>
      <c r="AF21" s="2">
        <v>290</v>
      </c>
      <c r="AG21" s="2">
        <v>1.21</v>
      </c>
      <c r="AH21" s="2">
        <v>246</v>
      </c>
      <c r="AI21" s="2">
        <v>270</v>
      </c>
      <c r="AJ21" s="2">
        <v>212</v>
      </c>
      <c r="AK21" s="2">
        <v>56.22</v>
      </c>
    </row>
    <row r="22" spans="1:38" x14ac:dyDescent="0.25">
      <c r="A22" s="4"/>
      <c r="B22" s="4"/>
      <c r="C22" s="4"/>
      <c r="D22" s="4"/>
      <c r="E22" s="11"/>
      <c r="F22" s="11"/>
      <c r="G22" s="3" t="s">
        <v>854</v>
      </c>
      <c r="H22" s="4" t="s">
        <v>508</v>
      </c>
      <c r="I22" s="2">
        <f>(I19*$F$19)+(I20*$F$20)+(I21*$F$21)</f>
        <v>75.406670441676113</v>
      </c>
      <c r="J22" s="2">
        <f t="shared" ref="J22:AK22" si="7">(J19*$F$19)+(J20*$F$20)+(J21*$F$21)</f>
        <v>116.56058890147224</v>
      </c>
      <c r="K22" s="2">
        <f t="shared" si="7"/>
        <v>17.848607021517552</v>
      </c>
      <c r="L22" s="2">
        <f t="shared" si="7"/>
        <v>5.0359003397508504</v>
      </c>
      <c r="M22" s="6"/>
      <c r="N22" s="6"/>
      <c r="O22" s="6"/>
      <c r="P22" s="2">
        <f t="shared" si="7"/>
        <v>31.366772366930917</v>
      </c>
      <c r="Q22" s="2">
        <f t="shared" si="7"/>
        <v>66.360090600226513</v>
      </c>
      <c r="R22" s="2">
        <f t="shared" si="7"/>
        <v>32.974337485843719</v>
      </c>
      <c r="S22" s="2">
        <f t="shared" si="7"/>
        <v>0.95703284258210641</v>
      </c>
      <c r="T22" s="2">
        <f t="shared" si="7"/>
        <v>0.92161947904869768</v>
      </c>
      <c r="U22" s="2">
        <f t="shared" si="7"/>
        <v>8.7315968289920724E-3</v>
      </c>
      <c r="V22" s="2">
        <f t="shared" si="7"/>
        <v>8.9966024915062295E-2</v>
      </c>
      <c r="W22" s="2">
        <f t="shared" si="7"/>
        <v>0.65992072480181196</v>
      </c>
      <c r="X22" s="2">
        <f t="shared" si="7"/>
        <v>0.75182332955832387</v>
      </c>
      <c r="Y22" s="2">
        <f t="shared" si="7"/>
        <v>1.5725934314835788</v>
      </c>
      <c r="Z22" s="2">
        <f t="shared" si="7"/>
        <v>37.097146092865231</v>
      </c>
      <c r="AA22" s="6"/>
      <c r="AB22" s="6"/>
      <c r="AC22" s="6"/>
      <c r="AD22" s="2">
        <f t="shared" si="7"/>
        <v>1056.4983012457531</v>
      </c>
      <c r="AE22" s="2">
        <f t="shared" si="7"/>
        <v>416.75537938844849</v>
      </c>
      <c r="AF22" s="2">
        <f t="shared" si="7"/>
        <v>602.83805209513025</v>
      </c>
      <c r="AG22" s="2">
        <f t="shared" si="7"/>
        <v>0.81178935447338618</v>
      </c>
      <c r="AH22" s="2">
        <f t="shared" si="7"/>
        <v>163.93884484711211</v>
      </c>
      <c r="AI22" s="2">
        <f t="shared" si="7"/>
        <v>204.01812004530012</v>
      </c>
      <c r="AJ22" s="2">
        <f t="shared" si="7"/>
        <v>68.824892412231037</v>
      </c>
      <c r="AK22" s="2">
        <f t="shared" si="7"/>
        <v>76.802559456398654</v>
      </c>
    </row>
    <row r="23" spans="1:38" x14ac:dyDescent="0.25">
      <c r="H23" s="4"/>
    </row>
    <row r="24" spans="1:38" x14ac:dyDescent="0.25">
      <c r="C24" s="4" t="s">
        <v>533</v>
      </c>
      <c r="D24" s="4" t="s">
        <v>516</v>
      </c>
      <c r="E24" s="9" t="s">
        <v>534</v>
      </c>
      <c r="G24" s="3" t="s">
        <v>855</v>
      </c>
      <c r="H24" s="4" t="s">
        <v>509</v>
      </c>
      <c r="I24" s="2">
        <f>(I25*$E$25)+(I26*$E$26)</f>
        <v>78.331748251748252</v>
      </c>
      <c r="J24" s="2">
        <f t="shared" ref="J24:AL24" si="8">(J25*$E$25)+(J26*$E$26)</f>
        <v>73.839160839160826</v>
      </c>
      <c r="K24" s="2">
        <f t="shared" si="8"/>
        <v>1.3658041958041958</v>
      </c>
      <c r="L24" s="2">
        <f t="shared" si="8"/>
        <v>0.22566433566433564</v>
      </c>
      <c r="M24" s="2">
        <f t="shared" si="8"/>
        <v>16.099930069930068</v>
      </c>
      <c r="N24" s="2">
        <f t="shared" si="8"/>
        <v>2.9489510489510486</v>
      </c>
      <c r="O24" s="2">
        <f t="shared" si="8"/>
        <v>12.945594405594406</v>
      </c>
      <c r="Q24" s="2">
        <f t="shared" si="8"/>
        <v>13.865664335664336</v>
      </c>
      <c r="R24" s="2">
        <f t="shared" si="8"/>
        <v>23.795384615384613</v>
      </c>
      <c r="S24" s="2">
        <f t="shared" si="8"/>
        <v>0.65874125874125866</v>
      </c>
      <c r="T24" s="2">
        <f t="shared" si="8"/>
        <v>0.26160839160839156</v>
      </c>
      <c r="U24" s="2">
        <f t="shared" si="8"/>
        <v>6.4055944055944058E-2</v>
      </c>
      <c r="V24" s="2">
        <f t="shared" si="8"/>
        <v>1.4055944055944056E-2</v>
      </c>
      <c r="W24" s="2">
        <f t="shared" si="8"/>
        <v>0.66587412587412587</v>
      </c>
      <c r="X24" s="2">
        <f t="shared" si="8"/>
        <v>9.4055944055944057E-2</v>
      </c>
      <c r="Z24" s="2">
        <f t="shared" si="8"/>
        <v>18.771538461538462</v>
      </c>
      <c r="AA24" s="2">
        <f t="shared" si="8"/>
        <v>19.924055944055944</v>
      </c>
      <c r="AB24" s="6"/>
      <c r="AC24" s="2">
        <f t="shared" si="8"/>
        <v>9.8671328671328662E-2</v>
      </c>
      <c r="AD24" s="2">
        <f t="shared" si="8"/>
        <v>51.208531468531461</v>
      </c>
      <c r="AE24" s="2">
        <f t="shared" si="8"/>
        <v>12.893636363636363</v>
      </c>
      <c r="AF24" s="2">
        <f t="shared" si="8"/>
        <v>116.53818181818181</v>
      </c>
      <c r="AG24" s="2">
        <f t="shared" si="8"/>
        <v>0.30104895104895102</v>
      </c>
      <c r="AH24" s="2">
        <f t="shared" si="8"/>
        <v>52.668881118881117</v>
      </c>
      <c r="AI24" s="2">
        <f t="shared" si="8"/>
        <v>433.51748251748251</v>
      </c>
      <c r="AJ24" s="2">
        <f t="shared" si="8"/>
        <v>6.7853146853146846</v>
      </c>
      <c r="AK24" s="2">
        <f t="shared" si="8"/>
        <v>0.28000000000000003</v>
      </c>
      <c r="AL24" s="2">
        <f t="shared" si="8"/>
        <v>1.0903496503496501</v>
      </c>
    </row>
    <row r="25" spans="1:38" x14ac:dyDescent="0.25">
      <c r="C25" s="3" t="s">
        <v>535</v>
      </c>
      <c r="D25" s="3">
        <v>1530</v>
      </c>
      <c r="E25" s="2">
        <f>D25/SUM($D$25:$D$26)</f>
        <v>0.59440559440559437</v>
      </c>
      <c r="G25" s="3" t="s">
        <v>16</v>
      </c>
      <c r="H25" s="3" t="s">
        <v>762</v>
      </c>
      <c r="I25" s="2">
        <v>80.38</v>
      </c>
      <c r="J25" s="2">
        <v>71</v>
      </c>
      <c r="K25" s="2">
        <v>1.67</v>
      </c>
      <c r="L25" s="2">
        <v>0.25</v>
      </c>
      <c r="M25" s="2">
        <v>15.09</v>
      </c>
      <c r="N25" s="2">
        <v>1.72</v>
      </c>
      <c r="O25" s="2">
        <v>11.38</v>
      </c>
      <c r="Q25" s="2">
        <v>9.83</v>
      </c>
      <c r="R25" s="2">
        <v>23.84</v>
      </c>
      <c r="S25" s="2">
        <v>0.46</v>
      </c>
      <c r="T25" s="2">
        <v>0.28999999999999998</v>
      </c>
      <c r="U25" s="2">
        <v>0.06</v>
      </c>
      <c r="V25" s="2">
        <v>0.01</v>
      </c>
      <c r="W25" s="2">
        <v>0.82</v>
      </c>
      <c r="X25" s="2">
        <v>0.09</v>
      </c>
      <c r="Z25" s="2">
        <v>14.31</v>
      </c>
      <c r="AA25" s="2">
        <v>20.5</v>
      </c>
      <c r="AB25" s="6"/>
      <c r="AC25" s="2">
        <v>0.05</v>
      </c>
      <c r="AD25" s="2">
        <v>46.24</v>
      </c>
      <c r="AE25" s="2">
        <v>14.95</v>
      </c>
      <c r="AF25" s="2">
        <v>139</v>
      </c>
      <c r="AG25" s="2">
        <v>0.37</v>
      </c>
      <c r="AH25" s="2">
        <v>57.97</v>
      </c>
      <c r="AI25" s="2">
        <v>541</v>
      </c>
      <c r="AJ25" s="2">
        <v>4.08</v>
      </c>
      <c r="AK25" s="2">
        <v>0.28000000000000003</v>
      </c>
      <c r="AL25" s="2">
        <v>0.34</v>
      </c>
    </row>
    <row r="26" spans="1:38" x14ac:dyDescent="0.25">
      <c r="C26" s="3" t="s">
        <v>536</v>
      </c>
      <c r="D26" s="3">
        <v>1044</v>
      </c>
      <c r="E26" s="2">
        <f>D26/SUM($D$25:$D$26)</f>
        <v>0.40559440559440557</v>
      </c>
      <c r="G26" s="3" t="s">
        <v>272</v>
      </c>
      <c r="H26" s="3" t="s">
        <v>766</v>
      </c>
      <c r="I26" s="2">
        <v>75.33</v>
      </c>
      <c r="J26" s="2">
        <v>78</v>
      </c>
      <c r="K26" s="2">
        <v>0.92</v>
      </c>
      <c r="L26" s="2">
        <v>0.19</v>
      </c>
      <c r="M26" s="2">
        <v>17.579999999999998</v>
      </c>
      <c r="N26" s="2">
        <v>4.75</v>
      </c>
      <c r="O26" s="2">
        <v>15.24</v>
      </c>
      <c r="Q26" s="2">
        <v>19.78</v>
      </c>
      <c r="R26" s="2">
        <v>23.73</v>
      </c>
      <c r="S26" s="2">
        <v>0.95</v>
      </c>
      <c r="T26" s="2">
        <v>0.22</v>
      </c>
      <c r="U26" s="2">
        <v>7.0000000000000007E-2</v>
      </c>
      <c r="V26" s="2">
        <v>0.02</v>
      </c>
      <c r="W26" s="2">
        <v>0.44</v>
      </c>
      <c r="X26" s="2">
        <v>0.1</v>
      </c>
      <c r="Z26" s="2">
        <v>25.31</v>
      </c>
      <c r="AA26" s="2">
        <v>19.079999999999998</v>
      </c>
      <c r="AB26" s="6"/>
      <c r="AC26" s="2">
        <v>0.17</v>
      </c>
      <c r="AD26" s="2">
        <v>58.49</v>
      </c>
      <c r="AE26" s="2">
        <v>9.8800000000000008</v>
      </c>
      <c r="AF26" s="2">
        <v>83.62</v>
      </c>
      <c r="AG26" s="2">
        <v>0.2</v>
      </c>
      <c r="AH26" s="2">
        <v>44.9</v>
      </c>
      <c r="AI26" s="2">
        <v>276</v>
      </c>
      <c r="AJ26" s="2">
        <v>10.75</v>
      </c>
      <c r="AK26" s="10">
        <f>AVERAGE(AK25)</f>
        <v>0.28000000000000003</v>
      </c>
      <c r="AL26" s="2">
        <v>2.19</v>
      </c>
    </row>
    <row r="27" spans="1:38" x14ac:dyDescent="0.25">
      <c r="D27" s="12"/>
      <c r="E27" s="2"/>
    </row>
    <row r="28" spans="1:38" x14ac:dyDescent="0.25">
      <c r="C28" s="4" t="s">
        <v>537</v>
      </c>
      <c r="D28" s="4" t="s">
        <v>516</v>
      </c>
      <c r="E28" s="9" t="s">
        <v>534</v>
      </c>
      <c r="G28" s="3" t="s">
        <v>856</v>
      </c>
      <c r="H28" s="4" t="s">
        <v>510</v>
      </c>
      <c r="I28" s="2">
        <f>(I29*$E$29)+(I30*$E$30)+(I31*$E$31)</f>
        <v>93.726424242424244</v>
      </c>
      <c r="J28" s="2">
        <f t="shared" ref="J28:AL28" si="9">(J29*$E$29)+(J30*$E$30)+(J31*$E$31)</f>
        <v>13.778787878787877</v>
      </c>
      <c r="K28" s="2">
        <f t="shared" si="9"/>
        <v>1.0700303030303031</v>
      </c>
      <c r="L28" s="2">
        <f t="shared" si="9"/>
        <v>0.22266666666666668</v>
      </c>
      <c r="M28" s="2">
        <f t="shared" si="9"/>
        <v>1.724787878787879</v>
      </c>
      <c r="N28" s="2">
        <f t="shared" si="9"/>
        <v>2.6961212121212124</v>
      </c>
      <c r="O28" s="2">
        <f t="shared" si="9"/>
        <v>0.7616666666666666</v>
      </c>
      <c r="Q28" s="2">
        <f t="shared" si="9"/>
        <v>23.892181818181822</v>
      </c>
      <c r="R28" s="2">
        <f t="shared" si="9"/>
        <v>24.624393939393943</v>
      </c>
      <c r="S28" s="2">
        <f t="shared" si="9"/>
        <v>1.7070606060606059</v>
      </c>
      <c r="T28" s="2">
        <f t="shared" si="9"/>
        <v>0.27154545454545453</v>
      </c>
      <c r="U28" s="2">
        <f t="shared" si="9"/>
        <v>3.7545454545454542E-2</v>
      </c>
      <c r="V28" s="2">
        <f t="shared" si="9"/>
        <v>3.2242424242424246E-2</v>
      </c>
      <c r="W28" s="2">
        <f t="shared" si="9"/>
        <v>0.29736363636363639</v>
      </c>
      <c r="X28" s="2">
        <f t="shared" si="9"/>
        <v>6.6787878787878799E-2</v>
      </c>
      <c r="Z28" s="2">
        <f t="shared" si="9"/>
        <v>30.143393939393945</v>
      </c>
      <c r="AA28" s="2">
        <f t="shared" si="9"/>
        <v>17.740545454545455</v>
      </c>
      <c r="AB28" s="2">
        <f t="shared" si="9"/>
        <v>32.5119696969697</v>
      </c>
      <c r="AC28" s="2">
        <f t="shared" si="9"/>
        <v>5.1393939393939402E-2</v>
      </c>
      <c r="AD28" s="2">
        <f t="shared" si="9"/>
        <v>199.73636363636362</v>
      </c>
      <c r="AE28" s="2">
        <f t="shared" si="9"/>
        <v>14.699242424242426</v>
      </c>
      <c r="AF28" s="2">
        <f t="shared" si="9"/>
        <v>55.538151515151519</v>
      </c>
      <c r="AG28" s="2">
        <f t="shared" si="9"/>
        <v>0.29972727272727273</v>
      </c>
      <c r="AH28" s="2">
        <f t="shared" si="9"/>
        <v>34.448939393939398</v>
      </c>
      <c r="AI28" s="2">
        <f t="shared" si="9"/>
        <v>177.89999999999998</v>
      </c>
      <c r="AJ28" s="2">
        <f t="shared" si="9"/>
        <v>7.5172424242424247</v>
      </c>
      <c r="AK28" s="2">
        <f t="shared" si="9"/>
        <v>6.22</v>
      </c>
      <c r="AL28" s="2">
        <f t="shared" si="9"/>
        <v>0.36639393939393944</v>
      </c>
    </row>
    <row r="29" spans="1:38" x14ac:dyDescent="0.25">
      <c r="C29" s="3" t="s">
        <v>538</v>
      </c>
      <c r="D29" s="3">
        <v>155</v>
      </c>
      <c r="E29" s="2">
        <f>D29/SUM($D$29:$D$31)</f>
        <v>0.46969696969696972</v>
      </c>
      <c r="G29" s="3" t="s">
        <v>66</v>
      </c>
      <c r="H29" s="3" t="s">
        <v>722</v>
      </c>
      <c r="I29" s="2">
        <v>94.92</v>
      </c>
      <c r="J29" s="2">
        <v>11</v>
      </c>
      <c r="K29" s="2">
        <v>0.89</v>
      </c>
      <c r="L29" s="2">
        <v>0.25</v>
      </c>
      <c r="M29" s="2">
        <v>1.23</v>
      </c>
      <c r="N29" s="2">
        <v>2.27</v>
      </c>
      <c r="O29" s="2">
        <v>0.74</v>
      </c>
      <c r="Q29" s="2">
        <v>27.11</v>
      </c>
      <c r="R29" s="2">
        <v>21.7</v>
      </c>
      <c r="S29" s="2">
        <v>0.47</v>
      </c>
      <c r="T29" s="2">
        <v>0.2</v>
      </c>
      <c r="U29" s="2">
        <v>0.03</v>
      </c>
      <c r="V29" s="2">
        <v>0.03</v>
      </c>
      <c r="W29" s="2">
        <v>0.33</v>
      </c>
      <c r="X29" s="2">
        <v>7.0000000000000007E-2</v>
      </c>
      <c r="Z29" s="2">
        <v>16.52</v>
      </c>
      <c r="AA29" s="2">
        <v>2.85</v>
      </c>
      <c r="AB29" s="2">
        <v>5.14</v>
      </c>
      <c r="AC29" s="2">
        <v>0.08</v>
      </c>
      <c r="AD29" s="2">
        <v>263</v>
      </c>
      <c r="AE29" s="2">
        <v>25.17</v>
      </c>
      <c r="AF29" s="2">
        <v>65.510000000000005</v>
      </c>
      <c r="AG29" s="2">
        <v>0.27</v>
      </c>
      <c r="AH29" s="2">
        <v>31.03</v>
      </c>
      <c r="AI29" s="2">
        <v>104</v>
      </c>
      <c r="AJ29" s="2">
        <v>5.04</v>
      </c>
      <c r="AK29" s="10">
        <f>AVERAGE(AK30)</f>
        <v>6.22</v>
      </c>
      <c r="AL29" s="2">
        <v>0.45</v>
      </c>
    </row>
    <row r="30" spans="1:38" x14ac:dyDescent="0.25">
      <c r="C30" s="3" t="s">
        <v>539</v>
      </c>
      <c r="D30" s="3">
        <v>106</v>
      </c>
      <c r="E30" s="2">
        <f>D30/SUM($D$29:$D$31)</f>
        <v>0.32121212121212123</v>
      </c>
      <c r="G30" s="3" t="s">
        <v>84</v>
      </c>
      <c r="H30" s="3" t="s">
        <v>779</v>
      </c>
      <c r="I30" s="2">
        <v>91.1</v>
      </c>
      <c r="J30" s="2">
        <v>19</v>
      </c>
      <c r="K30" s="2">
        <v>1.47</v>
      </c>
      <c r="L30" s="2">
        <v>0.23</v>
      </c>
      <c r="M30" s="2">
        <v>2.5099999999999998</v>
      </c>
      <c r="N30" s="2">
        <v>3.87</v>
      </c>
      <c r="O30" s="2">
        <v>0.84</v>
      </c>
      <c r="Q30" s="2">
        <v>25.19</v>
      </c>
      <c r="R30" s="2">
        <v>35.81</v>
      </c>
      <c r="S30" s="2">
        <v>1.75</v>
      </c>
      <c r="T30" s="2">
        <v>0.26</v>
      </c>
      <c r="U30" s="2">
        <v>0.06</v>
      </c>
      <c r="V30" s="2">
        <v>0.05</v>
      </c>
      <c r="W30" s="2">
        <v>0.3</v>
      </c>
      <c r="X30" s="2">
        <v>0.06</v>
      </c>
      <c r="Z30" s="2">
        <v>53.1</v>
      </c>
      <c r="AA30" s="2">
        <v>46.89</v>
      </c>
      <c r="AB30" s="2">
        <v>55.08</v>
      </c>
      <c r="AC30" s="2">
        <v>0.03</v>
      </c>
      <c r="AD30" s="2">
        <v>137</v>
      </c>
      <c r="AE30" s="2">
        <v>7.16</v>
      </c>
      <c r="AF30" s="2">
        <v>39.94</v>
      </c>
      <c r="AG30" s="2">
        <v>0.33</v>
      </c>
      <c r="AH30" s="2">
        <v>41.42</v>
      </c>
      <c r="AI30" s="2">
        <v>323</v>
      </c>
      <c r="AJ30" s="2">
        <v>12.98</v>
      </c>
      <c r="AK30" s="2">
        <v>6.22</v>
      </c>
      <c r="AL30" s="2">
        <v>0.04</v>
      </c>
    </row>
    <row r="31" spans="1:38" x14ac:dyDescent="0.25">
      <c r="C31" s="3" t="s">
        <v>540</v>
      </c>
      <c r="D31" s="3">
        <v>69</v>
      </c>
      <c r="E31" s="2">
        <f>D31/SUM($D$29:$D$31)</f>
        <v>0.20909090909090908</v>
      </c>
      <c r="G31" s="3" t="s">
        <v>64</v>
      </c>
      <c r="H31" s="3" t="s">
        <v>720</v>
      </c>
      <c r="I31" s="2">
        <v>95.08</v>
      </c>
      <c r="J31" s="2">
        <v>12</v>
      </c>
      <c r="K31" s="2">
        <v>0.86</v>
      </c>
      <c r="L31" s="2">
        <v>0.15</v>
      </c>
      <c r="M31" s="2">
        <v>1.63</v>
      </c>
      <c r="N31" s="2">
        <v>1.85</v>
      </c>
      <c r="O31" s="2">
        <v>0.69</v>
      </c>
      <c r="Q31" s="2">
        <v>14.67</v>
      </c>
      <c r="R31" s="2">
        <v>14.01</v>
      </c>
      <c r="S31" s="2">
        <v>4.42</v>
      </c>
      <c r="T31" s="2">
        <v>0.45</v>
      </c>
      <c r="U31" s="2">
        <v>0.02</v>
      </c>
      <c r="V31" s="2">
        <v>0.01</v>
      </c>
      <c r="W31" s="2">
        <v>0.22</v>
      </c>
      <c r="X31" s="2">
        <v>7.0000000000000007E-2</v>
      </c>
      <c r="Z31" s="2">
        <v>25.48</v>
      </c>
      <c r="AA31" s="2">
        <v>6.41</v>
      </c>
      <c r="AB31" s="2">
        <v>59.33</v>
      </c>
      <c r="AC31" s="2">
        <v>0.02</v>
      </c>
      <c r="AD31" s="2">
        <v>154</v>
      </c>
      <c r="AE31" s="2">
        <v>2.76</v>
      </c>
      <c r="AF31" s="2">
        <v>57.1</v>
      </c>
      <c r="AG31" s="2">
        <v>0.32</v>
      </c>
      <c r="AH31" s="2">
        <v>31.42</v>
      </c>
      <c r="AI31" s="2">
        <v>121</v>
      </c>
      <c r="AJ31" s="2">
        <v>4.6900000000000004</v>
      </c>
      <c r="AK31" s="10">
        <f>AVERAGE(AK30)</f>
        <v>6.22</v>
      </c>
      <c r="AL31" s="2">
        <v>0.68</v>
      </c>
    </row>
    <row r="32" spans="1:38" x14ac:dyDescent="0.25">
      <c r="E32" s="2"/>
    </row>
    <row r="33" spans="3:38" x14ac:dyDescent="0.25">
      <c r="C33" s="4" t="s">
        <v>541</v>
      </c>
      <c r="D33" s="4" t="s">
        <v>516</v>
      </c>
      <c r="E33" s="9" t="s">
        <v>534</v>
      </c>
      <c r="G33" s="3" t="s">
        <v>857</v>
      </c>
      <c r="H33" s="4" t="s">
        <v>511</v>
      </c>
      <c r="I33" s="2">
        <f>(I34*$E$34)+(I35*$E$35)+(I36*$E$36)+(I37*$E$37)</f>
        <v>8.7625071341214831</v>
      </c>
      <c r="J33" s="2">
        <f t="shared" ref="J33:AL33" si="10">(J34*$E$34)+(J35*$E$35)+(J36*$E$36)+(J37*$E$37)</f>
        <v>289.0701182225846</v>
      </c>
      <c r="K33" s="2">
        <f t="shared" si="10"/>
        <v>22.795697105584999</v>
      </c>
      <c r="L33" s="2">
        <f t="shared" si="10"/>
        <v>0.84670403587443943</v>
      </c>
      <c r="M33" s="2">
        <f t="shared" si="10"/>
        <v>46.320326131267834</v>
      </c>
      <c r="N33" s="2">
        <f t="shared" si="10"/>
        <v>10.406663269465961</v>
      </c>
      <c r="O33" s="2">
        <f t="shared" si="10"/>
        <v>37.188974724826743</v>
      </c>
      <c r="Q33" s="2">
        <f t="shared" si="10"/>
        <v>57.373114553607827</v>
      </c>
      <c r="R33" s="2">
        <f t="shared" si="10"/>
        <v>88.159147982062791</v>
      </c>
      <c r="S33" s="2">
        <f t="shared" si="10"/>
        <v>6.5807297187117815</v>
      </c>
      <c r="T33" s="2">
        <f t="shared" si="10"/>
        <v>3.3382545182769396</v>
      </c>
      <c r="U33" s="2">
        <f t="shared" si="10"/>
        <v>0.32804117407256422</v>
      </c>
      <c r="V33" s="2">
        <f t="shared" si="10"/>
        <v>0.162060062508493</v>
      </c>
      <c r="W33" s="2">
        <f t="shared" si="10"/>
        <v>1.8028672373963854</v>
      </c>
      <c r="X33" s="2">
        <f t="shared" si="10"/>
        <v>0.23698396521266477</v>
      </c>
      <c r="Z33" s="2">
        <f t="shared" si="10"/>
        <v>87.648050006794421</v>
      </c>
      <c r="AB33" s="2">
        <f t="shared" si="10"/>
        <v>1.9895230330207909</v>
      </c>
      <c r="AC33" s="2">
        <f t="shared" si="10"/>
        <v>0.34495583639081401</v>
      </c>
      <c r="AD33" s="2">
        <f t="shared" si="10"/>
        <v>101.48919690175296</v>
      </c>
      <c r="AE33" s="2">
        <f t="shared" si="10"/>
        <v>129.95193640440277</v>
      </c>
      <c r="AF33" s="2">
        <f t="shared" si="10"/>
        <v>381.35772523440687</v>
      </c>
      <c r="AG33" s="2">
        <f t="shared" si="10"/>
        <v>1.4414913711102051</v>
      </c>
      <c r="AH33" s="2">
        <f t="shared" si="10"/>
        <v>309.90705258866689</v>
      </c>
      <c r="AI33" s="2">
        <f t="shared" si="10"/>
        <v>797.318793314309</v>
      </c>
      <c r="AJ33" s="2">
        <f t="shared" si="10"/>
        <v>63.355391357521398</v>
      </c>
      <c r="AK33" s="2">
        <f t="shared" si="10"/>
        <v>63.003499796167958</v>
      </c>
      <c r="AL33" s="2">
        <f t="shared" si="10"/>
        <v>1.6323991031390135</v>
      </c>
    </row>
    <row r="34" spans="3:38" x14ac:dyDescent="0.25">
      <c r="C34" s="3" t="s">
        <v>542</v>
      </c>
      <c r="D34" s="3">
        <v>3800</v>
      </c>
      <c r="E34" s="2">
        <f>D34/(SUM($D$34:$D$37))</f>
        <v>0.77456176110884634</v>
      </c>
      <c r="G34" s="2" t="s">
        <v>27</v>
      </c>
      <c r="H34" s="2" t="s">
        <v>755</v>
      </c>
      <c r="I34" s="2">
        <v>10.42</v>
      </c>
      <c r="J34" s="2">
        <v>319</v>
      </c>
      <c r="K34" s="2">
        <v>23.09</v>
      </c>
      <c r="L34" s="2">
        <v>0.77</v>
      </c>
      <c r="M34" s="2">
        <v>53.08</v>
      </c>
      <c r="N34" s="2">
        <v>10.49</v>
      </c>
      <c r="O34" s="2">
        <v>43.94</v>
      </c>
      <c r="Q34" s="2">
        <v>41.27</v>
      </c>
      <c r="R34" s="2">
        <v>66.63</v>
      </c>
      <c r="S34" s="2">
        <v>7.45</v>
      </c>
      <c r="T34" s="2">
        <v>3.34</v>
      </c>
      <c r="U34" s="2">
        <v>0.32</v>
      </c>
      <c r="V34" s="2">
        <v>0.16</v>
      </c>
      <c r="W34" s="2">
        <v>1.8</v>
      </c>
      <c r="X34" s="2">
        <v>0.22</v>
      </c>
      <c r="Z34" s="2">
        <v>55</v>
      </c>
      <c r="AB34" s="2">
        <v>1.06</v>
      </c>
      <c r="AC34" s="2">
        <v>0.17</v>
      </c>
      <c r="AD34" s="2">
        <v>93.06</v>
      </c>
      <c r="AE34" s="2">
        <v>115</v>
      </c>
      <c r="AF34" s="2">
        <v>346</v>
      </c>
      <c r="AG34" s="2">
        <v>1.33</v>
      </c>
      <c r="AH34" s="2">
        <v>308</v>
      </c>
      <c r="AI34" s="2">
        <v>798</v>
      </c>
      <c r="AJ34" s="2">
        <v>10.24</v>
      </c>
      <c r="AK34" s="2">
        <v>69.260000000000005</v>
      </c>
      <c r="AL34" s="2">
        <v>2.0099999999999998</v>
      </c>
    </row>
    <row r="35" spans="3:38" x14ac:dyDescent="0.25">
      <c r="C35" s="3" t="s">
        <v>543</v>
      </c>
      <c r="D35" s="3">
        <v>718</v>
      </c>
      <c r="E35" s="2">
        <f>D35/(SUM($D$34:$D$37))</f>
        <v>0.14635140644109254</v>
      </c>
      <c r="G35" s="3">
        <v>1629481</v>
      </c>
      <c r="H35" s="3" t="s">
        <v>496</v>
      </c>
      <c r="J35" s="2">
        <v>123</v>
      </c>
      <c r="K35" s="2">
        <v>22.8</v>
      </c>
      <c r="L35" s="2">
        <v>0</v>
      </c>
      <c r="M35" s="2">
        <v>10.5</v>
      </c>
      <c r="N35" s="2">
        <v>5.3</v>
      </c>
      <c r="Q35" s="2">
        <v>105</v>
      </c>
      <c r="R35" s="10">
        <f>AVERAGE(R34,R36,R37)</f>
        <v>148.21</v>
      </c>
      <c r="S35" s="2">
        <v>2.5299999999999998</v>
      </c>
      <c r="T35" s="10">
        <f>AVERAGE(T34,T36,T37)</f>
        <v>3.3366666666666664</v>
      </c>
      <c r="U35" s="10">
        <f t="shared" ref="U35:X35" si="11">AVERAGE(U34,U36,U37)</f>
        <v>0.35000000000000003</v>
      </c>
      <c r="V35" s="10">
        <f t="shared" si="11"/>
        <v>0.16666666666666666</v>
      </c>
      <c r="W35" s="10">
        <f t="shared" si="11"/>
        <v>1.8066666666666666</v>
      </c>
      <c r="X35" s="10">
        <f t="shared" si="11"/>
        <v>0.28333333333333333</v>
      </c>
      <c r="Y35" s="10"/>
      <c r="Z35" s="10">
        <f>AVERAGE(Z34,Z36,Z37)</f>
        <v>178.33333333333334</v>
      </c>
      <c r="AA35" s="2">
        <v>0</v>
      </c>
      <c r="AB35" s="2">
        <v>0</v>
      </c>
      <c r="AC35" s="10">
        <f>AVERAGE(AC34,AC36,AC37)</f>
        <v>0.82333333333333325</v>
      </c>
      <c r="AD35" s="2">
        <v>0</v>
      </c>
      <c r="AE35" s="2">
        <v>0</v>
      </c>
      <c r="AF35" s="2">
        <v>0</v>
      </c>
      <c r="AG35" s="10">
        <f>AVERAGE(AG34,AG36,AG37)</f>
        <v>1.7466666666666668</v>
      </c>
      <c r="AH35" s="10">
        <f>AVERAGE(AH34,AH36,AH37)</f>
        <v>316</v>
      </c>
      <c r="AI35" s="2">
        <v>649</v>
      </c>
      <c r="AJ35" s="2">
        <v>368</v>
      </c>
      <c r="AK35" s="10">
        <f>AVERAGE(AK34,AK36,AK37)</f>
        <v>45.550000000000004</v>
      </c>
    </row>
    <row r="36" spans="3:38" x14ac:dyDescent="0.25">
      <c r="C36" s="3" t="s">
        <v>544</v>
      </c>
      <c r="D36" s="3">
        <v>203</v>
      </c>
      <c r="E36" s="2">
        <f>D36/(SUM($D$34:$D$37))</f>
        <v>4.1377904606604156E-2</v>
      </c>
      <c r="G36" s="2" t="s">
        <v>21</v>
      </c>
      <c r="H36" s="2" t="s">
        <v>748</v>
      </c>
      <c r="I36" s="2">
        <v>8.2200000000000006</v>
      </c>
      <c r="J36" s="2">
        <v>288</v>
      </c>
      <c r="K36" s="2">
        <v>18.68</v>
      </c>
      <c r="L36" s="2">
        <v>5.01</v>
      </c>
      <c r="M36" s="2">
        <v>39.69</v>
      </c>
      <c r="N36" s="2">
        <v>25.73</v>
      </c>
      <c r="O36" s="2">
        <v>34.020000000000003</v>
      </c>
      <c r="Q36" s="2">
        <v>166</v>
      </c>
      <c r="R36" s="2">
        <v>165</v>
      </c>
      <c r="S36" s="2">
        <v>6.04</v>
      </c>
      <c r="T36" s="2">
        <v>3.1</v>
      </c>
      <c r="U36" s="2">
        <v>0.39</v>
      </c>
      <c r="V36" s="2">
        <v>0.25</v>
      </c>
      <c r="W36" s="2">
        <v>2.11</v>
      </c>
      <c r="X36" s="2">
        <v>0.37</v>
      </c>
      <c r="Z36" s="2">
        <v>231</v>
      </c>
      <c r="AB36" s="2">
        <v>27</v>
      </c>
      <c r="AC36" s="2">
        <v>1.65</v>
      </c>
      <c r="AD36" s="2">
        <v>451</v>
      </c>
      <c r="AE36" s="2">
        <v>924</v>
      </c>
      <c r="AF36" s="2">
        <v>2232</v>
      </c>
      <c r="AG36" s="2">
        <v>2.25</v>
      </c>
      <c r="AH36" s="2">
        <v>262</v>
      </c>
      <c r="AI36" s="2">
        <v>903</v>
      </c>
      <c r="AJ36" s="2">
        <v>26.45</v>
      </c>
      <c r="AK36" s="2">
        <v>40.840000000000003</v>
      </c>
      <c r="AL36" s="2">
        <v>0.75</v>
      </c>
    </row>
    <row r="37" spans="3:38" x14ac:dyDescent="0.25">
      <c r="C37" s="3" t="s">
        <v>545</v>
      </c>
      <c r="D37" s="3">
        <v>185</v>
      </c>
      <c r="E37" s="2">
        <f>D37/(SUM($D$34:$D$37))</f>
        <v>3.7708927843456988E-2</v>
      </c>
      <c r="G37" s="3" t="s">
        <v>299</v>
      </c>
      <c r="H37" s="3" t="s">
        <v>751</v>
      </c>
      <c r="I37" s="2">
        <v>9.32</v>
      </c>
      <c r="J37" s="2">
        <v>320</v>
      </c>
      <c r="K37" s="2">
        <v>21.25</v>
      </c>
      <c r="L37" s="2">
        <v>1.1399999999999999</v>
      </c>
      <c r="M37" s="2">
        <v>53.77</v>
      </c>
      <c r="N37" s="2">
        <v>11.7</v>
      </c>
      <c r="O37" s="2">
        <v>46.33</v>
      </c>
      <c r="Q37" s="2">
        <v>84.1</v>
      </c>
      <c r="R37" s="2">
        <v>213</v>
      </c>
      <c r="S37" s="2">
        <v>5.04</v>
      </c>
      <c r="T37" s="2">
        <v>3.57</v>
      </c>
      <c r="U37" s="2">
        <v>0.34</v>
      </c>
      <c r="V37" s="2">
        <v>0.09</v>
      </c>
      <c r="W37" s="2">
        <v>1.51</v>
      </c>
      <c r="X37" s="2">
        <v>0.26</v>
      </c>
      <c r="Z37" s="2">
        <v>249</v>
      </c>
      <c r="AB37" s="2">
        <v>1.36</v>
      </c>
      <c r="AC37" s="2">
        <v>0.65</v>
      </c>
      <c r="AD37" s="2">
        <v>285</v>
      </c>
      <c r="AE37" s="2">
        <v>70.12</v>
      </c>
      <c r="AF37" s="2">
        <v>557</v>
      </c>
      <c r="AG37" s="2">
        <v>1.66</v>
      </c>
      <c r="AH37" s="2">
        <v>378</v>
      </c>
      <c r="AI37" s="2">
        <v>1243</v>
      </c>
      <c r="AJ37" s="2">
        <v>12.52</v>
      </c>
      <c r="AK37" s="2">
        <v>26.55</v>
      </c>
      <c r="AL37" s="2">
        <v>1.18</v>
      </c>
    </row>
    <row r="38" spans="3:38" x14ac:dyDescent="0.25">
      <c r="E38" s="2"/>
    </row>
    <row r="39" spans="3:38" x14ac:dyDescent="0.25">
      <c r="C39" s="4" t="s">
        <v>546</v>
      </c>
      <c r="D39" s="4" t="s">
        <v>516</v>
      </c>
      <c r="E39" s="9" t="s">
        <v>534</v>
      </c>
      <c r="G39" s="6" t="s">
        <v>858</v>
      </c>
      <c r="H39" s="4" t="s">
        <v>512</v>
      </c>
      <c r="I39" s="2">
        <f>(I40*$E$40)+(I41*$E$41)+(I42*$E$42)+(I43*$E$43)+(I44*$E$44)+(I45*$E$45)</f>
        <v>84.838766035430666</v>
      </c>
      <c r="J39" s="2">
        <f t="shared" ref="J39:AL39" si="12">(J40*$E$40)+(J41*$E$41)+(J42*$E$42)+(J43*$E$43)+(J44*$E$44)+(J45*$E$45)</f>
        <v>38.717165546731827</v>
      </c>
      <c r="K39" s="2">
        <f t="shared" si="12"/>
        <v>3.7585949908368965</v>
      </c>
      <c r="L39" s="2">
        <f t="shared" si="12"/>
        <v>0.99998778252901654</v>
      </c>
      <c r="M39" s="2">
        <f t="shared" si="12"/>
        <v>3.2359193646915085</v>
      </c>
      <c r="N39" s="2">
        <f>(N40*$E$40)+(N41*$E$41)+(N42*$E$42)+(N43*$E$43)+(N44*$E$44)+(N45*$E$45)</f>
        <v>5.3441478313989004</v>
      </c>
      <c r="O39" s="2">
        <f t="shared" si="12"/>
        <v>1.8973671350030545</v>
      </c>
      <c r="Q39" s="2">
        <f t="shared" si="12"/>
        <v>187.35543677458767</v>
      </c>
      <c r="R39" s="2">
        <f t="shared" si="12"/>
        <v>73.516682956627989</v>
      </c>
      <c r="S39" s="2">
        <f t="shared" si="12"/>
        <v>2.8182284667073914</v>
      </c>
      <c r="T39" s="2">
        <f t="shared" si="12"/>
        <v>0.90772755039706787</v>
      </c>
      <c r="U39" s="2">
        <f t="shared" si="12"/>
        <v>3.9266951740989611E-2</v>
      </c>
      <c r="V39" s="2">
        <f t="shared" si="12"/>
        <v>0.20332315210751378</v>
      </c>
      <c r="W39" s="2">
        <f t="shared" si="12"/>
        <v>0.72994502138057427</v>
      </c>
      <c r="X39" s="2">
        <f t="shared" si="12"/>
        <v>0.40448992058643862</v>
      </c>
      <c r="Z39" s="2">
        <f t="shared" si="12"/>
        <v>68.412675626145386</v>
      </c>
      <c r="AA39" s="2">
        <f t="shared" si="12"/>
        <v>48.881649358582777</v>
      </c>
      <c r="AB39" s="2">
        <f t="shared" si="12"/>
        <v>1109.9834147831398</v>
      </c>
      <c r="AC39" s="2">
        <f t="shared" si="12"/>
        <v>0.36848381185094681</v>
      </c>
      <c r="AD39" s="2">
        <f t="shared" si="12"/>
        <v>209.31368356750153</v>
      </c>
      <c r="AE39" s="2">
        <f t="shared" si="12"/>
        <v>58.881643249847272</v>
      </c>
      <c r="AF39" s="2">
        <f t="shared" si="12"/>
        <v>276.32919364691509</v>
      </c>
      <c r="AG39" s="2">
        <f t="shared" si="12"/>
        <v>0.3996334758704948</v>
      </c>
      <c r="AH39" s="2">
        <f t="shared" si="12"/>
        <v>60.750983506414165</v>
      </c>
      <c r="AI39" s="2">
        <f t="shared" si="12"/>
        <v>426.04581551618816</v>
      </c>
      <c r="AJ39" s="2">
        <f t="shared" si="12"/>
        <v>21.812388515577272</v>
      </c>
      <c r="AK39" s="2">
        <f t="shared" si="12"/>
        <v>14.135094685400123</v>
      </c>
      <c r="AL39" s="2">
        <f t="shared" si="12"/>
        <v>0.41947464874770923</v>
      </c>
    </row>
    <row r="40" spans="3:38" x14ac:dyDescent="0.25">
      <c r="C40" s="3" t="s">
        <v>547</v>
      </c>
      <c r="D40" s="3">
        <v>405</v>
      </c>
      <c r="E40" s="2">
        <f t="shared" ref="E40:E45" si="13">D40/(SUM($D$40:$D$45))</f>
        <v>0.24740378741600488</v>
      </c>
      <c r="G40" s="3" t="s">
        <v>40</v>
      </c>
      <c r="H40" s="3" t="s">
        <v>836</v>
      </c>
      <c r="I40" s="2">
        <v>77.37</v>
      </c>
      <c r="J40" s="2">
        <v>59</v>
      </c>
      <c r="K40" s="2">
        <v>6.03</v>
      </c>
      <c r="L40" s="2">
        <v>1.74</v>
      </c>
      <c r="M40" s="2">
        <v>3.96</v>
      </c>
      <c r="N40" s="2">
        <v>8.2899999999999991</v>
      </c>
      <c r="O40" s="2">
        <v>2.52</v>
      </c>
      <c r="Q40" s="2">
        <v>308</v>
      </c>
      <c r="R40" s="2">
        <v>97.12</v>
      </c>
      <c r="S40" s="2">
        <v>5.6</v>
      </c>
      <c r="T40" s="2">
        <v>0.61</v>
      </c>
      <c r="U40" s="2">
        <v>0.06</v>
      </c>
      <c r="V40" s="2">
        <v>0.48</v>
      </c>
      <c r="W40" s="2">
        <v>0.89</v>
      </c>
      <c r="X40" s="2">
        <v>0.93</v>
      </c>
      <c r="Z40" s="2">
        <v>45.52</v>
      </c>
      <c r="AA40" s="2">
        <v>92</v>
      </c>
      <c r="AB40" s="2">
        <v>2664</v>
      </c>
      <c r="AC40" s="2">
        <v>0.3</v>
      </c>
      <c r="AD40" s="2">
        <v>588</v>
      </c>
      <c r="AE40" s="2">
        <v>111</v>
      </c>
      <c r="AF40" s="2">
        <v>693</v>
      </c>
      <c r="AG40" s="2">
        <v>0.43</v>
      </c>
      <c r="AH40" s="2">
        <v>104</v>
      </c>
      <c r="AI40" s="2">
        <v>399</v>
      </c>
      <c r="AJ40" s="2">
        <v>8.6999999999999993</v>
      </c>
      <c r="AK40" s="2">
        <v>6.26</v>
      </c>
      <c r="AL40" s="2">
        <v>0.02</v>
      </c>
    </row>
    <row r="41" spans="3:38" x14ac:dyDescent="0.25">
      <c r="C41" s="3" t="s">
        <v>548</v>
      </c>
      <c r="D41" s="3">
        <v>319</v>
      </c>
      <c r="E41" s="2">
        <f t="shared" si="13"/>
        <v>0.19486866218692731</v>
      </c>
      <c r="G41" s="3" t="s">
        <v>65</v>
      </c>
      <c r="H41" s="3" t="s">
        <v>721</v>
      </c>
      <c r="I41" s="2">
        <v>87.38</v>
      </c>
      <c r="J41" s="2">
        <v>28</v>
      </c>
      <c r="K41" s="2">
        <v>3.15</v>
      </c>
      <c r="L41" s="2">
        <v>0.55000000000000004</v>
      </c>
      <c r="M41" s="2">
        <v>2.34</v>
      </c>
      <c r="N41" s="2">
        <v>5.18</v>
      </c>
      <c r="O41" s="2">
        <v>1.42</v>
      </c>
      <c r="Q41" s="2">
        <v>135</v>
      </c>
      <c r="R41" s="2">
        <v>45.38</v>
      </c>
      <c r="S41" s="2">
        <v>1.7</v>
      </c>
      <c r="T41" s="2">
        <v>1.03</v>
      </c>
      <c r="U41" s="10">
        <f>AVERAGE(U40,U43,U45)</f>
        <v>3.6666666666666667E-2</v>
      </c>
      <c r="V41" s="2">
        <v>0.09</v>
      </c>
      <c r="W41" s="2">
        <v>0.7</v>
      </c>
      <c r="X41" s="2">
        <v>0.27</v>
      </c>
      <c r="Z41" s="2">
        <v>96.14</v>
      </c>
      <c r="AA41" s="2">
        <v>3.24</v>
      </c>
      <c r="AB41" s="2">
        <v>92.25</v>
      </c>
      <c r="AC41" s="2">
        <v>0.31</v>
      </c>
      <c r="AD41" s="2">
        <v>61.06</v>
      </c>
      <c r="AE41" s="2">
        <v>94.71</v>
      </c>
      <c r="AF41" s="2">
        <v>83.01</v>
      </c>
      <c r="AG41" s="2">
        <v>0.54</v>
      </c>
      <c r="AH41" s="2">
        <v>42.44</v>
      </c>
      <c r="AI41" s="2">
        <v>450</v>
      </c>
      <c r="AJ41" s="2">
        <v>31.87</v>
      </c>
      <c r="AK41" s="2">
        <v>31.78</v>
      </c>
      <c r="AL41" s="2">
        <v>0.66</v>
      </c>
    </row>
    <row r="42" spans="3:38" x14ac:dyDescent="0.25">
      <c r="C42" s="3" t="s">
        <v>549</v>
      </c>
      <c r="D42" s="3">
        <v>239</v>
      </c>
      <c r="E42" s="2">
        <f t="shared" si="13"/>
        <v>0.14599877825290164</v>
      </c>
      <c r="G42" s="3" t="s">
        <v>28</v>
      </c>
      <c r="H42" s="3" t="s">
        <v>828</v>
      </c>
      <c r="I42" s="2">
        <v>80.48</v>
      </c>
      <c r="J42" s="2">
        <v>64</v>
      </c>
      <c r="K42" s="2">
        <v>6.13</v>
      </c>
      <c r="L42" s="2">
        <v>1.92</v>
      </c>
      <c r="M42" s="2">
        <v>5.37</v>
      </c>
      <c r="N42" s="2">
        <v>3.9</v>
      </c>
      <c r="O42" s="2">
        <v>4.82</v>
      </c>
      <c r="Q42" s="2">
        <v>196</v>
      </c>
      <c r="R42" s="2">
        <v>26.93</v>
      </c>
      <c r="S42" s="2">
        <v>2.79</v>
      </c>
      <c r="T42" s="2">
        <v>1.73</v>
      </c>
      <c r="U42" s="10">
        <f>AVERAGE(U40,U43,U45)</f>
        <v>3.6666666666666667E-2</v>
      </c>
      <c r="V42" s="2">
        <v>0.15</v>
      </c>
      <c r="W42" s="2">
        <v>0.99</v>
      </c>
      <c r="X42" s="2">
        <v>0.28000000000000003</v>
      </c>
      <c r="Z42" s="2">
        <v>78.03</v>
      </c>
      <c r="AA42" s="2">
        <v>63.72</v>
      </c>
      <c r="AB42" s="2">
        <v>1374</v>
      </c>
      <c r="AC42" s="10">
        <f>AVERAGE(AC40,AC41,AC43,AC44,AC45)</f>
        <v>0.38200000000000001</v>
      </c>
      <c r="AG42" s="2">
        <v>0.33</v>
      </c>
      <c r="AH42" s="2">
        <v>56.63</v>
      </c>
      <c r="AI42" s="2">
        <v>500</v>
      </c>
      <c r="AJ42" s="2">
        <v>13.83</v>
      </c>
      <c r="AK42" s="2">
        <v>8.42</v>
      </c>
      <c r="AL42" s="2">
        <v>0.15</v>
      </c>
    </row>
    <row r="43" spans="3:38" x14ac:dyDescent="0.25">
      <c r="C43" s="3" t="s">
        <v>550</v>
      </c>
      <c r="D43" s="3">
        <v>226</v>
      </c>
      <c r="E43" s="2">
        <f t="shared" si="13"/>
        <v>0.13805742211362249</v>
      </c>
      <c r="G43" s="3" t="s">
        <v>93</v>
      </c>
      <c r="H43" s="3" t="s">
        <v>789</v>
      </c>
      <c r="I43" s="2">
        <v>92.2</v>
      </c>
      <c r="J43" s="2">
        <v>21</v>
      </c>
      <c r="K43" s="2">
        <v>1.35</v>
      </c>
      <c r="L43" s="2">
        <v>0.14000000000000001</v>
      </c>
      <c r="M43" s="2">
        <v>3.15</v>
      </c>
      <c r="N43" s="2">
        <v>2.48</v>
      </c>
      <c r="O43" s="2">
        <v>0.31</v>
      </c>
      <c r="Q43" s="2">
        <v>56.85</v>
      </c>
      <c r="R43" s="2">
        <v>18.47</v>
      </c>
      <c r="S43" s="2">
        <v>0.33</v>
      </c>
      <c r="T43" s="2">
        <v>0.16</v>
      </c>
      <c r="U43" s="2">
        <v>0.04</v>
      </c>
      <c r="V43" s="2">
        <v>0.05</v>
      </c>
      <c r="W43" s="2">
        <v>0.25</v>
      </c>
      <c r="X43" s="2">
        <v>0.14000000000000001</v>
      </c>
      <c r="Z43" s="2">
        <v>52.66</v>
      </c>
      <c r="AA43" s="2">
        <v>29.62</v>
      </c>
      <c r="AB43" s="2">
        <v>3.35</v>
      </c>
      <c r="AC43" s="2">
        <v>0.04</v>
      </c>
      <c r="AD43" s="2">
        <v>50.36</v>
      </c>
      <c r="AE43" s="2">
        <v>30.69</v>
      </c>
      <c r="AF43" s="2">
        <v>94.95</v>
      </c>
      <c r="AG43" s="2">
        <v>0.24</v>
      </c>
      <c r="AH43" s="2">
        <v>27.68</v>
      </c>
      <c r="AI43" s="2">
        <v>213</v>
      </c>
      <c r="AJ43" s="2">
        <v>18.05</v>
      </c>
      <c r="AK43" s="2">
        <v>1.1000000000000001</v>
      </c>
      <c r="AL43" s="2">
        <v>0.91</v>
      </c>
    </row>
    <row r="44" spans="3:38" x14ac:dyDescent="0.25">
      <c r="C44" s="3" t="s">
        <v>551</v>
      </c>
      <c r="D44" s="3">
        <v>225</v>
      </c>
      <c r="E44" s="2">
        <f t="shared" si="13"/>
        <v>0.13744654856444716</v>
      </c>
      <c r="G44" s="3" t="s">
        <v>46</v>
      </c>
      <c r="H44" s="3" t="s">
        <v>497</v>
      </c>
      <c r="I44" s="2">
        <v>90.18</v>
      </c>
      <c r="J44" s="2">
        <v>15</v>
      </c>
      <c r="K44" s="2">
        <v>0.64</v>
      </c>
      <c r="L44" s="2">
        <v>0.47</v>
      </c>
      <c r="M44" s="2">
        <v>1.93</v>
      </c>
      <c r="N44" s="2">
        <v>5.73</v>
      </c>
      <c r="O44" s="2">
        <v>1.1399999999999999</v>
      </c>
      <c r="Q44" s="2">
        <v>96.31</v>
      </c>
      <c r="R44" s="2">
        <v>41.42</v>
      </c>
      <c r="S44" s="2">
        <v>1.25</v>
      </c>
      <c r="T44" s="2">
        <v>0.66</v>
      </c>
      <c r="U44" s="10">
        <f>AVERAGE(U40,U43,U45)</f>
        <v>3.6666666666666667E-2</v>
      </c>
      <c r="V44" s="2">
        <v>7.0000000000000007E-2</v>
      </c>
      <c r="W44" s="2">
        <v>0.7</v>
      </c>
      <c r="X44" s="2">
        <v>0.23</v>
      </c>
      <c r="Z44" s="2">
        <v>70.11</v>
      </c>
      <c r="AA44" s="2">
        <v>6.74</v>
      </c>
      <c r="AB44" s="2">
        <v>226</v>
      </c>
      <c r="AC44" s="2">
        <v>0.75</v>
      </c>
      <c r="AD44" s="2">
        <v>140</v>
      </c>
      <c r="AE44" s="2">
        <v>18.059999999999999</v>
      </c>
      <c r="AF44" s="2">
        <v>214</v>
      </c>
      <c r="AG44" s="2">
        <v>0.37</v>
      </c>
      <c r="AH44" s="2">
        <v>21.93</v>
      </c>
      <c r="AI44" s="2">
        <v>381</v>
      </c>
      <c r="AJ44" s="2">
        <v>46.29</v>
      </c>
      <c r="AK44" s="2">
        <v>18.28</v>
      </c>
      <c r="AL44" s="2">
        <v>0.65</v>
      </c>
    </row>
    <row r="45" spans="3:38" x14ac:dyDescent="0.25">
      <c r="C45" s="3" t="s">
        <v>552</v>
      </c>
      <c r="D45" s="3">
        <v>223</v>
      </c>
      <c r="E45" s="2">
        <f t="shared" si="13"/>
        <v>0.13622480146609653</v>
      </c>
      <c r="G45" s="3" t="s">
        <v>300</v>
      </c>
      <c r="H45" s="3" t="s">
        <v>767</v>
      </c>
      <c r="I45" s="2">
        <v>86.59</v>
      </c>
      <c r="J45" s="2">
        <v>32</v>
      </c>
      <c r="K45" s="2">
        <v>3.55</v>
      </c>
      <c r="L45" s="2">
        <v>0.72</v>
      </c>
      <c r="M45" s="2">
        <v>2.3199999999999998</v>
      </c>
      <c r="N45" s="2">
        <v>4.29</v>
      </c>
      <c r="O45" s="2">
        <v>0.69</v>
      </c>
      <c r="Q45" s="2">
        <v>258</v>
      </c>
      <c r="R45" s="2">
        <v>209</v>
      </c>
      <c r="S45" s="2">
        <v>3.5</v>
      </c>
      <c r="T45" s="2">
        <v>1.4</v>
      </c>
      <c r="U45" s="2">
        <v>0.01</v>
      </c>
      <c r="V45" s="2">
        <v>0.21</v>
      </c>
      <c r="W45" s="2">
        <v>0.72</v>
      </c>
      <c r="X45" s="2">
        <v>0.22</v>
      </c>
      <c r="Z45" s="2">
        <v>74.27</v>
      </c>
      <c r="AA45" s="2">
        <v>82</v>
      </c>
      <c r="AB45" s="2">
        <v>1474</v>
      </c>
      <c r="AC45" s="2">
        <v>0.51</v>
      </c>
      <c r="AD45" s="2">
        <v>189</v>
      </c>
      <c r="AE45" s="2">
        <v>45.84</v>
      </c>
      <c r="AF45" s="2">
        <v>339</v>
      </c>
      <c r="AG45" s="2">
        <v>0.41</v>
      </c>
      <c r="AH45" s="2">
        <v>85.5</v>
      </c>
      <c r="AI45" s="2">
        <v>623</v>
      </c>
      <c r="AJ45" s="2">
        <v>18.91</v>
      </c>
      <c r="AK45" s="2">
        <v>18.350000000000001</v>
      </c>
      <c r="AL45" s="2">
        <v>0.36</v>
      </c>
    </row>
    <row r="46" spans="3:38" x14ac:dyDescent="0.25">
      <c r="E46" s="2"/>
    </row>
    <row r="47" spans="3:38" x14ac:dyDescent="0.25">
      <c r="C47" s="4" t="s">
        <v>553</v>
      </c>
      <c r="D47" s="4" t="s">
        <v>516</v>
      </c>
      <c r="E47" s="9" t="s">
        <v>534</v>
      </c>
      <c r="G47" s="6" t="s">
        <v>859</v>
      </c>
      <c r="H47" s="4" t="s">
        <v>513</v>
      </c>
      <c r="I47" s="2">
        <f>(I48*$E$48)+(I49*$E$49)+(I50*$E$50)+(I51*$E$51)+(I52*$E$52)+(I53*$E$53)</f>
        <v>88.693511695906437</v>
      </c>
      <c r="J47" s="2">
        <f t="shared" ref="J47:AL47" si="14">(J48*$E$48)+(J49*$E$49)+(J50*$E$50)+(J51*$E$51)+(J52*$E$52)+(J53*$E$53)</f>
        <v>24.62719298245614</v>
      </c>
      <c r="K47" s="2">
        <f t="shared" si="14"/>
        <v>2.3440380116959063</v>
      </c>
      <c r="L47" s="2">
        <f t="shared" si="14"/>
        <v>0.29878654970760232</v>
      </c>
      <c r="M47" s="2">
        <f t="shared" si="14"/>
        <v>2.7738333333333332</v>
      </c>
      <c r="N47" s="2">
        <f t="shared" si="14"/>
        <v>5.093599415204678</v>
      </c>
      <c r="O47" s="2">
        <f t="shared" si="14"/>
        <v>0.92826608187134507</v>
      </c>
      <c r="Q47" s="2">
        <f t="shared" si="14"/>
        <v>33.72373976608187</v>
      </c>
      <c r="R47" s="2">
        <f t="shared" si="14"/>
        <v>27.85874561403509</v>
      </c>
      <c r="S47" s="2">
        <f t="shared" si="14"/>
        <v>0.74308771929824546</v>
      </c>
      <c r="T47" s="2">
        <f t="shared" si="14"/>
        <v>0.19377777777777777</v>
      </c>
      <c r="U47" s="2">
        <f t="shared" si="14"/>
        <v>4.9449561403508778E-2</v>
      </c>
      <c r="V47" s="2">
        <f t="shared" si="14"/>
        <v>8.3874269005847948E-2</v>
      </c>
      <c r="W47" s="2">
        <f t="shared" si="14"/>
        <v>1.5551578947368419</v>
      </c>
      <c r="X47" s="2">
        <f t="shared" si="14"/>
        <v>0.14766959064327484</v>
      </c>
      <c r="Z47" s="2">
        <f t="shared" si="14"/>
        <v>67.17272222222222</v>
      </c>
      <c r="AA47" s="2">
        <f t="shared" si="14"/>
        <v>12.495769005847952</v>
      </c>
      <c r="AB47" s="2">
        <f>(AB48*$E$48)+(AB49*$E$49)+(AB50*$E$50)+(AB51*$E$51)+(AB52*$E$52)+(AB53*$E$53)</f>
        <v>29.720477777777774</v>
      </c>
      <c r="AC47" s="2">
        <f t="shared" si="14"/>
        <v>9.6865497076023391E-2</v>
      </c>
      <c r="AD47" s="2">
        <f t="shared" si="14"/>
        <v>122.4260701754386</v>
      </c>
      <c r="AE47" s="2">
        <f t="shared" si="14"/>
        <v>20.731970760233914</v>
      </c>
      <c r="AF47" s="2">
        <f t="shared" si="14"/>
        <v>145.51067543859651</v>
      </c>
      <c r="AG47" s="2">
        <f t="shared" si="14"/>
        <v>0.56831871345029239</v>
      </c>
      <c r="AH47" s="2">
        <f t="shared" si="14"/>
        <v>42.258751461988297</v>
      </c>
      <c r="AI47" s="2">
        <f t="shared" si="14"/>
        <v>257.07543859649121</v>
      </c>
      <c r="AJ47" s="2">
        <f t="shared" si="14"/>
        <v>6.8639122807017543</v>
      </c>
      <c r="AK47" s="2">
        <f>(AK48*$E$48)+(AK49*$E$49)+(AK50*$E$50)+(AK51*$E$51)+(AK52*$E$52)+(AK53*$E$53)</f>
        <v>3.1352748538011697</v>
      </c>
      <c r="AL47" s="2">
        <f t="shared" si="14"/>
        <v>0.88790935672514615</v>
      </c>
    </row>
    <row r="48" spans="3:38" x14ac:dyDescent="0.25">
      <c r="C48" s="3" t="s">
        <v>554</v>
      </c>
      <c r="D48" s="3">
        <v>1384</v>
      </c>
      <c r="E48" s="2">
        <f t="shared" ref="E48:E53" si="15">D48/(SUM($D$48:$D$53))</f>
        <v>0.40467836257309941</v>
      </c>
      <c r="G48" s="3" t="s">
        <v>87</v>
      </c>
      <c r="H48" s="3" t="s">
        <v>783</v>
      </c>
      <c r="I48" s="2">
        <v>90.4</v>
      </c>
      <c r="J48" s="2">
        <v>24</v>
      </c>
      <c r="K48" s="2">
        <v>1.28</v>
      </c>
      <c r="L48" s="2">
        <v>0.33</v>
      </c>
      <c r="M48" s="2">
        <v>3.46</v>
      </c>
      <c r="N48" s="2">
        <v>3.83</v>
      </c>
      <c r="O48" s="2">
        <v>1.03</v>
      </c>
      <c r="Q48" s="2">
        <v>14.4</v>
      </c>
      <c r="R48" s="2">
        <v>21.18</v>
      </c>
      <c r="S48" s="2">
        <v>0.28000000000000003</v>
      </c>
      <c r="T48" s="2">
        <v>0.16</v>
      </c>
      <c r="U48" s="2">
        <v>0.05</v>
      </c>
      <c r="V48" s="2">
        <v>0.12</v>
      </c>
      <c r="W48" s="2">
        <v>0.57999999999999996</v>
      </c>
      <c r="X48" s="2">
        <v>0.11</v>
      </c>
      <c r="Z48" s="2">
        <v>32.94</v>
      </c>
      <c r="AA48" s="2">
        <v>3.37</v>
      </c>
      <c r="AB48" s="2">
        <v>16.829999999999998</v>
      </c>
      <c r="AC48" s="2">
        <v>0.08</v>
      </c>
      <c r="AD48" s="2">
        <v>82.07</v>
      </c>
      <c r="AE48" s="2">
        <v>20.2</v>
      </c>
      <c r="AF48" s="2">
        <v>162</v>
      </c>
      <c r="AG48" s="2">
        <v>0.35</v>
      </c>
      <c r="AH48" s="2">
        <v>29.51</v>
      </c>
      <c r="AI48" s="2">
        <v>178</v>
      </c>
      <c r="AJ48" s="2">
        <v>3.04</v>
      </c>
      <c r="AK48" s="10">
        <f>AVERAGE(AK49,AK51,AK52,AK53)</f>
        <v>3.32</v>
      </c>
      <c r="AL48" s="2">
        <v>0.97</v>
      </c>
    </row>
    <row r="49" spans="1:38" x14ac:dyDescent="0.25">
      <c r="C49" s="3" t="s">
        <v>555</v>
      </c>
      <c r="D49" s="3">
        <v>1118</v>
      </c>
      <c r="E49" s="2">
        <f t="shared" si="15"/>
        <v>0.32690058479532164</v>
      </c>
      <c r="G49" s="3" t="s">
        <v>315</v>
      </c>
      <c r="H49" s="3" t="s">
        <v>777</v>
      </c>
      <c r="I49" s="2">
        <v>88.33</v>
      </c>
      <c r="J49" s="2">
        <v>24</v>
      </c>
      <c r="K49" s="2">
        <v>3.36</v>
      </c>
      <c r="L49" s="2">
        <v>0.3</v>
      </c>
      <c r="M49" s="2">
        <v>1.99</v>
      </c>
      <c r="N49" s="2">
        <v>5.31</v>
      </c>
      <c r="O49" s="2">
        <v>0.84</v>
      </c>
      <c r="Q49" s="2">
        <v>44.22</v>
      </c>
      <c r="R49" s="2">
        <v>33.17</v>
      </c>
      <c r="S49" s="2">
        <v>1.01</v>
      </c>
      <c r="T49" s="2">
        <v>0.08</v>
      </c>
      <c r="U49" s="10">
        <f>AVERAGE(U48,U50,U51,U52)</f>
        <v>4.7500000000000001E-2</v>
      </c>
      <c r="V49" s="2">
        <v>0.06</v>
      </c>
      <c r="W49" s="2">
        <v>3.66</v>
      </c>
      <c r="X49" s="2">
        <v>0.11</v>
      </c>
      <c r="Z49" s="2">
        <v>99.98</v>
      </c>
      <c r="AA49" s="2">
        <v>8.93</v>
      </c>
      <c r="AB49" s="10">
        <f>AVERAGE(AB48,AB50,AB51,AB52,AB53)</f>
        <v>32.547999999999995</v>
      </c>
      <c r="AC49" s="2">
        <v>7.0000000000000007E-2</v>
      </c>
      <c r="AD49" s="2">
        <v>122</v>
      </c>
      <c r="AE49" s="2">
        <v>8.7899999999999991</v>
      </c>
      <c r="AF49" s="2">
        <v>109</v>
      </c>
      <c r="AG49" s="2">
        <v>0.97</v>
      </c>
      <c r="AH49" s="2">
        <v>52.73</v>
      </c>
      <c r="AI49" s="2">
        <v>304</v>
      </c>
      <c r="AJ49" s="2">
        <v>5.46</v>
      </c>
      <c r="AK49" s="2">
        <v>2.68</v>
      </c>
      <c r="AL49" s="2">
        <v>0.98</v>
      </c>
    </row>
    <row r="50" spans="1:38" x14ac:dyDescent="0.25">
      <c r="C50" s="3" t="s">
        <v>556</v>
      </c>
      <c r="D50" s="3">
        <v>351</v>
      </c>
      <c r="E50" s="2">
        <f t="shared" si="15"/>
        <v>0.10263157894736842</v>
      </c>
      <c r="G50" s="3" t="s">
        <v>302</v>
      </c>
      <c r="H50" s="3" t="s">
        <v>774</v>
      </c>
      <c r="I50" s="2">
        <v>84.08</v>
      </c>
      <c r="J50" s="2">
        <v>30</v>
      </c>
      <c r="K50" s="2">
        <v>3.95</v>
      </c>
      <c r="L50" s="2">
        <v>0.15</v>
      </c>
      <c r="M50" s="2">
        <v>2.19</v>
      </c>
      <c r="N50" s="2">
        <v>8.5299999999999994</v>
      </c>
      <c r="Q50" s="2">
        <v>69.77</v>
      </c>
      <c r="R50" s="2">
        <v>33.49</v>
      </c>
      <c r="S50" s="2">
        <v>1.9</v>
      </c>
      <c r="T50" s="2">
        <v>0.44</v>
      </c>
      <c r="U50" s="2">
        <v>7.0000000000000007E-2</v>
      </c>
      <c r="V50" s="2">
        <v>7.0000000000000007E-2</v>
      </c>
      <c r="W50" s="2">
        <v>0.32</v>
      </c>
      <c r="X50" s="2">
        <v>0.35</v>
      </c>
      <c r="Z50" s="2">
        <v>130</v>
      </c>
      <c r="AA50" s="2">
        <v>5.63</v>
      </c>
      <c r="AB50" s="2">
        <v>99.77</v>
      </c>
      <c r="AC50" s="2">
        <v>0.08</v>
      </c>
      <c r="AD50" s="2">
        <v>187</v>
      </c>
      <c r="AE50" s="2">
        <v>36.17</v>
      </c>
      <c r="AF50" s="2">
        <v>297</v>
      </c>
      <c r="AG50" s="2">
        <v>0.4</v>
      </c>
      <c r="AH50" s="2">
        <v>61.18</v>
      </c>
      <c r="AI50" s="2">
        <v>252</v>
      </c>
      <c r="AJ50" s="2">
        <v>14.1</v>
      </c>
      <c r="AK50" s="10">
        <f>AVERAGE(AK49,AK51,AK52,AK53)</f>
        <v>3.32</v>
      </c>
    </row>
    <row r="51" spans="1:38" x14ac:dyDescent="0.25">
      <c r="C51" s="3" t="s">
        <v>557</v>
      </c>
      <c r="D51" s="3">
        <v>236</v>
      </c>
      <c r="E51" s="2">
        <f t="shared" si="15"/>
        <v>6.9005847953216376E-2</v>
      </c>
      <c r="G51" s="3" t="s">
        <v>39</v>
      </c>
      <c r="H51" s="3" t="s">
        <v>835</v>
      </c>
      <c r="I51" s="2">
        <v>84.94</v>
      </c>
      <c r="J51" s="2">
        <v>30</v>
      </c>
      <c r="K51" s="2">
        <v>2.48</v>
      </c>
      <c r="L51" s="2">
        <v>0.12</v>
      </c>
      <c r="M51" s="2">
        <v>4.1399999999999997</v>
      </c>
      <c r="N51" s="2">
        <v>7.12</v>
      </c>
      <c r="O51" s="2">
        <v>1.1100000000000001</v>
      </c>
      <c r="Q51" s="2">
        <v>22.27</v>
      </c>
      <c r="R51" s="2">
        <v>28.51</v>
      </c>
      <c r="S51" s="2">
        <v>0.5</v>
      </c>
      <c r="T51" s="2">
        <v>0.26</v>
      </c>
      <c r="U51" s="2">
        <v>0.05</v>
      </c>
      <c r="V51" s="2">
        <v>0.06</v>
      </c>
      <c r="W51" s="2">
        <v>0.63</v>
      </c>
      <c r="X51" s="2">
        <v>0.12</v>
      </c>
      <c r="Z51" s="2">
        <v>60.48</v>
      </c>
      <c r="AA51" s="2">
        <v>92.33</v>
      </c>
      <c r="AB51" s="2">
        <v>3.13</v>
      </c>
      <c r="AC51" s="2">
        <v>0.36</v>
      </c>
      <c r="AD51" s="2">
        <v>28.48</v>
      </c>
      <c r="AE51" s="2">
        <v>43.63</v>
      </c>
      <c r="AF51" s="2">
        <v>23.89</v>
      </c>
      <c r="AG51" s="2">
        <v>0.57999999999999996</v>
      </c>
      <c r="AH51" s="2">
        <v>42.07</v>
      </c>
      <c r="AI51" s="2">
        <v>336</v>
      </c>
      <c r="AJ51" s="2">
        <v>21.99</v>
      </c>
      <c r="AK51" s="2">
        <v>3.25</v>
      </c>
      <c r="AL51" s="2">
        <v>1.87</v>
      </c>
    </row>
    <row r="52" spans="1:38" x14ac:dyDescent="0.25">
      <c r="C52" s="3" t="s">
        <v>558</v>
      </c>
      <c r="D52" s="3">
        <v>192</v>
      </c>
      <c r="E52" s="2">
        <f t="shared" si="15"/>
        <v>5.6140350877192984E-2</v>
      </c>
      <c r="G52" s="3" t="s">
        <v>56</v>
      </c>
      <c r="H52" s="3" t="s">
        <v>715</v>
      </c>
      <c r="I52" s="2">
        <v>89.88</v>
      </c>
      <c r="J52" s="2">
        <v>19</v>
      </c>
      <c r="K52" s="2">
        <v>1.36</v>
      </c>
      <c r="L52" s="2">
        <v>0.63</v>
      </c>
      <c r="M52" s="2">
        <v>1.79</v>
      </c>
      <c r="N52" s="2">
        <v>5.12</v>
      </c>
      <c r="O52" s="2">
        <v>1.66</v>
      </c>
      <c r="Q52" s="2">
        <v>35.090000000000003</v>
      </c>
      <c r="R52" s="2">
        <v>31.43</v>
      </c>
      <c r="S52" s="2">
        <v>0.38</v>
      </c>
      <c r="T52" s="2">
        <v>0.39</v>
      </c>
      <c r="U52" s="2">
        <v>0.02</v>
      </c>
      <c r="V52" s="2">
        <v>0.02</v>
      </c>
      <c r="W52" s="2">
        <v>0.27</v>
      </c>
      <c r="X52" s="2">
        <v>0.12</v>
      </c>
      <c r="Z52" s="2">
        <v>40.51</v>
      </c>
      <c r="AA52" s="2">
        <v>8.16</v>
      </c>
      <c r="AB52" s="2">
        <v>4.2699999999999996</v>
      </c>
      <c r="AC52" s="2">
        <v>0.08</v>
      </c>
      <c r="AD52" s="2">
        <v>373</v>
      </c>
      <c r="AE52" s="2">
        <v>32.51</v>
      </c>
      <c r="AF52" s="2">
        <v>192</v>
      </c>
      <c r="AG52" s="2">
        <v>0.24</v>
      </c>
      <c r="AH52" s="2">
        <v>41.77</v>
      </c>
      <c r="AI52" s="2">
        <v>422</v>
      </c>
      <c r="AJ52" s="2">
        <v>7.44</v>
      </c>
      <c r="AK52" s="2">
        <v>3.35</v>
      </c>
      <c r="AL52" s="2">
        <v>0.16</v>
      </c>
    </row>
    <row r="53" spans="1:38" x14ac:dyDescent="0.25">
      <c r="C53" s="3" t="s">
        <v>559</v>
      </c>
      <c r="D53" s="3">
        <v>139</v>
      </c>
      <c r="E53" s="2">
        <f t="shared" si="15"/>
        <v>4.0643274853801169E-2</v>
      </c>
      <c r="G53" s="3" t="s">
        <v>74</v>
      </c>
      <c r="H53" s="3" t="s">
        <v>730</v>
      </c>
      <c r="I53" s="2">
        <v>91.01</v>
      </c>
      <c r="J53" s="2">
        <v>21</v>
      </c>
      <c r="K53" s="2">
        <v>1.84</v>
      </c>
      <c r="L53" s="2">
        <v>0.2</v>
      </c>
      <c r="M53" s="2">
        <v>2.76</v>
      </c>
      <c r="N53" s="2">
        <v>3.78</v>
      </c>
      <c r="O53" s="2">
        <v>1.65</v>
      </c>
      <c r="Q53" s="2">
        <v>68.239999999999995</v>
      </c>
      <c r="R53" s="2">
        <v>31.38</v>
      </c>
      <c r="S53" s="2">
        <v>1.2</v>
      </c>
      <c r="T53" s="2">
        <v>0.44</v>
      </c>
      <c r="U53" s="10">
        <f>AVERAGE(U48,U50,U51,U52)</f>
        <v>4.7500000000000001E-2</v>
      </c>
      <c r="V53" s="2">
        <v>0.08</v>
      </c>
      <c r="W53" s="2">
        <v>0.8</v>
      </c>
      <c r="X53" s="2">
        <v>0.4</v>
      </c>
      <c r="Z53" s="2">
        <v>33.69</v>
      </c>
      <c r="AA53" s="2">
        <v>19.82</v>
      </c>
      <c r="AB53" s="2">
        <v>38.74</v>
      </c>
      <c r="AC53" s="2">
        <v>0.1</v>
      </c>
      <c r="AD53" s="2">
        <v>178</v>
      </c>
      <c r="AE53" s="2">
        <v>27.95</v>
      </c>
      <c r="AF53" s="2">
        <v>34.729999999999997</v>
      </c>
      <c r="AG53" s="2">
        <v>0.37</v>
      </c>
      <c r="AH53" s="2">
        <v>38.19</v>
      </c>
      <c r="AI53" s="2">
        <v>318</v>
      </c>
      <c r="AJ53" s="2">
        <v>11.48</v>
      </c>
      <c r="AK53" s="2">
        <v>4</v>
      </c>
      <c r="AL53" s="2">
        <v>0.91</v>
      </c>
    </row>
    <row r="55" spans="1:38" x14ac:dyDescent="0.25">
      <c r="C55" s="4" t="s">
        <v>560</v>
      </c>
      <c r="D55" s="4" t="s">
        <v>516</v>
      </c>
      <c r="E55" s="4" t="s">
        <v>534</v>
      </c>
      <c r="G55" s="3" t="s">
        <v>860</v>
      </c>
      <c r="H55" s="4" t="s">
        <v>561</v>
      </c>
      <c r="I55" s="2">
        <f>AVERAGE(I56:I58)</f>
        <v>71.61</v>
      </c>
      <c r="J55" s="2">
        <f t="shared" ref="J55:AK55" si="16">AVERAGE(J56:J58)</f>
        <v>136.51900000000001</v>
      </c>
      <c r="K55" s="2">
        <f t="shared" si="16"/>
        <v>21.490000000000002</v>
      </c>
      <c r="L55" s="2">
        <f t="shared" si="16"/>
        <v>5.5549999999999997</v>
      </c>
      <c r="M55"/>
      <c r="N55"/>
      <c r="O55"/>
      <c r="P55" s="2">
        <f t="shared" si="16"/>
        <v>83.36</v>
      </c>
      <c r="Q55" s="2">
        <f t="shared" si="16"/>
        <v>16.53</v>
      </c>
      <c r="R55" s="2">
        <f t="shared" si="16"/>
        <v>26.25</v>
      </c>
      <c r="S55" s="2">
        <f t="shared" si="16"/>
        <v>2.02</v>
      </c>
      <c r="T55" s="2">
        <f t="shared" si="16"/>
        <v>3.1749999999999998</v>
      </c>
      <c r="U55" s="2">
        <f t="shared" si="16"/>
        <v>0.05</v>
      </c>
      <c r="V55" s="2">
        <f t="shared" si="16"/>
        <v>0.15333333333333335</v>
      </c>
      <c r="W55" s="2">
        <f t="shared" si="16"/>
        <v>6.8650000000000002</v>
      </c>
      <c r="X55" s="2">
        <f t="shared" si="16"/>
        <v>0.26</v>
      </c>
      <c r="Y55" s="2">
        <f>AVERAGE(Y56:Y58)</f>
        <v>3.3866666666666667</v>
      </c>
      <c r="Z55" s="2">
        <f t="shared" si="16"/>
        <v>1.915</v>
      </c>
      <c r="AA55" s="2">
        <f t="shared" si="16"/>
        <v>9</v>
      </c>
      <c r="AC55" s="2">
        <f t="shared" si="16"/>
        <v>0.48</v>
      </c>
      <c r="AD55" s="2">
        <f t="shared" si="16"/>
        <v>2518</v>
      </c>
      <c r="AE55" s="2">
        <f t="shared" si="16"/>
        <v>1854</v>
      </c>
      <c r="AF55" s="2">
        <f t="shared" si="16"/>
        <v>718</v>
      </c>
      <c r="AG55" s="2">
        <f t="shared" si="16"/>
        <v>0.88</v>
      </c>
      <c r="AH55" s="2">
        <f t="shared" si="16"/>
        <v>211.5</v>
      </c>
      <c r="AI55" s="2">
        <f t="shared" si="16"/>
        <v>353.5</v>
      </c>
      <c r="AJ55" s="2">
        <f t="shared" si="16"/>
        <v>51.775000000000006</v>
      </c>
      <c r="AK55" s="2">
        <f t="shared" si="16"/>
        <v>26.814999999999998</v>
      </c>
      <c r="AL55"/>
    </row>
    <row r="56" spans="1:38" x14ac:dyDescent="0.25">
      <c r="C56" s="3" t="s">
        <v>562</v>
      </c>
      <c r="D56" s="3">
        <v>24</v>
      </c>
      <c r="G56" s="3" t="s">
        <v>481</v>
      </c>
      <c r="H56" s="3" t="s">
        <v>482</v>
      </c>
      <c r="I56" s="2" t="s">
        <v>483</v>
      </c>
      <c r="J56" s="2" t="s">
        <v>486</v>
      </c>
      <c r="K56" s="2" t="s">
        <v>484</v>
      </c>
      <c r="L56" s="2" t="s">
        <v>485</v>
      </c>
      <c r="N56" s="3"/>
      <c r="P56" s="2" t="s">
        <v>487</v>
      </c>
      <c r="Q56" s="2" t="s">
        <v>490</v>
      </c>
      <c r="R56" s="2" t="s">
        <v>491</v>
      </c>
      <c r="S56" s="2" t="s">
        <v>493</v>
      </c>
      <c r="T56" s="2" t="s">
        <v>494</v>
      </c>
      <c r="V56" s="13">
        <v>0.25</v>
      </c>
      <c r="Y56" s="2">
        <v>1.87</v>
      </c>
      <c r="AA56" s="2">
        <v>9</v>
      </c>
      <c r="AH56" s="2" t="s">
        <v>492</v>
      </c>
      <c r="AI56" s="2" t="s">
        <v>489</v>
      </c>
      <c r="AJ56" s="2" t="s">
        <v>488</v>
      </c>
      <c r="AK56" s="2" t="s">
        <v>495</v>
      </c>
      <c r="AL56"/>
    </row>
    <row r="57" spans="1:38" x14ac:dyDescent="0.25">
      <c r="C57" s="3" t="s">
        <v>563</v>
      </c>
      <c r="D57" s="3">
        <v>19</v>
      </c>
      <c r="G57" s="3" t="s">
        <v>228</v>
      </c>
      <c r="H57" s="3" t="s">
        <v>611</v>
      </c>
      <c r="I57" s="2">
        <v>72.19</v>
      </c>
      <c r="J57" s="2">
        <v>138</v>
      </c>
      <c r="K57" s="2">
        <v>20.37</v>
      </c>
      <c r="L57" s="2">
        <v>6.23</v>
      </c>
      <c r="N57" s="3"/>
      <c r="P57" s="2">
        <v>87.55</v>
      </c>
      <c r="Q57" s="2">
        <v>7.58</v>
      </c>
      <c r="R57" s="2">
        <v>19.5</v>
      </c>
      <c r="S57" s="2">
        <v>1.62</v>
      </c>
      <c r="T57" s="2">
        <v>5.05</v>
      </c>
      <c r="U57" s="2">
        <v>0.08</v>
      </c>
      <c r="V57" s="2">
        <v>0.13</v>
      </c>
      <c r="W57" s="2">
        <v>6.19</v>
      </c>
      <c r="X57" s="2">
        <v>0.28000000000000003</v>
      </c>
      <c r="Y57" s="2">
        <v>1.1299999999999999</v>
      </c>
      <c r="Z57" s="2">
        <v>1.73</v>
      </c>
      <c r="AC57" s="2">
        <v>0.13</v>
      </c>
      <c r="AD57" s="2">
        <v>3129</v>
      </c>
      <c r="AE57" s="2">
        <v>2228</v>
      </c>
      <c r="AF57" s="2">
        <v>353</v>
      </c>
      <c r="AG57" s="2">
        <v>1.03</v>
      </c>
      <c r="AH57" s="2">
        <v>178</v>
      </c>
      <c r="AI57" s="2">
        <v>333</v>
      </c>
      <c r="AJ57" s="2">
        <v>55.71</v>
      </c>
      <c r="AK57" s="2">
        <v>23.41</v>
      </c>
      <c r="AL57"/>
    </row>
    <row r="58" spans="1:38" x14ac:dyDescent="0.25">
      <c r="C58" s="14" t="s">
        <v>564</v>
      </c>
      <c r="G58" s="3" t="s">
        <v>862</v>
      </c>
      <c r="H58" s="3" t="s">
        <v>861</v>
      </c>
      <c r="I58" s="2">
        <v>71.03</v>
      </c>
      <c r="J58" s="2">
        <v>135.03800000000001</v>
      </c>
      <c r="K58" s="2">
        <v>22.61</v>
      </c>
      <c r="L58" s="2">
        <v>4.88</v>
      </c>
      <c r="P58" s="2">
        <v>79.17</v>
      </c>
      <c r="Q58" s="2">
        <v>25.48</v>
      </c>
      <c r="R58" s="2">
        <v>33</v>
      </c>
      <c r="S58" s="2">
        <v>2.42</v>
      </c>
      <c r="T58" s="2">
        <v>1.3</v>
      </c>
      <c r="U58" s="2">
        <v>0.02</v>
      </c>
      <c r="V58" s="2">
        <v>0.08</v>
      </c>
      <c r="W58" s="2">
        <v>7.54</v>
      </c>
      <c r="X58" s="2">
        <v>0.24</v>
      </c>
      <c r="Y58" s="2">
        <v>7.16</v>
      </c>
      <c r="Z58" s="2">
        <v>2.1</v>
      </c>
      <c r="AC58" s="2">
        <v>0.83</v>
      </c>
      <c r="AD58" s="2">
        <v>1907</v>
      </c>
      <c r="AE58" s="2">
        <v>1480</v>
      </c>
      <c r="AF58" s="2">
        <v>1083</v>
      </c>
      <c r="AG58" s="2">
        <v>0.73</v>
      </c>
      <c r="AH58" s="2">
        <v>245</v>
      </c>
      <c r="AI58" s="2">
        <v>374</v>
      </c>
      <c r="AJ58" s="2">
        <v>47.84</v>
      </c>
      <c r="AK58" s="2">
        <v>30.22</v>
      </c>
      <c r="AL58"/>
    </row>
    <row r="59" spans="1:38" x14ac:dyDescent="0.25">
      <c r="C59" s="14" t="s">
        <v>565</v>
      </c>
    </row>
    <row r="60" spans="1:38" x14ac:dyDescent="0.25">
      <c r="C60" s="14" t="s">
        <v>566</v>
      </c>
    </row>
    <row r="61" spans="1:38" s="6" customFormat="1" x14ac:dyDescent="0.25">
      <c r="A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</sheetData>
  <conditionalFormatting sqref="P26:P27">
    <cfRule type="duplicateValues" dxfId="1" priority="1"/>
  </conditionalFormatting>
  <conditionalFormatting sqref="V10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Ingredients FCT</vt:lpstr>
      <vt:lpstr>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Joyce</dc:creator>
  <cp:lastModifiedBy>Bess Caswell</cp:lastModifiedBy>
  <dcterms:created xsi:type="dcterms:W3CDTF">2022-05-19T19:52:38Z</dcterms:created>
  <dcterms:modified xsi:type="dcterms:W3CDTF">2024-05-18T01:44:29Z</dcterms:modified>
</cp:coreProperties>
</file>